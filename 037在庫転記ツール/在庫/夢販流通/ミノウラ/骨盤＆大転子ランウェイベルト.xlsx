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5D9179C9-6D5D-43AD-A96D-DD40BBC5ED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12" i="1" l="1"/>
  <c r="X212" i="1"/>
  <c r="W212" i="1"/>
  <c r="V212" i="1"/>
  <c r="T212" i="1"/>
  <c r="S212" i="1"/>
  <c r="R212" i="1"/>
  <c r="Q212" i="1"/>
  <c r="L212" i="1"/>
  <c r="K212" i="1"/>
  <c r="J212" i="1"/>
  <c r="I212" i="1"/>
  <c r="H212" i="1"/>
  <c r="F212" i="1"/>
  <c r="E212" i="1"/>
  <c r="D212" i="1"/>
  <c r="C212" i="1"/>
  <c r="B212" i="1"/>
  <c r="Z211" i="1"/>
  <c r="AA211" i="1"/>
  <c r="N211" i="1"/>
  <c r="M211" i="1"/>
  <c r="Z210" i="1"/>
  <c r="AA210" i="1" s="1"/>
  <c r="M210" i="1"/>
  <c r="N210" i="1" s="1"/>
  <c r="Z209" i="1"/>
  <c r="AA209" i="1"/>
  <c r="N209" i="1"/>
  <c r="M209" i="1"/>
  <c r="Z208" i="1"/>
  <c r="AA208" i="1" s="1"/>
  <c r="M208" i="1"/>
  <c r="N208" i="1" s="1"/>
  <c r="Z207" i="1"/>
  <c r="AA207" i="1"/>
  <c r="N207" i="1"/>
  <c r="M207" i="1"/>
  <c r="Z206" i="1"/>
  <c r="AA206" i="1" s="1"/>
  <c r="M206" i="1"/>
  <c r="N206" i="1" s="1"/>
  <c r="Z205" i="1"/>
  <c r="AA205" i="1"/>
  <c r="N205" i="1"/>
  <c r="M205" i="1"/>
  <c r="Z204" i="1"/>
  <c r="AA204" i="1" s="1"/>
  <c r="M204" i="1"/>
  <c r="N204" i="1" s="1"/>
  <c r="Z203" i="1"/>
  <c r="AA203" i="1"/>
  <c r="N203" i="1"/>
  <c r="M203" i="1"/>
  <c r="Z202" i="1"/>
  <c r="AA202" i="1" s="1"/>
  <c r="M202" i="1"/>
  <c r="N202" i="1" s="1"/>
  <c r="Z201" i="1"/>
  <c r="AA201" i="1"/>
  <c r="N201" i="1"/>
  <c r="M201" i="1"/>
  <c r="Z200" i="1"/>
  <c r="AA200" i="1" s="1"/>
  <c r="M200" i="1"/>
  <c r="N200" i="1" s="1"/>
  <c r="Z199" i="1"/>
  <c r="AA199" i="1"/>
  <c r="N199" i="1"/>
  <c r="M199" i="1"/>
  <c r="Z198" i="1"/>
  <c r="AA198" i="1" s="1"/>
  <c r="M198" i="1"/>
  <c r="N198" i="1" s="1"/>
  <c r="Z197" i="1"/>
  <c r="AA197" i="1"/>
  <c r="N197" i="1"/>
  <c r="M197" i="1"/>
  <c r="Z196" i="1"/>
  <c r="AA196" i="1" s="1"/>
  <c r="M196" i="1"/>
  <c r="N196" i="1" s="1"/>
  <c r="Z195" i="1"/>
  <c r="AA195" i="1"/>
  <c r="M195" i="1"/>
  <c r="N195" i="1" s="1"/>
  <c r="Z194" i="1"/>
  <c r="AA194" i="1" s="1"/>
  <c r="M194" i="1"/>
  <c r="N194" i="1" s="1"/>
  <c r="Z193" i="1"/>
  <c r="AA193" i="1"/>
  <c r="M193" i="1"/>
  <c r="N193" i="1" s="1"/>
  <c r="Z192" i="1"/>
  <c r="AA192" i="1" s="1"/>
  <c r="M192" i="1"/>
  <c r="N192" i="1" s="1"/>
  <c r="Z191" i="1"/>
  <c r="AA191" i="1"/>
  <c r="N191" i="1"/>
  <c r="M191" i="1"/>
  <c r="Z190" i="1"/>
  <c r="AA190" i="1" s="1"/>
  <c r="M190" i="1"/>
  <c r="N190" i="1" s="1"/>
  <c r="Z189" i="1"/>
  <c r="AA189" i="1"/>
  <c r="M189" i="1"/>
  <c r="N189" i="1" s="1"/>
  <c r="Z188" i="1"/>
  <c r="AA188" i="1" s="1"/>
  <c r="M188" i="1"/>
  <c r="N188" i="1" s="1"/>
  <c r="K187" i="1"/>
  <c r="J187" i="1"/>
  <c r="C187" i="1"/>
  <c r="B187" i="1"/>
  <c r="Z186" i="1"/>
  <c r="AA186" i="1"/>
  <c r="M186" i="1"/>
  <c r="N186" i="1" s="1"/>
  <c r="Z185" i="1"/>
  <c r="AA185" i="1" s="1"/>
  <c r="M185" i="1"/>
  <c r="N185" i="1"/>
  <c r="Z184" i="1"/>
  <c r="AA184" i="1"/>
  <c r="M184" i="1"/>
  <c r="N184" i="1" s="1"/>
  <c r="AA183" i="1"/>
  <c r="Z183" i="1"/>
  <c r="M183" i="1"/>
  <c r="N183" i="1"/>
  <c r="Z182" i="1"/>
  <c r="AA182" i="1" s="1"/>
  <c r="M182" i="1"/>
  <c r="N182" i="1" s="1"/>
  <c r="Z181" i="1"/>
  <c r="AA181" i="1" s="1"/>
  <c r="M181" i="1"/>
  <c r="N181" i="1"/>
  <c r="Z180" i="1"/>
  <c r="AA180" i="1"/>
  <c r="M180" i="1"/>
  <c r="N180" i="1" s="1"/>
  <c r="Z179" i="1"/>
  <c r="AA179" i="1" s="1"/>
  <c r="M179" i="1"/>
  <c r="N179" i="1"/>
  <c r="Z178" i="1"/>
  <c r="AA178" i="1"/>
  <c r="M178" i="1"/>
  <c r="N178" i="1" s="1"/>
  <c r="Z177" i="1"/>
  <c r="AA177" i="1" s="1"/>
  <c r="M177" i="1"/>
  <c r="N177" i="1"/>
  <c r="Y176" i="1"/>
  <c r="Y187" i="1" s="1"/>
  <c r="Y213" i="1" s="1"/>
  <c r="X176" i="1"/>
  <c r="X187" i="1" s="1"/>
  <c r="X213" i="1" s="1"/>
  <c r="W176" i="1"/>
  <c r="W187" i="1" s="1"/>
  <c r="W213" i="1" s="1"/>
  <c r="V176" i="1"/>
  <c r="V187" i="1" s="1"/>
  <c r="T176" i="1"/>
  <c r="T187" i="1" s="1"/>
  <c r="T213" i="1" s="1"/>
  <c r="S176" i="1"/>
  <c r="S187" i="1" s="1"/>
  <c r="S213" i="1" s="1"/>
  <c r="R176" i="1"/>
  <c r="R187" i="1" s="1"/>
  <c r="R213" i="1" s="1"/>
  <c r="Q176" i="1"/>
  <c r="Q187" i="1" s="1"/>
  <c r="L176" i="1"/>
  <c r="L187" i="1" s="1"/>
  <c r="L213" i="1" s="1"/>
  <c r="K176" i="1"/>
  <c r="J176" i="1"/>
  <c r="I176" i="1"/>
  <c r="I187" i="1" s="1"/>
  <c r="H176" i="1"/>
  <c r="F176" i="1"/>
  <c r="F187" i="1" s="1"/>
  <c r="E176" i="1"/>
  <c r="E187" i="1" s="1"/>
  <c r="D176" i="1"/>
  <c r="D187" i="1" s="1"/>
  <c r="C176" i="1"/>
  <c r="B176" i="1"/>
  <c r="G176" i="1" s="1"/>
  <c r="N140" i="1"/>
  <c r="M140" i="1"/>
  <c r="G140" i="1"/>
  <c r="G147" i="1"/>
  <c r="M147" i="1"/>
  <c r="N147" i="1"/>
  <c r="G100" i="1"/>
  <c r="M100" i="1"/>
  <c r="N100" i="1" s="1"/>
  <c r="M55" i="1"/>
  <c r="G55" i="1"/>
  <c r="N55" i="1" s="1"/>
  <c r="Y133" i="1"/>
  <c r="T133" i="1"/>
  <c r="G145" i="1"/>
  <c r="M145" i="1"/>
  <c r="N145" i="1"/>
  <c r="G146" i="1"/>
  <c r="N146" i="1" s="1"/>
  <c r="M146" i="1"/>
  <c r="G148" i="1"/>
  <c r="M148" i="1"/>
  <c r="G138" i="1"/>
  <c r="M138" i="1"/>
  <c r="N138" i="1" s="1"/>
  <c r="G139" i="1"/>
  <c r="M139" i="1"/>
  <c r="G141" i="1"/>
  <c r="N141" i="1" s="1"/>
  <c r="M141" i="1"/>
  <c r="G142" i="1"/>
  <c r="M142" i="1"/>
  <c r="N142" i="1"/>
  <c r="G143" i="1"/>
  <c r="M143" i="1"/>
  <c r="J169" i="1"/>
  <c r="K169" i="1"/>
  <c r="L169" i="1"/>
  <c r="E169" i="1"/>
  <c r="F169" i="1"/>
  <c r="G134" i="1"/>
  <c r="M134" i="1"/>
  <c r="G135" i="1"/>
  <c r="M135" i="1"/>
  <c r="G136" i="1"/>
  <c r="M136" i="1"/>
  <c r="G137" i="1"/>
  <c r="M137" i="1"/>
  <c r="G149" i="1"/>
  <c r="M149" i="1"/>
  <c r="G150" i="1"/>
  <c r="M150" i="1"/>
  <c r="G151" i="1"/>
  <c r="M151" i="1"/>
  <c r="G152" i="1"/>
  <c r="M152" i="1"/>
  <c r="G153" i="1"/>
  <c r="M153" i="1"/>
  <c r="G154" i="1"/>
  <c r="M154" i="1"/>
  <c r="G155" i="1"/>
  <c r="M155" i="1"/>
  <c r="G156" i="1"/>
  <c r="M156" i="1"/>
  <c r="G157" i="1"/>
  <c r="M157" i="1"/>
  <c r="G158" i="1"/>
  <c r="M158" i="1"/>
  <c r="G159" i="1"/>
  <c r="M159" i="1"/>
  <c r="G160" i="1"/>
  <c r="M160" i="1"/>
  <c r="G161" i="1"/>
  <c r="M161" i="1"/>
  <c r="G162" i="1"/>
  <c r="M162" i="1"/>
  <c r="G163" i="1"/>
  <c r="M163" i="1"/>
  <c r="G164" i="1"/>
  <c r="M164" i="1"/>
  <c r="G165" i="1"/>
  <c r="M165" i="1"/>
  <c r="G166" i="1"/>
  <c r="M166" i="1"/>
  <c r="N166" i="1" s="1"/>
  <c r="G167" i="1"/>
  <c r="M167" i="1"/>
  <c r="G168" i="1"/>
  <c r="M168" i="1"/>
  <c r="B169" i="1"/>
  <c r="C169" i="1"/>
  <c r="D169" i="1"/>
  <c r="H169" i="1"/>
  <c r="I169" i="1"/>
  <c r="V121" i="1"/>
  <c r="AB121" i="1"/>
  <c r="V122" i="1"/>
  <c r="AC122" i="1" s="1"/>
  <c r="AB122" i="1"/>
  <c r="V123" i="1"/>
  <c r="AB123" i="1"/>
  <c r="V124" i="1"/>
  <c r="AB124" i="1"/>
  <c r="V125" i="1"/>
  <c r="AC125" i="1" s="1"/>
  <c r="AB125" i="1"/>
  <c r="Y169" i="1"/>
  <c r="X169" i="1"/>
  <c r="W169" i="1"/>
  <c r="V169" i="1"/>
  <c r="T169" i="1"/>
  <c r="S169" i="1"/>
  <c r="R169" i="1"/>
  <c r="Q169" i="1"/>
  <c r="Z168" i="1"/>
  <c r="U168" i="1"/>
  <c r="Z167" i="1"/>
  <c r="U167" i="1"/>
  <c r="AA167" i="1" s="1"/>
  <c r="Z166" i="1"/>
  <c r="U166" i="1"/>
  <c r="Z165" i="1"/>
  <c r="U165" i="1"/>
  <c r="Z164" i="1"/>
  <c r="U164" i="1"/>
  <c r="AA164" i="1" s="1"/>
  <c r="Z163" i="1"/>
  <c r="U163" i="1"/>
  <c r="Z162" i="1"/>
  <c r="U162" i="1"/>
  <c r="Z161" i="1"/>
  <c r="U161" i="1"/>
  <c r="AA161" i="1" s="1"/>
  <c r="Z160" i="1"/>
  <c r="U160" i="1"/>
  <c r="Z159" i="1"/>
  <c r="U159" i="1"/>
  <c r="Z158" i="1"/>
  <c r="U158" i="1"/>
  <c r="AA158" i="1" s="1"/>
  <c r="Z157" i="1"/>
  <c r="U157" i="1"/>
  <c r="Z156" i="1"/>
  <c r="U156" i="1"/>
  <c r="Z155" i="1"/>
  <c r="U155" i="1"/>
  <c r="AA155" i="1" s="1"/>
  <c r="Z154" i="1"/>
  <c r="U154" i="1"/>
  <c r="Z153" i="1"/>
  <c r="U153" i="1"/>
  <c r="Z152" i="1"/>
  <c r="U152" i="1"/>
  <c r="Z151" i="1"/>
  <c r="U151" i="1"/>
  <c r="Z150" i="1"/>
  <c r="U150" i="1"/>
  <c r="Z149" i="1"/>
  <c r="U149" i="1"/>
  <c r="Z148" i="1"/>
  <c r="U148" i="1"/>
  <c r="Z147" i="1"/>
  <c r="U147" i="1"/>
  <c r="Z146" i="1"/>
  <c r="U146" i="1"/>
  <c r="Z145" i="1"/>
  <c r="U145" i="1"/>
  <c r="Z143" i="1"/>
  <c r="U143" i="1"/>
  <c r="Z142" i="1"/>
  <c r="U142" i="1"/>
  <c r="AA142" i="1" s="1"/>
  <c r="Z141" i="1"/>
  <c r="U141" i="1"/>
  <c r="Z140" i="1"/>
  <c r="U140" i="1"/>
  <c r="Z139" i="1"/>
  <c r="U139" i="1"/>
  <c r="Z138" i="1"/>
  <c r="U138" i="1"/>
  <c r="Z137" i="1"/>
  <c r="U137" i="1"/>
  <c r="Z136" i="1"/>
  <c r="U136" i="1"/>
  <c r="Z135" i="1"/>
  <c r="U135" i="1"/>
  <c r="Z134" i="1"/>
  <c r="U134" i="1"/>
  <c r="W126" i="1"/>
  <c r="Q126" i="1"/>
  <c r="V102" i="1"/>
  <c r="AB102" i="1"/>
  <c r="V103" i="1"/>
  <c r="AB103" i="1"/>
  <c r="V104" i="1"/>
  <c r="AB104" i="1"/>
  <c r="V105" i="1"/>
  <c r="AB105" i="1"/>
  <c r="V106" i="1"/>
  <c r="AB106" i="1"/>
  <c r="V107" i="1"/>
  <c r="AB107" i="1"/>
  <c r="V108" i="1"/>
  <c r="AB108" i="1"/>
  <c r="V109" i="1"/>
  <c r="AC109" i="1" s="1"/>
  <c r="AB109" i="1"/>
  <c r="V110" i="1"/>
  <c r="AB110" i="1"/>
  <c r="V111" i="1"/>
  <c r="AB111" i="1"/>
  <c r="V112" i="1"/>
  <c r="AB112" i="1"/>
  <c r="V113" i="1"/>
  <c r="AB113" i="1"/>
  <c r="V114" i="1"/>
  <c r="AB114" i="1"/>
  <c r="V115" i="1"/>
  <c r="AB115" i="1"/>
  <c r="V116" i="1"/>
  <c r="AB116" i="1"/>
  <c r="V117" i="1"/>
  <c r="AB117" i="1"/>
  <c r="AA126" i="1"/>
  <c r="Z126" i="1"/>
  <c r="Y126" i="1"/>
  <c r="X126" i="1"/>
  <c r="U126" i="1"/>
  <c r="T126" i="1"/>
  <c r="S126" i="1"/>
  <c r="R126" i="1"/>
  <c r="AB120" i="1"/>
  <c r="V120" i="1"/>
  <c r="AB119" i="1"/>
  <c r="V119" i="1"/>
  <c r="AB118" i="1"/>
  <c r="V118" i="1"/>
  <c r="AB100" i="1"/>
  <c r="V100" i="1"/>
  <c r="AB99" i="1"/>
  <c r="V99" i="1"/>
  <c r="AB98" i="1"/>
  <c r="V98" i="1"/>
  <c r="AB97" i="1"/>
  <c r="V97" i="1"/>
  <c r="AB96" i="1"/>
  <c r="V96" i="1"/>
  <c r="AB95" i="1"/>
  <c r="V95" i="1"/>
  <c r="AB94" i="1"/>
  <c r="V94" i="1"/>
  <c r="AB93" i="1"/>
  <c r="V93" i="1"/>
  <c r="AB92" i="1"/>
  <c r="V92" i="1"/>
  <c r="AB91" i="1"/>
  <c r="V91" i="1"/>
  <c r="G91" i="1"/>
  <c r="M91" i="1"/>
  <c r="G92" i="1"/>
  <c r="M92" i="1"/>
  <c r="G93" i="1"/>
  <c r="M93" i="1"/>
  <c r="G94" i="1"/>
  <c r="M94" i="1"/>
  <c r="G95" i="1"/>
  <c r="N95" i="1" s="1"/>
  <c r="M95" i="1"/>
  <c r="G96" i="1"/>
  <c r="M96" i="1"/>
  <c r="G97" i="1"/>
  <c r="M97" i="1"/>
  <c r="G98" i="1"/>
  <c r="M98" i="1"/>
  <c r="G102" i="1"/>
  <c r="M102" i="1"/>
  <c r="G103" i="1"/>
  <c r="M103" i="1"/>
  <c r="G104" i="1"/>
  <c r="M104" i="1"/>
  <c r="G105" i="1"/>
  <c r="M105" i="1"/>
  <c r="G106" i="1"/>
  <c r="M106" i="1"/>
  <c r="G107" i="1"/>
  <c r="M107" i="1"/>
  <c r="G108" i="1"/>
  <c r="M108" i="1"/>
  <c r="G109" i="1"/>
  <c r="M109" i="1"/>
  <c r="G110" i="1"/>
  <c r="M110" i="1"/>
  <c r="G111" i="1"/>
  <c r="M111" i="1"/>
  <c r="G112" i="1"/>
  <c r="M112" i="1"/>
  <c r="G113" i="1"/>
  <c r="M113" i="1"/>
  <c r="G114" i="1"/>
  <c r="M114" i="1"/>
  <c r="G115" i="1"/>
  <c r="M115" i="1"/>
  <c r="G116" i="1"/>
  <c r="M116" i="1"/>
  <c r="G117" i="1"/>
  <c r="M117" i="1"/>
  <c r="G118" i="1"/>
  <c r="M118" i="1"/>
  <c r="G119" i="1"/>
  <c r="M119" i="1"/>
  <c r="G120" i="1"/>
  <c r="M120" i="1"/>
  <c r="G121" i="1"/>
  <c r="M121" i="1"/>
  <c r="G122" i="1"/>
  <c r="M122" i="1"/>
  <c r="L126" i="1"/>
  <c r="K126" i="1"/>
  <c r="J126" i="1"/>
  <c r="I126" i="1"/>
  <c r="H126" i="1"/>
  <c r="F126" i="1"/>
  <c r="E126" i="1"/>
  <c r="D126" i="1"/>
  <c r="C126" i="1"/>
  <c r="B126" i="1"/>
  <c r="M125" i="1"/>
  <c r="G125" i="1"/>
  <c r="M124" i="1"/>
  <c r="G124" i="1"/>
  <c r="M123" i="1"/>
  <c r="G123" i="1"/>
  <c r="M99" i="1"/>
  <c r="G99" i="1"/>
  <c r="V74" i="1"/>
  <c r="AB74" i="1"/>
  <c r="AB56" i="1"/>
  <c r="V56" i="1"/>
  <c r="AB55" i="1"/>
  <c r="V55" i="1"/>
  <c r="AB54" i="1"/>
  <c r="V54" i="1"/>
  <c r="AB53" i="1"/>
  <c r="V53" i="1"/>
  <c r="AB52" i="1"/>
  <c r="V52" i="1"/>
  <c r="AB51" i="1"/>
  <c r="V51" i="1"/>
  <c r="AB50" i="1"/>
  <c r="V50" i="1"/>
  <c r="AB49" i="1"/>
  <c r="V49" i="1"/>
  <c r="AB48" i="1"/>
  <c r="V48" i="1"/>
  <c r="AB14" i="1"/>
  <c r="V14" i="1"/>
  <c r="AB13" i="1"/>
  <c r="V13" i="1"/>
  <c r="AB12" i="1"/>
  <c r="V12" i="1"/>
  <c r="AB11" i="1"/>
  <c r="V11" i="1"/>
  <c r="AB10" i="1"/>
  <c r="V10" i="1"/>
  <c r="AB9" i="1"/>
  <c r="V9" i="1"/>
  <c r="AB8" i="1"/>
  <c r="V8" i="1"/>
  <c r="AB7" i="1"/>
  <c r="V7" i="1"/>
  <c r="AB6" i="1"/>
  <c r="V6" i="1"/>
  <c r="AB5" i="1"/>
  <c r="V5" i="1"/>
  <c r="V73" i="1"/>
  <c r="AB73" i="1"/>
  <c r="AB72" i="1"/>
  <c r="V72" i="1"/>
  <c r="AB71" i="1"/>
  <c r="V71" i="1"/>
  <c r="AB70" i="1"/>
  <c r="V70" i="1"/>
  <c r="AB69" i="1"/>
  <c r="V69" i="1"/>
  <c r="AB68" i="1"/>
  <c r="V68" i="1"/>
  <c r="AB67" i="1"/>
  <c r="V67" i="1"/>
  <c r="AB66" i="1"/>
  <c r="V66" i="1"/>
  <c r="AB65" i="1"/>
  <c r="V65" i="1"/>
  <c r="AB64" i="1"/>
  <c r="V64" i="1"/>
  <c r="AB63" i="1"/>
  <c r="V63" i="1"/>
  <c r="AB62" i="1"/>
  <c r="V62" i="1"/>
  <c r="AB61" i="1"/>
  <c r="V61" i="1"/>
  <c r="AB60" i="1"/>
  <c r="V60" i="1"/>
  <c r="AB59" i="1"/>
  <c r="V59" i="1"/>
  <c r="AB34" i="1"/>
  <c r="V34" i="1"/>
  <c r="AB33" i="1"/>
  <c r="V33" i="1"/>
  <c r="G75" i="1"/>
  <c r="M75" i="1"/>
  <c r="F213" i="1" l="1"/>
  <c r="C213" i="1"/>
  <c r="K213" i="1"/>
  <c r="J213" i="1"/>
  <c r="D213" i="1"/>
  <c r="E213" i="1"/>
  <c r="G212" i="1"/>
  <c r="I213" i="1"/>
  <c r="M212" i="1"/>
  <c r="G187" i="1"/>
  <c r="Q213" i="1"/>
  <c r="U187" i="1"/>
  <c r="V213" i="1"/>
  <c r="Z187" i="1"/>
  <c r="U212" i="1"/>
  <c r="Z212" i="1"/>
  <c r="B213" i="1"/>
  <c r="U176" i="1"/>
  <c r="M176" i="1"/>
  <c r="N176" i="1" s="1"/>
  <c r="Z176" i="1"/>
  <c r="H187" i="1"/>
  <c r="N143" i="1"/>
  <c r="AA152" i="1"/>
  <c r="N139" i="1"/>
  <c r="AA139" i="1"/>
  <c r="N148" i="1"/>
  <c r="AA149" i="1"/>
  <c r="AA136" i="1"/>
  <c r="AA146" i="1"/>
  <c r="Z169" i="1"/>
  <c r="N111" i="1"/>
  <c r="AC123" i="1"/>
  <c r="AC106" i="1"/>
  <c r="AA134" i="1"/>
  <c r="AA137" i="1"/>
  <c r="AA140" i="1"/>
  <c r="AA143" i="1"/>
  <c r="AA147" i="1"/>
  <c r="AA150" i="1"/>
  <c r="AA153" i="1"/>
  <c r="AA156" i="1"/>
  <c r="AA159" i="1"/>
  <c r="AA162" i="1"/>
  <c r="AA165" i="1"/>
  <c r="AA168" i="1"/>
  <c r="N158" i="1"/>
  <c r="U169" i="1"/>
  <c r="AC105" i="1"/>
  <c r="AC121" i="1"/>
  <c r="AC34" i="1"/>
  <c r="AC61" i="1"/>
  <c r="AC64" i="1"/>
  <c r="AC67" i="1"/>
  <c r="AC70" i="1"/>
  <c r="AC73" i="1"/>
  <c r="AC7" i="1"/>
  <c r="AC10" i="1"/>
  <c r="AC13" i="1"/>
  <c r="AC49" i="1"/>
  <c r="AC52" i="1"/>
  <c r="AC55" i="1"/>
  <c r="N99" i="1"/>
  <c r="N124" i="1"/>
  <c r="AC117" i="1"/>
  <c r="AA135" i="1"/>
  <c r="AA138" i="1"/>
  <c r="AA141" i="1"/>
  <c r="AA145" i="1"/>
  <c r="AA148" i="1"/>
  <c r="AA151" i="1"/>
  <c r="AA154" i="1"/>
  <c r="AA157" i="1"/>
  <c r="AA160" i="1"/>
  <c r="AA163" i="1"/>
  <c r="AA166" i="1"/>
  <c r="AC116" i="1"/>
  <c r="AC124" i="1"/>
  <c r="N168" i="1"/>
  <c r="N157" i="1"/>
  <c r="N151" i="1"/>
  <c r="N154" i="1"/>
  <c r="N165" i="1"/>
  <c r="N159" i="1"/>
  <c r="N156" i="1"/>
  <c r="N153" i="1"/>
  <c r="N164" i="1"/>
  <c r="N161" i="1"/>
  <c r="N155" i="1"/>
  <c r="N152" i="1"/>
  <c r="N149" i="1"/>
  <c r="N163" i="1"/>
  <c r="N160" i="1"/>
  <c r="N134" i="1"/>
  <c r="N162" i="1"/>
  <c r="N167" i="1"/>
  <c r="N150" i="1"/>
  <c r="N137" i="1"/>
  <c r="N136" i="1"/>
  <c r="N135" i="1"/>
  <c r="M169" i="1"/>
  <c r="G169" i="1"/>
  <c r="AC33" i="1"/>
  <c r="AC60" i="1"/>
  <c r="AC63" i="1"/>
  <c r="AC66" i="1"/>
  <c r="AC69" i="1"/>
  <c r="AC72" i="1"/>
  <c r="AC6" i="1"/>
  <c r="AC9" i="1"/>
  <c r="AC12" i="1"/>
  <c r="AC48" i="1"/>
  <c r="AC51" i="1"/>
  <c r="AC54" i="1"/>
  <c r="AC74" i="1"/>
  <c r="N123" i="1"/>
  <c r="AC95" i="1"/>
  <c r="AC102" i="1"/>
  <c r="N113" i="1"/>
  <c r="N93" i="1"/>
  <c r="N103" i="1"/>
  <c r="AC114" i="1"/>
  <c r="N119" i="1"/>
  <c r="N121" i="1"/>
  <c r="AC115" i="1"/>
  <c r="N109" i="1"/>
  <c r="N97" i="1"/>
  <c r="N117" i="1"/>
  <c r="N91" i="1"/>
  <c r="N122" i="1"/>
  <c r="AC120" i="1"/>
  <c r="AC104" i="1"/>
  <c r="N107" i="1"/>
  <c r="AC111" i="1"/>
  <c r="AC103" i="1"/>
  <c r="N115" i="1"/>
  <c r="N110" i="1"/>
  <c r="N105" i="1"/>
  <c r="N102" i="1"/>
  <c r="N94" i="1"/>
  <c r="AC93" i="1"/>
  <c r="AC96" i="1"/>
  <c r="AC99" i="1"/>
  <c r="AC119" i="1"/>
  <c r="AC113" i="1"/>
  <c r="AC110" i="1"/>
  <c r="AC112" i="1"/>
  <c r="AC107" i="1"/>
  <c r="N114" i="1"/>
  <c r="N98" i="1"/>
  <c r="N116" i="1"/>
  <c r="N118" i="1"/>
  <c r="N106" i="1"/>
  <c r="N75" i="1"/>
  <c r="AC59" i="1"/>
  <c r="AC62" i="1"/>
  <c r="AC65" i="1"/>
  <c r="AC68" i="1"/>
  <c r="AC71" i="1"/>
  <c r="AC5" i="1"/>
  <c r="AC8" i="1"/>
  <c r="AC11" i="1"/>
  <c r="AC14" i="1"/>
  <c r="AC50" i="1"/>
  <c r="AC53" i="1"/>
  <c r="AC56" i="1"/>
  <c r="N125" i="1"/>
  <c r="N120" i="1"/>
  <c r="N108" i="1"/>
  <c r="N92" i="1"/>
  <c r="AC91" i="1"/>
  <c r="AC94" i="1"/>
  <c r="AC97" i="1"/>
  <c r="AC100" i="1"/>
  <c r="AC118" i="1"/>
  <c r="AC108" i="1"/>
  <c r="N112" i="1"/>
  <c r="N96" i="1"/>
  <c r="AC92" i="1"/>
  <c r="AC98" i="1"/>
  <c r="N104" i="1"/>
  <c r="V126" i="1"/>
  <c r="AB126" i="1"/>
  <c r="G126" i="1"/>
  <c r="M126" i="1"/>
  <c r="G11" i="1"/>
  <c r="M11" i="1"/>
  <c r="N212" i="1" l="1"/>
  <c r="AA212" i="1"/>
  <c r="AA176" i="1"/>
  <c r="Z213" i="1"/>
  <c r="AA187" i="1"/>
  <c r="U213" i="1"/>
  <c r="M187" i="1"/>
  <c r="M213" i="1" s="1"/>
  <c r="H213" i="1"/>
  <c r="G213" i="1"/>
  <c r="AA169" i="1"/>
  <c r="N169" i="1"/>
  <c r="N126" i="1"/>
  <c r="AC126" i="1"/>
  <c r="N11" i="1"/>
  <c r="V27" i="1"/>
  <c r="AB27" i="1"/>
  <c r="N213" i="1" l="1"/>
  <c r="N187" i="1"/>
  <c r="AA213" i="1"/>
  <c r="AC27" i="1"/>
  <c r="M32" i="1"/>
  <c r="G32" i="1"/>
  <c r="N32" i="1" l="1"/>
  <c r="G8" i="1"/>
  <c r="G24" i="1" l="1"/>
  <c r="M24" i="1"/>
  <c r="AB19" i="1"/>
  <c r="V19" i="1"/>
  <c r="N24" i="1" l="1"/>
  <c r="AC19" i="1"/>
  <c r="AB18" i="1"/>
  <c r="V18" i="1"/>
  <c r="AC18" i="1" l="1"/>
  <c r="AB16" i="1"/>
  <c r="V16" i="1"/>
  <c r="AA83" i="1"/>
  <c r="Z83" i="1"/>
  <c r="Y83" i="1"/>
  <c r="X83" i="1"/>
  <c r="W83" i="1"/>
  <c r="U83" i="1"/>
  <c r="T83" i="1"/>
  <c r="S83" i="1"/>
  <c r="R83" i="1"/>
  <c r="Q83" i="1"/>
  <c r="AB82" i="1"/>
  <c r="V82" i="1"/>
  <c r="AB81" i="1"/>
  <c r="V81" i="1"/>
  <c r="AB80" i="1"/>
  <c r="V80" i="1"/>
  <c r="AB79" i="1"/>
  <c r="V79" i="1"/>
  <c r="AB78" i="1"/>
  <c r="V78" i="1"/>
  <c r="AB77" i="1"/>
  <c r="V77" i="1"/>
  <c r="AB76" i="1"/>
  <c r="V76" i="1"/>
  <c r="AB75" i="1"/>
  <c r="V75" i="1"/>
  <c r="AB57" i="1"/>
  <c r="V57" i="1"/>
  <c r="AA40" i="1"/>
  <c r="Z40" i="1"/>
  <c r="Y40" i="1"/>
  <c r="X40" i="1"/>
  <c r="W40" i="1"/>
  <c r="U40" i="1"/>
  <c r="T40" i="1"/>
  <c r="S40" i="1"/>
  <c r="R40" i="1"/>
  <c r="Q40" i="1"/>
  <c r="AB39" i="1"/>
  <c r="V39" i="1"/>
  <c r="AB38" i="1"/>
  <c r="V38" i="1"/>
  <c r="AB37" i="1"/>
  <c r="V37" i="1"/>
  <c r="AB36" i="1"/>
  <c r="V36" i="1"/>
  <c r="AB35" i="1"/>
  <c r="V35" i="1"/>
  <c r="AB32" i="1"/>
  <c r="V32" i="1"/>
  <c r="AB31" i="1"/>
  <c r="V31" i="1"/>
  <c r="AB30" i="1"/>
  <c r="V30" i="1"/>
  <c r="AB29" i="1"/>
  <c r="V29" i="1"/>
  <c r="AB28" i="1"/>
  <c r="V28" i="1"/>
  <c r="AB26" i="1"/>
  <c r="V26" i="1"/>
  <c r="AB25" i="1"/>
  <c r="V25" i="1"/>
  <c r="AB24" i="1"/>
  <c r="V24" i="1"/>
  <c r="AB23" i="1"/>
  <c r="V23" i="1"/>
  <c r="AB22" i="1"/>
  <c r="V22" i="1"/>
  <c r="AB21" i="1"/>
  <c r="V21" i="1"/>
  <c r="AB20" i="1"/>
  <c r="V20" i="1"/>
  <c r="AB17" i="1"/>
  <c r="V17" i="1"/>
  <c r="AA15" i="1"/>
  <c r="Z15" i="1"/>
  <c r="Y15" i="1"/>
  <c r="X15" i="1"/>
  <c r="W15" i="1"/>
  <c r="U15" i="1"/>
  <c r="T15" i="1"/>
  <c r="S15" i="1"/>
  <c r="R15" i="1"/>
  <c r="Q15" i="1"/>
  <c r="AB4" i="1"/>
  <c r="V4" i="1"/>
  <c r="M48" i="1"/>
  <c r="M49" i="1"/>
  <c r="M50" i="1"/>
  <c r="M59" i="1"/>
  <c r="M60" i="1"/>
  <c r="M61" i="1"/>
  <c r="M62" i="1"/>
  <c r="M63" i="1"/>
  <c r="M64" i="1"/>
  <c r="M65" i="1"/>
  <c r="M66" i="1"/>
  <c r="M67" i="1"/>
  <c r="M68" i="1"/>
  <c r="M69" i="1"/>
  <c r="M70" i="1"/>
  <c r="AC80" i="1" l="1"/>
  <c r="AC4" i="1"/>
  <c r="AC76" i="1"/>
  <c r="AC16" i="1"/>
  <c r="Z41" i="1"/>
  <c r="Z47" i="1" s="1"/>
  <c r="Z58" i="1" s="1"/>
  <c r="Z84" i="1" s="1"/>
  <c r="Z90" i="1" s="1"/>
  <c r="Z101" i="1" s="1"/>
  <c r="Z127" i="1" s="1"/>
  <c r="X133" i="1" s="1"/>
  <c r="X144" i="1" s="1"/>
  <c r="X170" i="1" s="1"/>
  <c r="AC77" i="1"/>
  <c r="U41" i="1"/>
  <c r="U47" i="1" s="1"/>
  <c r="U58" i="1" s="1"/>
  <c r="U84" i="1" s="1"/>
  <c r="U90" i="1" s="1"/>
  <c r="U101" i="1" s="1"/>
  <c r="U127" i="1" s="1"/>
  <c r="T144" i="1" s="1"/>
  <c r="T170" i="1" s="1"/>
  <c r="W41" i="1"/>
  <c r="W47" i="1" s="1"/>
  <c r="W58" i="1" s="1"/>
  <c r="AC57" i="1"/>
  <c r="AC78" i="1"/>
  <c r="AC82" i="1"/>
  <c r="AB83" i="1"/>
  <c r="AA41" i="1"/>
  <c r="AA47" i="1" s="1"/>
  <c r="AA58" i="1" s="1"/>
  <c r="AA84" i="1" s="1"/>
  <c r="AA90" i="1" s="1"/>
  <c r="AA101" i="1" s="1"/>
  <c r="AA127" i="1" s="1"/>
  <c r="Y144" i="1" s="1"/>
  <c r="Y170" i="1" s="1"/>
  <c r="R41" i="1"/>
  <c r="R47" i="1" s="1"/>
  <c r="R58" i="1" s="1"/>
  <c r="R84" i="1" s="1"/>
  <c r="R90" i="1" s="1"/>
  <c r="R101" i="1" s="1"/>
  <c r="R127" i="1" s="1"/>
  <c r="Q133" i="1" s="1"/>
  <c r="Q144" i="1" s="1"/>
  <c r="Q170" i="1" s="1"/>
  <c r="Q41" i="1"/>
  <c r="Q47" i="1" s="1"/>
  <c r="Q58" i="1" s="1"/>
  <c r="S41" i="1"/>
  <c r="S47" i="1" s="1"/>
  <c r="S58" i="1" s="1"/>
  <c r="S84" i="1" s="1"/>
  <c r="S90" i="1" s="1"/>
  <c r="S101" i="1" s="1"/>
  <c r="S127" i="1" s="1"/>
  <c r="R133" i="1" s="1"/>
  <c r="R144" i="1" s="1"/>
  <c r="R170" i="1" s="1"/>
  <c r="T41" i="1"/>
  <c r="T47" i="1" s="1"/>
  <c r="T58" i="1" s="1"/>
  <c r="T84" i="1" s="1"/>
  <c r="T90" i="1" s="1"/>
  <c r="T101" i="1" s="1"/>
  <c r="T127" i="1" s="1"/>
  <c r="S133" i="1" s="1"/>
  <c r="S144" i="1" s="1"/>
  <c r="S170" i="1" s="1"/>
  <c r="AC81" i="1"/>
  <c r="X41" i="1"/>
  <c r="X47" i="1" s="1"/>
  <c r="X58" i="1" s="1"/>
  <c r="X84" i="1" s="1"/>
  <c r="X90" i="1" s="1"/>
  <c r="X101" i="1" s="1"/>
  <c r="X127" i="1" s="1"/>
  <c r="V133" i="1" s="1"/>
  <c r="V144" i="1" s="1"/>
  <c r="V170" i="1" s="1"/>
  <c r="Y41" i="1"/>
  <c r="Y47" i="1" s="1"/>
  <c r="Y58" i="1" s="1"/>
  <c r="Y84" i="1" s="1"/>
  <c r="Y90" i="1" s="1"/>
  <c r="AC75" i="1"/>
  <c r="AC79" i="1"/>
  <c r="V83" i="1"/>
  <c r="AC17" i="1"/>
  <c r="AC21" i="1"/>
  <c r="AC22" i="1"/>
  <c r="AC23" i="1"/>
  <c r="AC24" i="1"/>
  <c r="AC25" i="1"/>
  <c r="AC26" i="1"/>
  <c r="AC28" i="1"/>
  <c r="AC29" i="1"/>
  <c r="AC30" i="1"/>
  <c r="AC31" i="1"/>
  <c r="AC32" i="1"/>
  <c r="AC35" i="1"/>
  <c r="AC36" i="1"/>
  <c r="AC37" i="1"/>
  <c r="AC38" i="1"/>
  <c r="AC39" i="1"/>
  <c r="AC20" i="1"/>
  <c r="V40" i="1"/>
  <c r="AB40" i="1"/>
  <c r="V15" i="1"/>
  <c r="AB15" i="1"/>
  <c r="M37" i="1"/>
  <c r="M36" i="1"/>
  <c r="M80" i="1"/>
  <c r="M82" i="1"/>
  <c r="M81" i="1"/>
  <c r="M17" i="1"/>
  <c r="L83" i="1"/>
  <c r="K83" i="1"/>
  <c r="J83" i="1"/>
  <c r="I83" i="1"/>
  <c r="H83" i="1"/>
  <c r="F83" i="1"/>
  <c r="E83" i="1"/>
  <c r="D83" i="1"/>
  <c r="C83" i="1"/>
  <c r="B83" i="1"/>
  <c r="G82" i="1"/>
  <c r="G81" i="1"/>
  <c r="G80" i="1"/>
  <c r="M79" i="1"/>
  <c r="G79" i="1"/>
  <c r="M78" i="1"/>
  <c r="G78" i="1"/>
  <c r="M77" i="1"/>
  <c r="G77" i="1"/>
  <c r="M76" i="1"/>
  <c r="G76" i="1"/>
  <c r="M74" i="1"/>
  <c r="G74" i="1"/>
  <c r="M73" i="1"/>
  <c r="G73" i="1"/>
  <c r="M72" i="1"/>
  <c r="G72" i="1"/>
  <c r="M71" i="1"/>
  <c r="G71" i="1"/>
  <c r="G70" i="1"/>
  <c r="N70" i="1" s="1"/>
  <c r="G69" i="1"/>
  <c r="N69" i="1" s="1"/>
  <c r="G68" i="1"/>
  <c r="N68" i="1" s="1"/>
  <c r="G67" i="1"/>
  <c r="N67" i="1" s="1"/>
  <c r="G66" i="1"/>
  <c r="N66" i="1" s="1"/>
  <c r="G65" i="1"/>
  <c r="N65" i="1" s="1"/>
  <c r="G64" i="1"/>
  <c r="N64" i="1" s="1"/>
  <c r="G63" i="1"/>
  <c r="N63" i="1" s="1"/>
  <c r="G62" i="1"/>
  <c r="N62" i="1" s="1"/>
  <c r="G61" i="1"/>
  <c r="N61" i="1" s="1"/>
  <c r="G60" i="1"/>
  <c r="N60" i="1" s="1"/>
  <c r="G59" i="1"/>
  <c r="N59" i="1" s="1"/>
  <c r="M57" i="1"/>
  <c r="G57" i="1"/>
  <c r="M56" i="1"/>
  <c r="G56" i="1"/>
  <c r="M54" i="1"/>
  <c r="G54" i="1"/>
  <c r="M53" i="1"/>
  <c r="G53" i="1"/>
  <c r="M52" i="1"/>
  <c r="G52" i="1"/>
  <c r="M51" i="1"/>
  <c r="G51" i="1"/>
  <c r="G50" i="1"/>
  <c r="N50" i="1" s="1"/>
  <c r="G49" i="1"/>
  <c r="N49" i="1" s="1"/>
  <c r="G48" i="1"/>
  <c r="N48" i="1" s="1"/>
  <c r="L40" i="1"/>
  <c r="K40" i="1"/>
  <c r="J40" i="1"/>
  <c r="I40" i="1"/>
  <c r="H40" i="1"/>
  <c r="M39" i="1"/>
  <c r="M38" i="1"/>
  <c r="M35" i="1"/>
  <c r="M34" i="1"/>
  <c r="M33" i="1"/>
  <c r="M31" i="1"/>
  <c r="M30" i="1"/>
  <c r="M29" i="1"/>
  <c r="M28" i="1"/>
  <c r="M27" i="1"/>
  <c r="M26" i="1"/>
  <c r="M25" i="1"/>
  <c r="M23" i="1"/>
  <c r="M22" i="1"/>
  <c r="M21" i="1"/>
  <c r="M20" i="1"/>
  <c r="M19" i="1"/>
  <c r="M18" i="1"/>
  <c r="M16" i="1"/>
  <c r="L15" i="1"/>
  <c r="K15" i="1"/>
  <c r="J15" i="1"/>
  <c r="I15" i="1"/>
  <c r="H15" i="1"/>
  <c r="M14" i="1"/>
  <c r="M13" i="1"/>
  <c r="M12" i="1"/>
  <c r="M10" i="1"/>
  <c r="M9" i="1"/>
  <c r="M8" i="1"/>
  <c r="M7" i="1"/>
  <c r="M6" i="1"/>
  <c r="M5" i="1"/>
  <c r="M4" i="1"/>
  <c r="C40" i="1"/>
  <c r="D40" i="1"/>
  <c r="E40" i="1"/>
  <c r="F40" i="1"/>
  <c r="B40" i="1"/>
  <c r="G17" i="1"/>
  <c r="G18" i="1"/>
  <c r="G19" i="1"/>
  <c r="G20" i="1"/>
  <c r="G21" i="1"/>
  <c r="G22" i="1"/>
  <c r="G23" i="1"/>
  <c r="G25" i="1"/>
  <c r="G26" i="1"/>
  <c r="G27" i="1"/>
  <c r="G28" i="1"/>
  <c r="G29" i="1"/>
  <c r="G30" i="1"/>
  <c r="G31" i="1"/>
  <c r="G33" i="1"/>
  <c r="G34" i="1"/>
  <c r="G35" i="1"/>
  <c r="G36" i="1"/>
  <c r="G37" i="1"/>
  <c r="G38" i="1"/>
  <c r="G39" i="1"/>
  <c r="G16" i="1"/>
  <c r="C15" i="1"/>
  <c r="D15" i="1"/>
  <c r="E15" i="1"/>
  <c r="F15" i="1"/>
  <c r="B15" i="1"/>
  <c r="G5" i="1"/>
  <c r="G6" i="1"/>
  <c r="G7" i="1"/>
  <c r="G9" i="1"/>
  <c r="G10" i="1"/>
  <c r="G12" i="1"/>
  <c r="G13" i="1"/>
  <c r="G14" i="1"/>
  <c r="G4" i="1"/>
  <c r="Y101" i="1" l="1"/>
  <c r="AB90" i="1"/>
  <c r="N18" i="1"/>
  <c r="N52" i="1"/>
  <c r="N71" i="1"/>
  <c r="N74" i="1"/>
  <c r="N33" i="1"/>
  <c r="N27" i="1"/>
  <c r="N14" i="1"/>
  <c r="N30" i="1"/>
  <c r="N51" i="1"/>
  <c r="N57" i="1"/>
  <c r="N39" i="1"/>
  <c r="N26" i="1"/>
  <c r="N38" i="1"/>
  <c r="N37" i="1"/>
  <c r="N31" i="1"/>
  <c r="N25" i="1"/>
  <c r="N13" i="1"/>
  <c r="N36" i="1"/>
  <c r="N12" i="1"/>
  <c r="N6" i="1"/>
  <c r="N35" i="1"/>
  <c r="N23" i="1"/>
  <c r="N34" i="1"/>
  <c r="N28" i="1"/>
  <c r="N53" i="1"/>
  <c r="N56" i="1"/>
  <c r="N78" i="1"/>
  <c r="N16" i="1"/>
  <c r="N80" i="1"/>
  <c r="AC83" i="1"/>
  <c r="N79" i="1"/>
  <c r="N82" i="1"/>
  <c r="AB47" i="1"/>
  <c r="V47" i="1"/>
  <c r="N22" i="1"/>
  <c r="N29" i="1"/>
  <c r="N10" i="1"/>
  <c r="N72" i="1"/>
  <c r="N76" i="1"/>
  <c r="N9" i="1"/>
  <c r="N8" i="1"/>
  <c r="N17" i="1"/>
  <c r="N81" i="1"/>
  <c r="N7" i="1"/>
  <c r="N54" i="1"/>
  <c r="N73" i="1"/>
  <c r="N77" i="1"/>
  <c r="AC40" i="1"/>
  <c r="AB41" i="1"/>
  <c r="AC15" i="1"/>
  <c r="V41" i="1"/>
  <c r="W84" i="1"/>
  <c r="W90" i="1" s="1"/>
  <c r="W101" i="1" s="1"/>
  <c r="W127" i="1" s="1"/>
  <c r="AB58" i="1"/>
  <c r="AB84" i="1" s="1"/>
  <c r="Q84" i="1"/>
  <c r="Q90" i="1" s="1"/>
  <c r="Q101" i="1" s="1"/>
  <c r="Q127" i="1" s="1"/>
  <c r="V58" i="1"/>
  <c r="N5" i="1"/>
  <c r="N20" i="1"/>
  <c r="N21" i="1"/>
  <c r="N19" i="1"/>
  <c r="N4" i="1"/>
  <c r="H41" i="1"/>
  <c r="H47" i="1" s="1"/>
  <c r="H58" i="1" s="1"/>
  <c r="H84" i="1" s="1"/>
  <c r="H90" i="1" s="1"/>
  <c r="H101" i="1" s="1"/>
  <c r="H127" i="1" s="1"/>
  <c r="H133" i="1" s="1"/>
  <c r="H144" i="1" s="1"/>
  <c r="D41" i="1"/>
  <c r="D47" i="1" s="1"/>
  <c r="D58" i="1" s="1"/>
  <c r="D84" i="1" s="1"/>
  <c r="D90" i="1" s="1"/>
  <c r="B41" i="1"/>
  <c r="B47" i="1" s="1"/>
  <c r="B58" i="1" s="1"/>
  <c r="B84" i="1" s="1"/>
  <c r="B90" i="1" s="1"/>
  <c r="B101" i="1" s="1"/>
  <c r="B127" i="1" s="1"/>
  <c r="B133" i="1" s="1"/>
  <c r="K41" i="1"/>
  <c r="K47" i="1" s="1"/>
  <c r="K58" i="1" s="1"/>
  <c r="K84" i="1" s="1"/>
  <c r="K90" i="1" s="1"/>
  <c r="K101" i="1" s="1"/>
  <c r="K127" i="1" s="1"/>
  <c r="K133" i="1" s="1"/>
  <c r="K144" i="1" s="1"/>
  <c r="K170" i="1" s="1"/>
  <c r="G40" i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M15" i="1"/>
  <c r="M40" i="1"/>
  <c r="G83" i="1"/>
  <c r="M83" i="1"/>
  <c r="G15" i="1"/>
  <c r="I41" i="1"/>
  <c r="I47" i="1" s="1"/>
  <c r="I58" i="1" s="1"/>
  <c r="I84" i="1" s="1"/>
  <c r="I90" i="1" s="1"/>
  <c r="I101" i="1" s="1"/>
  <c r="I127" i="1" s="1"/>
  <c r="I133" i="1" s="1"/>
  <c r="J41" i="1"/>
  <c r="J47" i="1" s="1"/>
  <c r="J58" i="1" s="1"/>
  <c r="J84" i="1" s="1"/>
  <c r="J90" i="1" s="1"/>
  <c r="F41" i="1"/>
  <c r="F47" i="1" s="1"/>
  <c r="F58" i="1" s="1"/>
  <c r="F84" i="1" s="1"/>
  <c r="F90" i="1" s="1"/>
  <c r="F101" i="1" s="1"/>
  <c r="F127" i="1" s="1"/>
  <c r="F133" i="1" s="1"/>
  <c r="F144" i="1" s="1"/>
  <c r="F170" i="1" s="1"/>
  <c r="L41" i="1"/>
  <c r="L47" i="1" s="1"/>
  <c r="L58" i="1" s="1"/>
  <c r="L84" i="1" s="1"/>
  <c r="L90" i="1" s="1"/>
  <c r="L101" i="1" s="1"/>
  <c r="L127" i="1" s="1"/>
  <c r="L133" i="1" s="1"/>
  <c r="L144" i="1" s="1"/>
  <c r="L170" i="1" s="1"/>
  <c r="I144" i="1" l="1"/>
  <c r="I170" i="1" s="1"/>
  <c r="H170" i="1"/>
  <c r="B144" i="1"/>
  <c r="U133" i="1"/>
  <c r="V90" i="1"/>
  <c r="AC90" i="1"/>
  <c r="Y127" i="1"/>
  <c r="W133" i="1" s="1"/>
  <c r="W144" i="1" s="1"/>
  <c r="W170" i="1" s="1"/>
  <c r="AB101" i="1"/>
  <c r="J101" i="1"/>
  <c r="M90" i="1"/>
  <c r="D101" i="1"/>
  <c r="G90" i="1"/>
  <c r="N90" i="1" s="1"/>
  <c r="AC47" i="1"/>
  <c r="N83" i="1"/>
  <c r="AC41" i="1"/>
  <c r="AC58" i="1"/>
  <c r="V84" i="1"/>
  <c r="AC84" i="1" s="1"/>
  <c r="N40" i="1"/>
  <c r="N15" i="1"/>
  <c r="G41" i="1"/>
  <c r="G47" i="1"/>
  <c r="M41" i="1"/>
  <c r="G58" i="1"/>
  <c r="G84" i="1" s="1"/>
  <c r="M47" i="1"/>
  <c r="M58" i="1"/>
  <c r="B170" i="1" l="1"/>
  <c r="Z133" i="1"/>
  <c r="AA133" i="1" s="1"/>
  <c r="Z144" i="1"/>
  <c r="Z170" i="1" s="1"/>
  <c r="U144" i="1"/>
  <c r="V101" i="1"/>
  <c r="V127" i="1" s="1"/>
  <c r="AB127" i="1"/>
  <c r="J127" i="1"/>
  <c r="J133" i="1" s="1"/>
  <c r="M101" i="1"/>
  <c r="M127" i="1" s="1"/>
  <c r="D127" i="1"/>
  <c r="D133" i="1" s="1"/>
  <c r="G101" i="1"/>
  <c r="N47" i="1"/>
  <c r="N41" i="1"/>
  <c r="M84" i="1"/>
  <c r="N84" i="1" s="1"/>
  <c r="N58" i="1"/>
  <c r="J144" i="1" l="1"/>
  <c r="M133" i="1"/>
  <c r="D144" i="1"/>
  <c r="G133" i="1"/>
  <c r="U170" i="1"/>
  <c r="AA170" i="1" s="1"/>
  <c r="AA144" i="1"/>
  <c r="AC101" i="1"/>
  <c r="AC127" i="1"/>
  <c r="G127" i="1"/>
  <c r="N127" i="1" s="1"/>
  <c r="N101" i="1"/>
  <c r="N133" i="1" l="1"/>
  <c r="D170" i="1"/>
  <c r="G144" i="1"/>
  <c r="J170" i="1"/>
  <c r="M144" i="1"/>
  <c r="M170" i="1" s="1"/>
  <c r="G170" i="1" l="1"/>
  <c r="N170" i="1" s="1"/>
  <c r="N144" i="1"/>
</calcChain>
</file>

<file path=xl/sharedStrings.xml><?xml version="1.0" encoding="utf-8"?>
<sst xmlns="http://schemas.openxmlformats.org/spreadsheetml/2006/main" count="456" uniqueCount="90">
  <si>
    <t>カラー</t>
  </si>
  <si>
    <t>サイズ</t>
  </si>
  <si>
    <t>計</t>
  </si>
  <si>
    <t>初回</t>
    <rPh sb="0" eb="2">
      <t>ショカイ</t>
    </rPh>
    <phoneticPr fontId="4"/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</si>
  <si>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</si>
  <si>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</si>
  <si>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</si>
  <si>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</si>
  <si>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S</t>
    <phoneticPr fontId="1"/>
  </si>
  <si>
    <t>M</t>
    <phoneticPr fontId="1"/>
  </si>
  <si>
    <t>L</t>
    <phoneticPr fontId="1"/>
  </si>
  <si>
    <t>LL</t>
    <phoneticPr fontId="1"/>
  </si>
  <si>
    <t>3L</t>
    <phoneticPr fontId="1"/>
  </si>
  <si>
    <t>ベージュ</t>
    <phoneticPr fontId="1"/>
  </si>
  <si>
    <t>ブラック</t>
    <phoneticPr fontId="1"/>
  </si>
  <si>
    <t>＜骨盤＆大転子ランウェイベルト　夢販在庫＞</t>
    <rPh sb="1" eb="3">
      <t>コツバン</t>
    </rPh>
    <rPh sb="4" eb="7">
      <t>ダイテンシ</t>
    </rPh>
    <rPh sb="16" eb="18">
      <t>ユメハン</t>
    </rPh>
    <rPh sb="18" eb="20">
      <t>ザイコ</t>
    </rPh>
    <phoneticPr fontId="4"/>
  </si>
  <si>
    <t>合計</t>
    <rPh sb="0" eb="2">
      <t>ゴウケイ</t>
    </rPh>
    <phoneticPr fontId="1"/>
  </si>
  <si>
    <t>JODメルシー0518</t>
    <phoneticPr fontId="1"/>
  </si>
  <si>
    <t>5/18～</t>
    <phoneticPr fontId="1"/>
  </si>
  <si>
    <t>＜骨盤＆大転子ランウェイベルト　K-PORT在庫＞@1200-3980</t>
    <rPh sb="1" eb="3">
      <t>コツバン</t>
    </rPh>
    <rPh sb="4" eb="7">
      <t>ダイテンシ</t>
    </rPh>
    <rPh sb="22" eb="24">
      <t>ザイコ</t>
    </rPh>
    <phoneticPr fontId="4"/>
  </si>
  <si>
    <t>ニッセン23秋号</t>
    <rPh sb="6" eb="8">
      <t>アキゴウ</t>
    </rPh>
    <phoneticPr fontId="1"/>
  </si>
  <si>
    <t>8/20～</t>
    <phoneticPr fontId="1"/>
  </si>
  <si>
    <t>夢販</t>
    <rPh sb="0" eb="2">
      <t>ユメハン</t>
    </rPh>
    <phoneticPr fontId="1"/>
  </si>
  <si>
    <t>ネット</t>
    <phoneticPr fontId="1"/>
  </si>
  <si>
    <t>JOD①</t>
    <phoneticPr fontId="1"/>
  </si>
  <si>
    <t>牧野</t>
    <rPh sb="0" eb="2">
      <t>マキノ</t>
    </rPh>
    <phoneticPr fontId="1"/>
  </si>
  <si>
    <t>ディノス7月チラシWEB先行①</t>
    <rPh sb="5" eb="6">
      <t>ガツ</t>
    </rPh>
    <rPh sb="12" eb="14">
      <t>センコウ</t>
    </rPh>
    <phoneticPr fontId="1"/>
  </si>
  <si>
    <t>2023/5/10数伝</t>
    <rPh sb="9" eb="11">
      <t>スウデン</t>
    </rPh>
    <phoneticPr fontId="1"/>
  </si>
  <si>
    <t>JOD②</t>
    <phoneticPr fontId="1"/>
  </si>
  <si>
    <t>JOD③</t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</si>
  <si>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</si>
  <si>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</si>
  <si>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</si>
  <si>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</si>
  <si>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ディノス7月美健セレクトチラシ</t>
    <rPh sb="5" eb="6">
      <t>ガツ</t>
    </rPh>
    <rPh sb="6" eb="7">
      <t>ビ</t>
    </rPh>
    <rPh sb="7" eb="8">
      <t>ケン</t>
    </rPh>
    <phoneticPr fontId="1"/>
  </si>
  <si>
    <t>7/4～10/30</t>
    <phoneticPr fontId="1"/>
  </si>
  <si>
    <t>JOD⑧</t>
    <phoneticPr fontId="1"/>
  </si>
  <si>
    <t>JOD⑨</t>
    <phoneticPr fontId="1"/>
  </si>
  <si>
    <t>ニッセン①</t>
    <phoneticPr fontId="1"/>
  </si>
  <si>
    <t>藤井</t>
    <rPh sb="0" eb="2">
      <t>フジイ</t>
    </rPh>
    <phoneticPr fontId="1"/>
  </si>
  <si>
    <t>ディノス7月美健セレクトチラシ②</t>
    <rPh sb="5" eb="6">
      <t>ガツ</t>
    </rPh>
    <rPh sb="6" eb="7">
      <t>ビ</t>
    </rPh>
    <rPh sb="7" eb="8">
      <t>ケン</t>
    </rPh>
    <phoneticPr fontId="1"/>
  </si>
  <si>
    <t>JOD⑩</t>
    <phoneticPr fontId="1"/>
  </si>
  <si>
    <t>ディノス7月美健セレクトチラシ③</t>
    <rPh sb="5" eb="6">
      <t>ガツ</t>
    </rPh>
    <rPh sb="6" eb="7">
      <t>ビ</t>
    </rPh>
    <rPh sb="7" eb="8">
      <t>ケン</t>
    </rPh>
    <phoneticPr fontId="1"/>
  </si>
  <si>
    <t>JOD返品</t>
    <rPh sb="3" eb="5">
      <t>ヘンピン</t>
    </rPh>
    <phoneticPr fontId="4"/>
  </si>
  <si>
    <t>ディノス7月美健セレクトチラシ④</t>
    <rPh sb="5" eb="6">
      <t>ガツ</t>
    </rPh>
    <rPh sb="6" eb="7">
      <t>ビ</t>
    </rPh>
    <rPh sb="7" eb="8">
      <t>ケン</t>
    </rPh>
    <phoneticPr fontId="1"/>
  </si>
  <si>
    <t>ディノス7月美健セレクトチラシ⑤</t>
    <rPh sb="5" eb="6">
      <t>ガツ</t>
    </rPh>
    <rPh sb="6" eb="7">
      <t>ビ</t>
    </rPh>
    <rPh sb="7" eb="8">
      <t>ケン</t>
    </rPh>
    <phoneticPr fontId="1"/>
  </si>
  <si>
    <t>夢販移動</t>
    <rPh sb="0" eb="2">
      <t>ユメハン</t>
    </rPh>
    <rPh sb="2" eb="4">
      <t>イドウ</t>
    </rPh>
    <phoneticPr fontId="4"/>
  </si>
  <si>
    <t>KPORT</t>
    <phoneticPr fontId="1"/>
  </si>
  <si>
    <t>ディノス7月美健セレクトチラシ⑥</t>
    <rPh sb="5" eb="6">
      <t>ガツ</t>
    </rPh>
    <rPh sb="6" eb="7">
      <t>ビ</t>
    </rPh>
    <rPh sb="7" eb="8">
      <t>ケン</t>
    </rPh>
    <phoneticPr fontId="1"/>
  </si>
  <si>
    <t>ディノス7月美健セレクトチラシ⑧</t>
    <rPh sb="5" eb="6">
      <t>ガツ</t>
    </rPh>
    <rPh sb="6" eb="7">
      <t>ビ</t>
    </rPh>
    <rPh sb="7" eb="8">
      <t>ケン</t>
    </rPh>
    <phoneticPr fontId="1"/>
  </si>
  <si>
    <t>在庫確認</t>
    <rPh sb="0" eb="4">
      <t>ザイコカクニン</t>
    </rPh>
    <phoneticPr fontId="4"/>
  </si>
  <si>
    <t>JOD⑪</t>
    <phoneticPr fontId="1"/>
  </si>
  <si>
    <t>JOD⑫</t>
    <phoneticPr fontId="1"/>
  </si>
  <si>
    <t>ディノス返品</t>
    <rPh sb="4" eb="6">
      <t>ヘンピン</t>
    </rPh>
    <phoneticPr fontId="4"/>
  </si>
  <si>
    <t>ディノス7月美健セレクトチラシ⑨</t>
    <rPh sb="5" eb="6">
      <t>ガツ</t>
    </rPh>
    <rPh sb="6" eb="7">
      <t>ビ</t>
    </rPh>
    <rPh sb="7" eb="8">
      <t>ケン</t>
    </rPh>
    <phoneticPr fontId="1"/>
  </si>
  <si>
    <t>JOD⑬</t>
    <phoneticPr fontId="1"/>
  </si>
  <si>
    <t>ディノス7月美健セレクトチラシ⑩</t>
    <rPh sb="5" eb="6">
      <t>ガツ</t>
    </rPh>
    <rPh sb="6" eb="7">
      <t>ビ</t>
    </rPh>
    <rPh sb="7" eb="8">
      <t>ケン</t>
    </rPh>
    <phoneticPr fontId="1"/>
  </si>
  <si>
    <t>ディノス7月美健セレクトチラシ⑪</t>
    <rPh sb="5" eb="6">
      <t>ガツ</t>
    </rPh>
    <rPh sb="6" eb="7">
      <t>ビ</t>
    </rPh>
    <rPh sb="7" eb="8">
      <t>ケン</t>
    </rPh>
    <phoneticPr fontId="1"/>
  </si>
  <si>
    <t>ディノス7月美健セレクトチラシ⑫</t>
    <rPh sb="5" eb="6">
      <t>ガツ</t>
    </rPh>
    <rPh sb="6" eb="7">
      <t>ビ</t>
    </rPh>
    <rPh sb="7" eb="8">
      <t>ケン</t>
    </rPh>
    <phoneticPr fontId="1"/>
  </si>
  <si>
    <t>夢販</t>
    <rPh sb="0" eb="2">
      <t>ユメハン</t>
    </rPh>
    <phoneticPr fontId="4"/>
  </si>
  <si>
    <t>JOD⑭</t>
    <phoneticPr fontId="1"/>
  </si>
  <si>
    <t>ディノス7月美健セレクトチラシ⑬</t>
    <rPh sb="5" eb="6">
      <t>ガツ</t>
    </rPh>
    <rPh sb="6" eb="7">
      <t>ビ</t>
    </rPh>
    <rPh sb="7" eb="8">
      <t>ケン</t>
    </rPh>
    <phoneticPr fontId="1"/>
  </si>
  <si>
    <t>ディノス7月美健セレクトチラシ⑭</t>
    <rPh sb="5" eb="6">
      <t>ガツ</t>
    </rPh>
    <rPh sb="6" eb="7">
      <t>ビ</t>
    </rPh>
    <rPh sb="7" eb="8">
      <t>ケン</t>
    </rPh>
    <phoneticPr fontId="1"/>
  </si>
  <si>
    <t>ディノス7月美健セレクトチラシ⑮</t>
    <rPh sb="5" eb="6">
      <t>ガツ</t>
    </rPh>
    <rPh sb="6" eb="7">
      <t>ビ</t>
    </rPh>
    <rPh sb="7" eb="8">
      <t>ケン</t>
    </rPh>
    <phoneticPr fontId="1"/>
  </si>
  <si>
    <t>ディノス7月美健セレクトチラシ⑯</t>
    <rPh sb="5" eb="6">
      <t>ガツ</t>
    </rPh>
    <rPh sb="6" eb="7">
      <t>ビ</t>
    </rPh>
    <rPh sb="7" eb="8">
      <t>ケン</t>
    </rPh>
    <phoneticPr fontId="1"/>
  </si>
  <si>
    <t>KPORT</t>
    <phoneticPr fontId="1"/>
  </si>
  <si>
    <t>ニッセン②</t>
    <phoneticPr fontId="1"/>
  </si>
  <si>
    <t>ディノス7月美健セレクトチラシ⑰</t>
    <rPh sb="5" eb="6">
      <t>ガツ</t>
    </rPh>
    <rPh sb="6" eb="7">
      <t>ビ</t>
    </rPh>
    <rPh sb="7" eb="8">
      <t>ケン</t>
    </rPh>
    <phoneticPr fontId="1"/>
  </si>
  <si>
    <t>サクラマチsample</t>
    <phoneticPr fontId="1"/>
  </si>
  <si>
    <t>ニッセン③</t>
    <phoneticPr fontId="1"/>
  </si>
  <si>
    <t>ディノス7月美健セレクトチラシ⑱</t>
    <rPh sb="5" eb="6">
      <t>ガツ</t>
    </rPh>
    <rPh sb="6" eb="7">
      <t>ビ</t>
    </rPh>
    <rPh sb="7" eb="8">
      <t>ケン</t>
    </rPh>
    <phoneticPr fontId="1"/>
  </si>
  <si>
    <t>ニッセン④</t>
    <phoneticPr fontId="1"/>
  </si>
  <si>
    <t>ニッセン⑤</t>
    <phoneticPr fontId="1"/>
  </si>
  <si>
    <t>ニッセン⑥</t>
    <phoneticPr fontId="1"/>
  </si>
  <si>
    <t>ニッセン⑦</t>
    <phoneticPr fontId="1"/>
  </si>
  <si>
    <t>夢販移動</t>
    <rPh sb="0" eb="2">
      <t>ユメハン</t>
    </rPh>
    <rPh sb="2" eb="4">
      <t>イドウ</t>
    </rPh>
    <phoneticPr fontId="1"/>
  </si>
  <si>
    <t>ニッセン⑧</t>
    <phoneticPr fontId="1"/>
  </si>
  <si>
    <t>ニッセン⑨</t>
    <phoneticPr fontId="1"/>
  </si>
  <si>
    <t>JOD色合わせ用sample</t>
    <rPh sb="3" eb="4">
      <t>イロ</t>
    </rPh>
    <rPh sb="4" eb="5">
      <t>ア</t>
    </rPh>
    <rPh sb="7" eb="8">
      <t>ヨウ</t>
    </rPh>
    <phoneticPr fontId="1"/>
  </si>
  <si>
    <t>営業sample</t>
    <rPh sb="0" eb="2">
      <t>エイギョウ</t>
    </rPh>
    <phoneticPr fontId="1"/>
  </si>
  <si>
    <t>JODメルシー0825</t>
    <phoneticPr fontId="1"/>
  </si>
  <si>
    <t>8/25～</t>
    <phoneticPr fontId="1"/>
  </si>
  <si>
    <t>2025年</t>
    <rPh sb="4" eb="5">
      <t>ネン</t>
    </rPh>
    <phoneticPr fontId="1"/>
  </si>
  <si>
    <t>夢販</t>
    <rPh sb="0" eb="2">
      <t>ユメハン</t>
    </rPh>
    <phoneticPr fontId="1"/>
  </si>
  <si>
    <t>夢販</t>
    <rPh sb="0" eb="2">
      <t>ユメハン</t>
    </rPh>
    <phoneticPr fontId="1"/>
  </si>
  <si>
    <t>西夢</t>
    <rPh sb="0" eb="2">
      <t>ニシユメ</t>
    </rPh>
    <phoneticPr fontId="1"/>
  </si>
  <si>
    <t>ニッセン</t>
    <phoneticPr fontId="1"/>
  </si>
  <si>
    <t>JOD色合わせ用sample返却</t>
    <rPh sb="3" eb="4">
      <t>イロ</t>
    </rPh>
    <rPh sb="4" eb="5">
      <t>ア</t>
    </rPh>
    <rPh sb="7" eb="8">
      <t>ヨウ</t>
    </rPh>
    <rPh sb="14" eb="16">
      <t>ヘンキャク</t>
    </rPh>
    <phoneticPr fontId="1"/>
  </si>
  <si>
    <t>JOD⑮</t>
    <phoneticPr fontId="1"/>
  </si>
  <si>
    <t>JOD⑯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</si>
</sst>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2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9" fontId="11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2" borderId="6" xfId="1" applyFill="1" applyBorder="1"/>
    <xf numFmtId="0" fontId="5" fillId="0" borderId="7" xfId="1" applyFont="1" applyBorder="1" applyAlignment="1">
      <alignment horizontal="center" vertical="center"/>
    </xf>
    <xf numFmtId="0" fontId="2" fillId="2" borderId="8" xfId="1" applyFill="1" applyBorder="1"/>
    <xf numFmtId="0" fontId="7" fillId="0" borderId="1" xfId="1" applyFont="1" applyBorder="1" applyAlignment="1">
      <alignment horizontal="center" vertical="center"/>
    </xf>
    <xf numFmtId="0" fontId="7" fillId="2" borderId="1" xfId="1" applyFont="1" applyFill="1" applyBorder="1"/>
    <xf numFmtId="0" fontId="2" fillId="0" borderId="6" xfId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2" borderId="4" xfId="1" applyFont="1" applyFill="1" applyBorder="1"/>
    <xf numFmtId="0" fontId="10" fillId="0" borderId="0" xfId="1" applyFont="1" applyAlignment="1">
      <alignment horizontal="center"/>
    </xf>
    <xf numFmtId="0" fontId="9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2" fillId="2" borderId="1" xfId="1" applyFill="1" applyBorder="1"/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/>
    <xf numFmtId="0" fontId="3" fillId="0" borderId="0" xfId="1" applyFont="1"/>
    <xf numFmtId="0" fontId="2" fillId="0" borderId="0" xfId="1"/>
    <xf numFmtId="0" fontId="2" fillId="2" borderId="9" xfId="1" applyFill="1" applyBorder="1"/>
    <xf numFmtId="0" fontId="2" fillId="2" borderId="10" xfId="1" applyFill="1" applyBorder="1"/>
    <xf numFmtId="0" fontId="0" fillId="0" borderId="1" xfId="0" applyBorder="1">
      <alignment vertical="center"/>
    </xf>
    <xf numFmtId="0" fontId="8" fillId="0" borderId="1" xfId="0" applyFont="1" applyBorder="1" applyAlignment="1">
      <alignment horizontal="right" vertical="center"/>
    </xf>
    <xf numFmtId="0" fontId="12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56" fontId="0" fillId="0" borderId="0" xfId="0" applyNumberFormat="1">
      <alignment vertical="center"/>
    </xf>
    <xf numFmtId="56" fontId="13" fillId="0" borderId="0" xfId="0" applyNumberFormat="1" applyFont="1">
      <alignment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2" fillId="0" borderId="18" xfId="1" applyBorder="1"/>
    <xf numFmtId="0" fontId="2" fillId="0" borderId="19" xfId="1" applyBorder="1"/>
    <xf numFmtId="0" fontId="2" fillId="0" borderId="20" xfId="1" applyBorder="1"/>
    <xf numFmtId="0" fontId="2" fillId="0" borderId="21" xfId="1" applyBorder="1"/>
    <xf numFmtId="0" fontId="2" fillId="0" borderId="22" xfId="1" applyBorder="1"/>
    <xf numFmtId="0" fontId="2" fillId="0" borderId="23" xfId="1" applyBorder="1"/>
    <xf numFmtId="0" fontId="7" fillId="0" borderId="12" xfId="1" applyFont="1" applyBorder="1"/>
    <xf numFmtId="0" fontId="7" fillId="0" borderId="13" xfId="1" applyFont="1" applyBorder="1"/>
    <xf numFmtId="0" fontId="7" fillId="0" borderId="14" xfId="1" applyFont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18" xfId="1" applyBorder="1" applyAlignment="1">
      <alignment horizontal="right" vertical="center"/>
    </xf>
    <xf numFmtId="0" fontId="2" fillId="0" borderId="19" xfId="1" applyBorder="1" applyAlignment="1">
      <alignment horizontal="right" vertical="center"/>
    </xf>
    <xf numFmtId="0" fontId="2" fillId="0" borderId="20" xfId="1" applyBorder="1" applyAlignment="1">
      <alignment horizontal="right" vertical="center"/>
    </xf>
    <xf numFmtId="0" fontId="7" fillId="0" borderId="18" xfId="1" applyFont="1" applyBorder="1"/>
    <xf numFmtId="0" fontId="7" fillId="0" borderId="19" xfId="1" applyFont="1" applyBorder="1"/>
    <xf numFmtId="0" fontId="7" fillId="0" borderId="24" xfId="1" applyFont="1" applyBorder="1"/>
    <xf numFmtId="0" fontId="7" fillId="2" borderId="12" xfId="1" applyFont="1" applyFill="1" applyBorder="1"/>
    <xf numFmtId="0" fontId="7" fillId="2" borderId="13" xfId="1" applyFont="1" applyFill="1" applyBorder="1"/>
    <xf numFmtId="0" fontId="7" fillId="2" borderId="14" xfId="1" applyFont="1" applyFill="1" applyBorder="1"/>
    <xf numFmtId="0" fontId="2" fillId="0" borderId="18" xfId="2" applyNumberFormat="1" applyFont="1" applyBorder="1" applyAlignment="1"/>
    <xf numFmtId="0" fontId="2" fillId="0" borderId="19" xfId="2" applyNumberFormat="1" applyFont="1" applyBorder="1" applyAlignment="1"/>
    <xf numFmtId="0" fontId="2" fillId="0" borderId="20" xfId="2" applyNumberFormat="1" applyFont="1" applyBorder="1" applyAlignment="1"/>
    <xf numFmtId="0" fontId="2" fillId="0" borderId="24" xfId="1" applyBorder="1"/>
    <xf numFmtId="0" fontId="13" fillId="0" borderId="0" xfId="0" applyFont="1">
      <alignment vertical="center"/>
    </xf>
    <xf numFmtId="0" fontId="2" fillId="0" borderId="12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2" fillId="2" borderId="4" xfId="1" applyFill="1" applyBorder="1"/>
    <xf numFmtId="0" fontId="13" fillId="0" borderId="1" xfId="0" applyFont="1" applyBorder="1" applyAlignment="1">
      <alignment horizontal="right" vertical="center"/>
    </xf>
    <xf numFmtId="0" fontId="2" fillId="0" borderId="5" xfId="1" applyBorder="1" applyAlignment="1">
      <alignment horizontal="center" vertical="center" shrinkToFit="1"/>
    </xf>
    <xf numFmtId="0" fontId="2" fillId="0" borderId="20" xfId="1" applyBorder="1" applyAlignment="1">
      <alignment horizontal="center"/>
    </xf>
    <xf numFmtId="0" fontId="2" fillId="0" borderId="19" xfId="1" applyBorder="1" applyAlignment="1">
      <alignment horizontal="center"/>
    </xf>
    <xf numFmtId="0" fontId="2" fillId="2" borderId="5" xfId="1" applyFill="1" applyBorder="1"/>
    <xf numFmtId="0" fontId="13" fillId="0" borderId="5" xfId="0" applyFont="1" applyBorder="1" applyAlignment="1">
      <alignment horizontal="right" vertical="center"/>
    </xf>
    <xf numFmtId="0" fontId="5" fillId="0" borderId="8" xfId="1" applyFont="1" applyBorder="1" applyAlignment="1">
      <alignment horizontal="center" vertical="center"/>
    </xf>
    <xf numFmtId="0" fontId="2" fillId="0" borderId="25" xfId="1" applyBorder="1"/>
    <xf numFmtId="0" fontId="2" fillId="0" borderId="26" xfId="1" applyBorder="1"/>
    <xf numFmtId="0" fontId="2" fillId="0" borderId="27" xfId="1" applyBorder="1"/>
    <xf numFmtId="0" fontId="5" fillId="4" borderId="13" xfId="1" applyFont="1" applyFill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4" xfId="1" applyFont="1" applyFill="1" applyBorder="1" applyAlignment="1">
      <alignment horizontal="center" vertical="center"/>
    </xf>
    <xf numFmtId="0" fontId="2" fillId="4" borderId="19" xfId="1" applyFill="1" applyBorder="1"/>
    <xf numFmtId="0" fontId="2" fillId="4" borderId="20" xfId="1" applyFill="1" applyBorder="1"/>
    <xf numFmtId="0" fontId="7" fillId="4" borderId="13" xfId="1" applyFont="1" applyFill="1" applyBorder="1"/>
    <xf numFmtId="0" fontId="7" fillId="4" borderId="14" xfId="1" applyFont="1" applyFill="1" applyBorder="1"/>
    <xf numFmtId="0" fontId="2" fillId="4" borderId="19" xfId="2" applyNumberFormat="1" applyFont="1" applyFill="1" applyBorder="1" applyAlignment="1"/>
    <xf numFmtId="0" fontId="2" fillId="4" borderId="20" xfId="2" applyNumberFormat="1" applyFont="1" applyFill="1" applyBorder="1" applyAlignment="1"/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7" fillId="5" borderId="0" xfId="1" applyFont="1" applyFill="1"/>
    <xf numFmtId="0" fontId="0" fillId="5" borderId="0" xfId="0" applyFill="1">
      <alignment vertical="center"/>
    </xf>
    <xf numFmtId="0" fontId="0" fillId="0" borderId="28" xfId="0" applyBorder="1">
      <alignment vertical="center"/>
    </xf>
    <xf numFmtId="0" fontId="2" fillId="0" borderId="19" xfId="2" applyNumberFormat="1" applyFont="1" applyFill="1" applyBorder="1" applyAlignment="1"/>
    <xf numFmtId="0" fontId="2" fillId="0" borderId="20" xfId="2" applyNumberFormat="1" applyFont="1" applyFill="1" applyBorder="1" applyAlignment="1"/>
    <xf numFmtId="0" fontId="7" fillId="4" borderId="12" xfId="1" applyFont="1" applyFill="1" applyBorder="1"/>
    <xf numFmtId="0" fontId="5" fillId="3" borderId="4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14" fillId="5" borderId="0" xfId="1" applyFont="1" applyFill="1" applyAlignment="1">
      <alignment horizontal="center" vertical="center"/>
    </xf>
  </cellXfs>
  <cellStyles count="3">
    <cellStyle name="パーセント" xfId="2" builtinId="5"/>
    <cellStyle name="標準" xfId="0" builtinId="0"/>
    <cellStyle name="標準 2" xfId="1" xr:uid="{00000000-0005-0000-0000-000002000000}"/>
  </cellStyles>
  <dxfs count="0"/>
  <tableStyles count="0" defaultTableStyle="TableStyleMedium9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3"/>
  <sheetViews>
    <sheetView tabSelected="1" topLeftCell="A176" zoomScale="90" zoomScaleNormal="90" workbookViewId="0">
      <selection activeCell="O199" sqref="O199"/>
    </sheetView>
  </sheetViews>
  <sheetFormatPr defaultRowHeight="13.5" x14ac:dyDescent="0.15"/>
  <cols>
    <col min="1" max="1" width="22.625" customWidth="1"/>
    <col min="2" max="13" width="6.25" customWidth="1"/>
    <col min="14" max="14" width="8.625" customWidth="1"/>
    <col min="15" max="15" width="9.25" bestFit="1" customWidth="1"/>
    <col min="16" max="16" width="28" customWidth="1"/>
    <col min="17" max="27" width="6.25" customWidth="1"/>
    <col min="28" max="28" width="10" customWidth="1"/>
    <col min="29" max="29" width="8.625" customWidth="1"/>
    <col min="30" max="30" width="9.25" bestFit="1" customWidth="1"/>
  </cols>
  <sheetData>
    <row r="1" spans="1:30" ht="21.75" thickBot="1" x14ac:dyDescent="0.25">
      <c r="A1" s="21" t="s">
        <v>15</v>
      </c>
      <c r="B1" s="22"/>
      <c r="C1" s="22"/>
      <c r="D1" s="22"/>
      <c r="E1" s="22"/>
      <c r="F1" s="22"/>
      <c r="G1" s="14"/>
      <c r="H1" s="22"/>
      <c r="I1" s="22"/>
      <c r="J1" s="22"/>
      <c r="K1" s="22"/>
      <c r="L1" s="22"/>
      <c r="M1" s="14"/>
      <c r="P1" s="21" t="s">
        <v>19</v>
      </c>
      <c r="Q1" s="22"/>
      <c r="R1" s="22"/>
      <c r="S1" s="22"/>
      <c r="T1" s="22"/>
      <c r="U1" s="22"/>
      <c r="V1" s="14"/>
      <c r="W1" s="22"/>
      <c r="X1" s="22"/>
      <c r="Y1" s="22"/>
      <c r="Z1" s="22"/>
      <c r="AA1" s="22"/>
      <c r="AB1" s="14"/>
    </row>
    <row r="2" spans="1:30" ht="14.25" thickBot="1" x14ac:dyDescent="0.2">
      <c r="A2" s="1" t="s">
        <v>0</v>
      </c>
      <c r="B2" s="103" t="s">
        <v>13</v>
      </c>
      <c r="C2" s="103"/>
      <c r="D2" s="103"/>
      <c r="E2" s="103"/>
      <c r="F2" s="103"/>
      <c r="G2" s="104"/>
      <c r="H2" s="106" t="s">
        <v>14</v>
      </c>
      <c r="I2" s="106"/>
      <c r="J2" s="106"/>
      <c r="K2" s="106"/>
      <c r="L2" s="106"/>
      <c r="M2" s="106"/>
      <c r="N2" s="25"/>
      <c r="P2" s="1" t="s">
        <v>0</v>
      </c>
      <c r="Q2" s="103" t="s">
        <v>13</v>
      </c>
      <c r="R2" s="103"/>
      <c r="S2" s="103"/>
      <c r="T2" s="103"/>
      <c r="U2" s="103"/>
      <c r="V2" s="104"/>
      <c r="W2" s="106" t="s">
        <v>14</v>
      </c>
      <c r="X2" s="106"/>
      <c r="Y2" s="106"/>
      <c r="Z2" s="106"/>
      <c r="AA2" s="106"/>
      <c r="AB2" s="106"/>
      <c r="AC2" s="25"/>
    </row>
    <row r="3" spans="1:30" ht="14.25" thickBot="1" x14ac:dyDescent="0.2">
      <c r="A3" s="1" t="s">
        <v>1</v>
      </c>
      <c r="B3" s="32" t="s">
        <v>8</v>
      </c>
      <c r="C3" s="33" t="s">
        <v>9</v>
      </c>
      <c r="D3" s="33" t="s">
        <v>10</v>
      </c>
      <c r="E3" s="33" t="s">
        <v>11</v>
      </c>
      <c r="F3" s="34" t="s">
        <v>12</v>
      </c>
      <c r="G3" s="1" t="s">
        <v>2</v>
      </c>
      <c r="H3" s="32" t="s">
        <v>8</v>
      </c>
      <c r="I3" s="33" t="s">
        <v>9</v>
      </c>
      <c r="J3" s="33" t="s">
        <v>10</v>
      </c>
      <c r="K3" s="33" t="s">
        <v>11</v>
      </c>
      <c r="L3" s="34" t="s">
        <v>12</v>
      </c>
      <c r="M3" s="2" t="s">
        <v>2</v>
      </c>
      <c r="N3" s="27" t="s">
        <v>16</v>
      </c>
      <c r="P3" s="1" t="s">
        <v>1</v>
      </c>
      <c r="Q3" s="32" t="s">
        <v>8</v>
      </c>
      <c r="R3" s="33" t="s">
        <v>9</v>
      </c>
      <c r="S3" s="33" t="s">
        <v>10</v>
      </c>
      <c r="T3" s="33" t="s">
        <v>11</v>
      </c>
      <c r="U3" s="34" t="s">
        <v>12</v>
      </c>
      <c r="V3" s="1" t="s">
        <v>2</v>
      </c>
      <c r="W3" s="32" t="s">
        <v>8</v>
      </c>
      <c r="X3" s="33" t="s">
        <v>9</v>
      </c>
      <c r="Y3" s="33" t="s">
        <v>10</v>
      </c>
      <c r="Z3" s="33" t="s">
        <v>11</v>
      </c>
      <c r="AA3" s="34" t="s">
        <v>12</v>
      </c>
      <c r="AB3" s="2" t="s">
        <v>2</v>
      </c>
      <c r="AC3" s="27" t="s">
        <v>16</v>
      </c>
    </row>
    <row r="4" spans="1:30" ht="14.25" thickBot="1" x14ac:dyDescent="0.2">
      <c r="A4" s="18" t="s">
        <v>3</v>
      </c>
      <c r="B4" s="35">
        <v>2</v>
      </c>
      <c r="C4" s="36">
        <v>5</v>
      </c>
      <c r="D4" s="36">
        <v>5</v>
      </c>
      <c r="E4" s="36">
        <v>5</v>
      </c>
      <c r="F4" s="37">
        <v>3</v>
      </c>
      <c r="G4" s="9">
        <f>SUM(B4:F4)</f>
        <v>20</v>
      </c>
      <c r="H4" s="35">
        <v>2</v>
      </c>
      <c r="I4" s="36">
        <v>5</v>
      </c>
      <c r="J4" s="36">
        <v>5</v>
      </c>
      <c r="K4" s="36">
        <v>5</v>
      </c>
      <c r="L4" s="37">
        <v>3</v>
      </c>
      <c r="M4" s="13">
        <f>SUM(H4:L4)</f>
        <v>20</v>
      </c>
      <c r="N4" s="26">
        <f t="shared" ref="N4:N41" si="0">G4+M4</f>
        <v>40</v>
      </c>
      <c r="O4" s="30">
        <v>45062</v>
      </c>
      <c r="P4" s="1" t="s">
        <v>3</v>
      </c>
      <c r="Q4" s="70">
        <v>10</v>
      </c>
      <c r="R4" s="71">
        <v>30</v>
      </c>
      <c r="S4" s="71">
        <v>30</v>
      </c>
      <c r="T4" s="71">
        <v>20</v>
      </c>
      <c r="U4" s="72">
        <v>10</v>
      </c>
      <c r="V4" s="17">
        <f>SUM(Q4:U4)</f>
        <v>100</v>
      </c>
      <c r="W4" s="70">
        <v>10</v>
      </c>
      <c r="X4" s="71">
        <v>30</v>
      </c>
      <c r="Y4" s="71">
        <v>30</v>
      </c>
      <c r="Z4" s="71">
        <v>20</v>
      </c>
      <c r="AA4" s="72">
        <v>10</v>
      </c>
      <c r="AB4" s="73">
        <f>SUM(W4:AA4)</f>
        <v>100</v>
      </c>
      <c r="AC4" s="74">
        <f t="shared" ref="AC4:AC41" si="1">V4+AB4</f>
        <v>200</v>
      </c>
      <c r="AD4" s="31" t="s">
        <v>27</v>
      </c>
    </row>
    <row r="5" spans="1:30" x14ac:dyDescent="0.15">
      <c r="A5" s="16" t="s">
        <v>4</v>
      </c>
      <c r="B5" s="38"/>
      <c r="C5" s="39"/>
      <c r="D5" s="39"/>
      <c r="E5" s="39"/>
      <c r="F5" s="40">
        <v>2</v>
      </c>
      <c r="G5" s="5">
        <f t="shared" ref="G5:G15" si="2">SUM(B5:F5)</f>
        <v>2</v>
      </c>
      <c r="H5" s="38"/>
      <c r="I5" s="39"/>
      <c r="J5" s="39"/>
      <c r="K5" s="39"/>
      <c r="L5" s="40"/>
      <c r="M5" s="23">
        <f t="shared" ref="M5:M15" si="3">SUM(H5:L5)</f>
        <v>0</v>
      </c>
      <c r="N5" s="28">
        <f t="shared" si="0"/>
        <v>2</v>
      </c>
      <c r="O5" s="31">
        <v>45079</v>
      </c>
      <c r="P5" s="3" t="s">
        <v>4</v>
      </c>
      <c r="Q5" s="41"/>
      <c r="R5" s="42"/>
      <c r="S5" s="42"/>
      <c r="T5" s="42"/>
      <c r="U5" s="43">
        <v>8</v>
      </c>
      <c r="V5" s="5">
        <f t="shared" ref="V5:V14" si="4">SUM(Q5:U5)</f>
        <v>8</v>
      </c>
      <c r="W5" s="41"/>
      <c r="X5" s="42"/>
      <c r="Y5" s="42"/>
      <c r="Z5" s="42"/>
      <c r="AA5" s="43"/>
      <c r="AB5" s="23">
        <f t="shared" ref="AB5:AB14" si="5">SUM(W5:AA5)</f>
        <v>0</v>
      </c>
      <c r="AC5" s="28">
        <f t="shared" si="1"/>
        <v>8</v>
      </c>
      <c r="AD5" s="31">
        <v>45083</v>
      </c>
    </row>
    <row r="6" spans="1:30" x14ac:dyDescent="0.15">
      <c r="A6" s="3" t="s">
        <v>4</v>
      </c>
      <c r="B6" s="41"/>
      <c r="C6" s="42"/>
      <c r="D6" s="42"/>
      <c r="E6" s="42"/>
      <c r="F6" s="43">
        <v>3</v>
      </c>
      <c r="G6" s="5">
        <f t="shared" si="2"/>
        <v>3</v>
      </c>
      <c r="H6" s="41"/>
      <c r="I6" s="42"/>
      <c r="J6" s="42"/>
      <c r="K6" s="42"/>
      <c r="L6" s="43"/>
      <c r="M6" s="23">
        <f t="shared" si="3"/>
        <v>0</v>
      </c>
      <c r="N6" s="28">
        <f t="shared" si="0"/>
        <v>3</v>
      </c>
      <c r="O6" s="31">
        <v>45086</v>
      </c>
      <c r="P6" s="3" t="s">
        <v>4</v>
      </c>
      <c r="Q6" s="41"/>
      <c r="R6" s="42">
        <v>5</v>
      </c>
      <c r="S6" s="42"/>
      <c r="T6" s="42"/>
      <c r="U6" s="43">
        <v>2</v>
      </c>
      <c r="V6" s="5">
        <f t="shared" si="4"/>
        <v>7</v>
      </c>
      <c r="W6" s="41"/>
      <c r="X6" s="42"/>
      <c r="Y6" s="42">
        <v>3</v>
      </c>
      <c r="Z6" s="42">
        <v>3</v>
      </c>
      <c r="AA6" s="43">
        <v>3</v>
      </c>
      <c r="AB6" s="23">
        <f t="shared" si="5"/>
        <v>9</v>
      </c>
      <c r="AC6" s="28">
        <f t="shared" ref="AC6:AC14" si="6">V6+AB6</f>
        <v>16</v>
      </c>
      <c r="AD6" s="31">
        <v>45112</v>
      </c>
    </row>
    <row r="7" spans="1:30" x14ac:dyDescent="0.15">
      <c r="A7" s="3" t="s">
        <v>4</v>
      </c>
      <c r="B7" s="41"/>
      <c r="C7" s="42">
        <v>3</v>
      </c>
      <c r="D7" s="42"/>
      <c r="E7" s="42"/>
      <c r="F7" s="43"/>
      <c r="G7" s="5">
        <f t="shared" si="2"/>
        <v>3</v>
      </c>
      <c r="H7" s="41"/>
      <c r="I7" s="42"/>
      <c r="J7" s="42">
        <v>3</v>
      </c>
      <c r="K7" s="42">
        <v>3</v>
      </c>
      <c r="L7" s="43"/>
      <c r="M7" s="23">
        <f t="shared" si="3"/>
        <v>6</v>
      </c>
      <c r="N7" s="28">
        <f t="shared" si="0"/>
        <v>9</v>
      </c>
      <c r="O7" s="31">
        <v>45094</v>
      </c>
      <c r="P7" s="3" t="s">
        <v>4</v>
      </c>
      <c r="Q7" s="41"/>
      <c r="R7" s="42"/>
      <c r="S7" s="42"/>
      <c r="T7" s="42"/>
      <c r="U7" s="43"/>
      <c r="V7" s="5">
        <f t="shared" si="4"/>
        <v>0</v>
      </c>
      <c r="W7" s="41">
        <v>3</v>
      </c>
      <c r="X7" s="42"/>
      <c r="Y7" s="42"/>
      <c r="Z7" s="42"/>
      <c r="AA7" s="43"/>
      <c r="AB7" s="23">
        <f t="shared" si="5"/>
        <v>3</v>
      </c>
      <c r="AC7" s="28">
        <f t="shared" si="6"/>
        <v>3</v>
      </c>
      <c r="AD7" s="31">
        <v>45113</v>
      </c>
    </row>
    <row r="8" spans="1:30" x14ac:dyDescent="0.15">
      <c r="A8" s="3" t="s">
        <v>43</v>
      </c>
      <c r="B8" s="41">
        <v>1</v>
      </c>
      <c r="C8" s="42">
        <v>1</v>
      </c>
      <c r="D8" s="42"/>
      <c r="E8" s="42"/>
      <c r="F8" s="43"/>
      <c r="G8" s="5">
        <f t="shared" si="2"/>
        <v>2</v>
      </c>
      <c r="H8" s="41">
        <v>1</v>
      </c>
      <c r="I8" s="42"/>
      <c r="J8" s="42"/>
      <c r="K8" s="42"/>
      <c r="L8" s="43"/>
      <c r="M8" s="23">
        <f t="shared" si="3"/>
        <v>1</v>
      </c>
      <c r="N8" s="28">
        <f t="shared" si="0"/>
        <v>3</v>
      </c>
      <c r="O8" s="30">
        <v>45111</v>
      </c>
      <c r="P8" s="3" t="s">
        <v>46</v>
      </c>
      <c r="Q8" s="41"/>
      <c r="R8" s="42"/>
      <c r="S8" s="42"/>
      <c r="T8" s="42">
        <v>1</v>
      </c>
      <c r="U8" s="43">
        <v>1</v>
      </c>
      <c r="V8" s="5">
        <f t="shared" si="4"/>
        <v>2</v>
      </c>
      <c r="W8" s="41"/>
      <c r="X8" s="42"/>
      <c r="Y8" s="42"/>
      <c r="Z8" s="42"/>
      <c r="AA8" s="43">
        <v>1</v>
      </c>
      <c r="AB8" s="23">
        <f t="shared" si="5"/>
        <v>1</v>
      </c>
      <c r="AC8" s="28">
        <f t="shared" si="6"/>
        <v>3</v>
      </c>
      <c r="AD8" s="31">
        <v>45122</v>
      </c>
    </row>
    <row r="9" spans="1:30" x14ac:dyDescent="0.15">
      <c r="A9" s="3" t="s">
        <v>50</v>
      </c>
      <c r="B9" s="41">
        <v>0</v>
      </c>
      <c r="C9" s="42">
        <v>0</v>
      </c>
      <c r="D9" s="42">
        <v>0</v>
      </c>
      <c r="E9" s="42">
        <v>0</v>
      </c>
      <c r="F9" s="43">
        <v>0</v>
      </c>
      <c r="G9" s="5">
        <f t="shared" si="2"/>
        <v>0</v>
      </c>
      <c r="H9" s="41">
        <v>0</v>
      </c>
      <c r="I9" s="42">
        <v>0</v>
      </c>
      <c r="J9" s="42">
        <v>0</v>
      </c>
      <c r="K9" s="42">
        <v>0</v>
      </c>
      <c r="L9" s="43">
        <v>0</v>
      </c>
      <c r="M9" s="23">
        <f t="shared" si="3"/>
        <v>0</v>
      </c>
      <c r="N9" s="28">
        <f t="shared" si="0"/>
        <v>0</v>
      </c>
      <c r="O9" s="30">
        <v>45142</v>
      </c>
      <c r="P9" s="3" t="s">
        <v>4</v>
      </c>
      <c r="Q9" s="41"/>
      <c r="R9" s="42"/>
      <c r="S9" s="42"/>
      <c r="T9" s="42"/>
      <c r="U9" s="43">
        <v>1</v>
      </c>
      <c r="V9" s="5">
        <f t="shared" si="4"/>
        <v>1</v>
      </c>
      <c r="W9" s="41"/>
      <c r="X9" s="42"/>
      <c r="Y9" s="42"/>
      <c r="Z9" s="42"/>
      <c r="AA9" s="43">
        <v>1</v>
      </c>
      <c r="AB9" s="23">
        <f t="shared" si="5"/>
        <v>1</v>
      </c>
      <c r="AC9" s="28">
        <f t="shared" si="6"/>
        <v>2</v>
      </c>
      <c r="AD9" s="31">
        <v>45147</v>
      </c>
    </row>
    <row r="10" spans="1:30" x14ac:dyDescent="0.15">
      <c r="A10" s="3" t="s">
        <v>53</v>
      </c>
      <c r="B10" s="41"/>
      <c r="C10" s="42"/>
      <c r="D10" s="42">
        <v>1</v>
      </c>
      <c r="E10" s="42"/>
      <c r="F10" s="43"/>
      <c r="G10" s="5">
        <f t="shared" si="2"/>
        <v>1</v>
      </c>
      <c r="H10" s="41"/>
      <c r="I10" s="42"/>
      <c r="J10" s="42">
        <v>2</v>
      </c>
      <c r="K10" s="42"/>
      <c r="L10" s="43"/>
      <c r="M10" s="23">
        <f t="shared" si="3"/>
        <v>2</v>
      </c>
      <c r="N10" s="28">
        <f t="shared" si="0"/>
        <v>3</v>
      </c>
      <c r="O10" s="30">
        <v>45156</v>
      </c>
      <c r="P10" s="3" t="s">
        <v>4</v>
      </c>
      <c r="Q10" s="44"/>
      <c r="R10" s="45"/>
      <c r="S10" s="45"/>
      <c r="T10" s="45"/>
      <c r="U10" s="46"/>
      <c r="V10" s="5">
        <f t="shared" si="4"/>
        <v>0</v>
      </c>
      <c r="W10" s="44"/>
      <c r="X10" s="45"/>
      <c r="Y10" s="45"/>
      <c r="Z10" s="45"/>
      <c r="AA10" s="76">
        <v>2</v>
      </c>
      <c r="AB10" s="23">
        <f t="shared" si="5"/>
        <v>2</v>
      </c>
      <c r="AC10" s="28">
        <f t="shared" si="6"/>
        <v>2</v>
      </c>
      <c r="AD10" s="31">
        <v>45159</v>
      </c>
    </row>
    <row r="11" spans="1:30" x14ac:dyDescent="0.15">
      <c r="A11" s="3" t="s">
        <v>4</v>
      </c>
      <c r="B11" s="44"/>
      <c r="C11" s="45"/>
      <c r="D11" s="45"/>
      <c r="E11" s="45"/>
      <c r="F11" s="46"/>
      <c r="G11" s="5">
        <f t="shared" ref="G11" si="7">SUM(B11:F11)</f>
        <v>0</v>
      </c>
      <c r="H11" s="44"/>
      <c r="I11" s="45"/>
      <c r="J11" s="45"/>
      <c r="K11" s="45"/>
      <c r="L11" s="46"/>
      <c r="M11" s="23">
        <f t="shared" ref="M11" si="8">SUM(H11:L11)</f>
        <v>0</v>
      </c>
      <c r="N11" s="28">
        <f t="shared" ref="N11" si="9">G11+M11</f>
        <v>0</v>
      </c>
      <c r="P11" s="3" t="s">
        <v>4</v>
      </c>
      <c r="Q11" s="44"/>
      <c r="R11" s="45"/>
      <c r="S11" s="45"/>
      <c r="T11" s="45"/>
      <c r="U11" s="46">
        <v>1</v>
      </c>
      <c r="V11" s="5">
        <f t="shared" si="4"/>
        <v>1</v>
      </c>
      <c r="W11" s="44"/>
      <c r="X11" s="45"/>
      <c r="Y11" s="45"/>
      <c r="Z11" s="45"/>
      <c r="AA11" s="46"/>
      <c r="AB11" s="23">
        <f t="shared" si="5"/>
        <v>0</v>
      </c>
      <c r="AC11" s="28">
        <f t="shared" si="6"/>
        <v>1</v>
      </c>
      <c r="AD11" s="31">
        <v>45162</v>
      </c>
    </row>
    <row r="12" spans="1:30" x14ac:dyDescent="0.15">
      <c r="A12" s="3" t="s">
        <v>4</v>
      </c>
      <c r="B12" s="44"/>
      <c r="C12" s="45"/>
      <c r="D12" s="45"/>
      <c r="E12" s="45"/>
      <c r="F12" s="46"/>
      <c r="G12" s="5">
        <f t="shared" si="2"/>
        <v>0</v>
      </c>
      <c r="H12" s="44"/>
      <c r="I12" s="45"/>
      <c r="J12" s="45"/>
      <c r="K12" s="45"/>
      <c r="L12" s="46"/>
      <c r="M12" s="23">
        <f t="shared" si="3"/>
        <v>0</v>
      </c>
      <c r="N12" s="28">
        <f t="shared" si="0"/>
        <v>0</v>
      </c>
      <c r="P12" s="3" t="s">
        <v>4</v>
      </c>
      <c r="Q12" s="44"/>
      <c r="R12" s="45"/>
      <c r="S12" s="45"/>
      <c r="T12" s="45"/>
      <c r="U12" s="46">
        <v>2</v>
      </c>
      <c r="V12" s="5">
        <f t="shared" si="4"/>
        <v>2</v>
      </c>
      <c r="W12" s="44"/>
      <c r="X12" s="45"/>
      <c r="Y12" s="45">
        <v>2</v>
      </c>
      <c r="Z12" s="45"/>
      <c r="AA12" s="46"/>
      <c r="AB12" s="23">
        <f t="shared" si="5"/>
        <v>2</v>
      </c>
      <c r="AC12" s="28">
        <f t="shared" si="6"/>
        <v>4</v>
      </c>
      <c r="AD12" s="31">
        <v>45173</v>
      </c>
    </row>
    <row r="13" spans="1:30" x14ac:dyDescent="0.15">
      <c r="A13" s="3" t="s">
        <v>4</v>
      </c>
      <c r="B13" s="44"/>
      <c r="C13" s="45"/>
      <c r="D13" s="45"/>
      <c r="E13" s="45"/>
      <c r="F13" s="46"/>
      <c r="G13" s="5">
        <f t="shared" si="2"/>
        <v>0</v>
      </c>
      <c r="H13" s="44"/>
      <c r="I13" s="45"/>
      <c r="J13" s="45"/>
      <c r="K13" s="45"/>
      <c r="L13" s="46"/>
      <c r="M13" s="23">
        <f t="shared" si="3"/>
        <v>0</v>
      </c>
      <c r="N13" s="28">
        <f t="shared" si="0"/>
        <v>0</v>
      </c>
      <c r="P13" s="6" t="s">
        <v>59</v>
      </c>
      <c r="Q13" s="47"/>
      <c r="R13" s="48"/>
      <c r="S13" s="48"/>
      <c r="T13" s="48"/>
      <c r="U13" s="49"/>
      <c r="V13" s="7">
        <f t="shared" si="4"/>
        <v>0</v>
      </c>
      <c r="W13" s="47"/>
      <c r="X13" s="48"/>
      <c r="Y13" s="48">
        <v>3</v>
      </c>
      <c r="Z13" s="48"/>
      <c r="AA13" s="49"/>
      <c r="AB13" s="24">
        <f t="shared" si="5"/>
        <v>3</v>
      </c>
      <c r="AC13" s="29">
        <f t="shared" si="6"/>
        <v>3</v>
      </c>
      <c r="AD13" s="31">
        <v>45174</v>
      </c>
    </row>
    <row r="14" spans="1:30" ht="14.25" thickBot="1" x14ac:dyDescent="0.2">
      <c r="A14" s="6" t="s">
        <v>4</v>
      </c>
      <c r="B14" s="47"/>
      <c r="C14" s="48"/>
      <c r="D14" s="48"/>
      <c r="E14" s="48"/>
      <c r="F14" s="49"/>
      <c r="G14" s="7">
        <f t="shared" si="2"/>
        <v>0</v>
      </c>
      <c r="H14" s="47"/>
      <c r="I14" s="48"/>
      <c r="J14" s="48"/>
      <c r="K14" s="48"/>
      <c r="L14" s="49"/>
      <c r="M14" s="24">
        <f t="shared" si="3"/>
        <v>0</v>
      </c>
      <c r="N14" s="29">
        <f t="shared" si="0"/>
        <v>0</v>
      </c>
      <c r="P14" s="16" t="s">
        <v>4</v>
      </c>
      <c r="Q14" s="38"/>
      <c r="R14" s="39"/>
      <c r="S14" s="39"/>
      <c r="T14" s="39"/>
      <c r="U14" s="40">
        <v>2</v>
      </c>
      <c r="V14" s="5">
        <f t="shared" si="4"/>
        <v>2</v>
      </c>
      <c r="W14" s="38"/>
      <c r="X14" s="39"/>
      <c r="Y14" s="39"/>
      <c r="Z14" s="39"/>
      <c r="AA14" s="40"/>
      <c r="AB14" s="5">
        <f t="shared" si="5"/>
        <v>0</v>
      </c>
      <c r="AC14" s="28">
        <f t="shared" si="6"/>
        <v>2</v>
      </c>
      <c r="AD14" s="31">
        <v>45175</v>
      </c>
    </row>
    <row r="15" spans="1:30" ht="14.25" thickBot="1" x14ac:dyDescent="0.2">
      <c r="A15" s="8" t="s">
        <v>5</v>
      </c>
      <c r="B15" s="50">
        <f>SUM(B4:B14)</f>
        <v>3</v>
      </c>
      <c r="C15" s="51">
        <f t="shared" ref="C15:F15" si="10">SUM(C4:C14)</f>
        <v>9</v>
      </c>
      <c r="D15" s="51">
        <f t="shared" si="10"/>
        <v>6</v>
      </c>
      <c r="E15" s="51">
        <f t="shared" si="10"/>
        <v>5</v>
      </c>
      <c r="F15" s="52">
        <f t="shared" si="10"/>
        <v>8</v>
      </c>
      <c r="G15" s="9">
        <f t="shared" si="2"/>
        <v>31</v>
      </c>
      <c r="H15" s="50">
        <f>SUM(H4:H14)</f>
        <v>3</v>
      </c>
      <c r="I15" s="51">
        <f t="shared" ref="I15" si="11">SUM(I4:I14)</f>
        <v>5</v>
      </c>
      <c r="J15" s="51">
        <f t="shared" ref="J15" si="12">SUM(J4:J14)</f>
        <v>10</v>
      </c>
      <c r="K15" s="51">
        <f t="shared" ref="K15" si="13">SUM(K4:K14)</f>
        <v>8</v>
      </c>
      <c r="L15" s="52">
        <f t="shared" ref="L15" si="14">SUM(L4:L14)</f>
        <v>3</v>
      </c>
      <c r="M15" s="13">
        <f t="shared" si="3"/>
        <v>29</v>
      </c>
      <c r="N15" s="26">
        <f t="shared" si="0"/>
        <v>60</v>
      </c>
      <c r="P15" s="8" t="s">
        <v>5</v>
      </c>
      <c r="Q15" s="50">
        <f>SUM(Q4:Q14)</f>
        <v>10</v>
      </c>
      <c r="R15" s="51">
        <f t="shared" ref="R15:U15" si="15">SUM(R4:R14)</f>
        <v>35</v>
      </c>
      <c r="S15" s="51">
        <f t="shared" si="15"/>
        <v>30</v>
      </c>
      <c r="T15" s="51">
        <f t="shared" si="15"/>
        <v>21</v>
      </c>
      <c r="U15" s="52">
        <f t="shared" si="15"/>
        <v>27</v>
      </c>
      <c r="V15" s="9">
        <f t="shared" ref="V15" si="16">SUM(Q15:U15)</f>
        <v>123</v>
      </c>
      <c r="W15" s="50">
        <f>SUM(W4:W14)</f>
        <v>13</v>
      </c>
      <c r="X15" s="51">
        <f t="shared" ref="X15:AA15" si="17">SUM(X4:X14)</f>
        <v>30</v>
      </c>
      <c r="Y15" s="51">
        <f t="shared" si="17"/>
        <v>38</v>
      </c>
      <c r="Z15" s="51">
        <f t="shared" si="17"/>
        <v>23</v>
      </c>
      <c r="AA15" s="52">
        <f t="shared" si="17"/>
        <v>17</v>
      </c>
      <c r="AB15" s="13">
        <f t="shared" ref="AB15" si="18">SUM(W15:AA15)</f>
        <v>121</v>
      </c>
      <c r="AC15" s="26">
        <f t="shared" si="1"/>
        <v>244</v>
      </c>
    </row>
    <row r="16" spans="1:30" x14ac:dyDescent="0.15">
      <c r="A16" s="10" t="s">
        <v>23</v>
      </c>
      <c r="B16" s="53"/>
      <c r="C16" s="54"/>
      <c r="D16" s="54"/>
      <c r="E16" s="54"/>
      <c r="F16" s="55"/>
      <c r="G16" s="5">
        <f>SUM(B16:F16)</f>
        <v>0</v>
      </c>
      <c r="H16" s="53"/>
      <c r="I16" s="54">
        <v>1</v>
      </c>
      <c r="J16" s="54"/>
      <c r="K16" s="54"/>
      <c r="L16" s="55"/>
      <c r="M16" s="23">
        <f>SUM(H16:L16)</f>
        <v>1</v>
      </c>
      <c r="N16" s="28">
        <f t="shared" si="0"/>
        <v>1</v>
      </c>
      <c r="O16" s="30">
        <v>45062</v>
      </c>
      <c r="P16" s="10" t="s">
        <v>22</v>
      </c>
      <c r="Q16" s="53">
        <v>2</v>
      </c>
      <c r="R16" s="54">
        <v>5</v>
      </c>
      <c r="S16" s="54">
        <v>5</v>
      </c>
      <c r="T16" s="54">
        <v>5</v>
      </c>
      <c r="U16" s="55">
        <v>3</v>
      </c>
      <c r="V16" s="5">
        <f>SUM(Q16:U16)</f>
        <v>20</v>
      </c>
      <c r="W16" s="53">
        <v>2</v>
      </c>
      <c r="X16" s="54">
        <v>5</v>
      </c>
      <c r="Y16" s="54">
        <v>5</v>
      </c>
      <c r="Z16" s="54">
        <v>5</v>
      </c>
      <c r="AA16" s="55">
        <v>3</v>
      </c>
      <c r="AB16" s="23">
        <f>SUM(W16:AA16)</f>
        <v>20</v>
      </c>
      <c r="AC16" s="28">
        <f t="shared" si="1"/>
        <v>40</v>
      </c>
      <c r="AD16" s="31">
        <v>45062</v>
      </c>
    </row>
    <row r="17" spans="1:31" x14ac:dyDescent="0.15">
      <c r="A17" s="4" t="s">
        <v>24</v>
      </c>
      <c r="B17" s="44">
        <v>1</v>
      </c>
      <c r="C17" s="45">
        <v>1</v>
      </c>
      <c r="D17" s="45">
        <v>1</v>
      </c>
      <c r="E17" s="45">
        <v>1</v>
      </c>
      <c r="F17" s="46">
        <v>1</v>
      </c>
      <c r="G17" s="5">
        <f t="shared" ref="G17:G40" si="19">SUM(B17:F17)</f>
        <v>5</v>
      </c>
      <c r="H17" s="53">
        <v>1</v>
      </c>
      <c r="I17" s="54">
        <v>1</v>
      </c>
      <c r="J17" s="54">
        <v>1</v>
      </c>
      <c r="K17" s="54">
        <v>1</v>
      </c>
      <c r="L17" s="55">
        <v>1</v>
      </c>
      <c r="M17" s="23">
        <f>SUM(H17:L17)</f>
        <v>5</v>
      </c>
      <c r="N17" s="28">
        <f t="shared" si="0"/>
        <v>10</v>
      </c>
      <c r="O17" s="31">
        <v>45065</v>
      </c>
      <c r="P17" s="4" t="s">
        <v>26</v>
      </c>
      <c r="Q17" s="44">
        <v>5</v>
      </c>
      <c r="R17" s="45">
        <v>10</v>
      </c>
      <c r="S17" s="45">
        <v>10</v>
      </c>
      <c r="T17" s="45">
        <v>10</v>
      </c>
      <c r="U17" s="46">
        <v>5</v>
      </c>
      <c r="V17" s="5">
        <f t="shared" ref="V17:V40" si="20">SUM(Q17:U17)</f>
        <v>40</v>
      </c>
      <c r="W17" s="53">
        <v>5</v>
      </c>
      <c r="X17" s="54">
        <v>10</v>
      </c>
      <c r="Y17" s="54">
        <v>10</v>
      </c>
      <c r="Z17" s="54">
        <v>10</v>
      </c>
      <c r="AA17" s="55">
        <v>5</v>
      </c>
      <c r="AB17" s="23">
        <f>SUM(W17:AA17)</f>
        <v>40</v>
      </c>
      <c r="AC17" s="28">
        <f t="shared" si="1"/>
        <v>80</v>
      </c>
      <c r="AD17" s="31">
        <v>45071</v>
      </c>
    </row>
    <row r="18" spans="1:31" x14ac:dyDescent="0.15">
      <c r="A18" s="4" t="s">
        <v>25</v>
      </c>
      <c r="B18" s="44"/>
      <c r="C18" s="45"/>
      <c r="D18" s="45"/>
      <c r="E18" s="45"/>
      <c r="F18" s="46"/>
      <c r="G18" s="5">
        <f t="shared" si="19"/>
        <v>0</v>
      </c>
      <c r="H18" s="44"/>
      <c r="I18" s="45"/>
      <c r="J18" s="45"/>
      <c r="K18" s="45">
        <v>1</v>
      </c>
      <c r="L18" s="46"/>
      <c r="M18" s="23">
        <f t="shared" ref="M18:M40" si="21">SUM(H18:L18)</f>
        <v>1</v>
      </c>
      <c r="N18" s="28">
        <f t="shared" si="0"/>
        <v>1</v>
      </c>
      <c r="O18" s="30">
        <v>45064</v>
      </c>
      <c r="P18" s="10" t="s">
        <v>22</v>
      </c>
      <c r="Q18" s="44"/>
      <c r="R18" s="45"/>
      <c r="S18" s="45"/>
      <c r="T18" s="45"/>
      <c r="U18" s="46">
        <v>2</v>
      </c>
      <c r="V18" s="5">
        <f t="shared" si="20"/>
        <v>2</v>
      </c>
      <c r="W18" s="44"/>
      <c r="X18" s="45"/>
      <c r="Y18" s="45"/>
      <c r="Z18" s="45"/>
      <c r="AA18" s="46"/>
      <c r="AB18" s="23">
        <f t="shared" ref="AB18:AB19" si="22">SUM(W18:AA18)</f>
        <v>0</v>
      </c>
      <c r="AC18" s="28">
        <f t="shared" si="1"/>
        <v>2</v>
      </c>
      <c r="AD18" s="31">
        <v>45079</v>
      </c>
      <c r="AE18" s="69"/>
    </row>
    <row r="19" spans="1:31" x14ac:dyDescent="0.15">
      <c r="A19" s="10" t="s">
        <v>23</v>
      </c>
      <c r="B19" s="44"/>
      <c r="C19" s="45"/>
      <c r="D19" s="45"/>
      <c r="E19" s="45"/>
      <c r="F19" s="46"/>
      <c r="G19" s="5">
        <f t="shared" si="19"/>
        <v>0</v>
      </c>
      <c r="H19" s="44"/>
      <c r="I19" s="45"/>
      <c r="J19" s="45">
        <v>1</v>
      </c>
      <c r="K19" s="45"/>
      <c r="L19" s="46"/>
      <c r="M19" s="23">
        <f t="shared" si="21"/>
        <v>1</v>
      </c>
      <c r="N19" s="28">
        <f t="shared" si="0"/>
        <v>1</v>
      </c>
      <c r="O19" s="30">
        <v>45072</v>
      </c>
      <c r="P19" s="15" t="s">
        <v>31</v>
      </c>
      <c r="Q19" s="44"/>
      <c r="R19" s="45"/>
      <c r="S19" s="45"/>
      <c r="T19" s="45"/>
      <c r="U19" s="46">
        <v>2</v>
      </c>
      <c r="V19" s="5">
        <f t="shared" si="20"/>
        <v>2</v>
      </c>
      <c r="W19" s="44"/>
      <c r="X19" s="45"/>
      <c r="Y19" s="45"/>
      <c r="Z19" s="45"/>
      <c r="AA19" s="46"/>
      <c r="AB19" s="23">
        <f t="shared" si="22"/>
        <v>0</v>
      </c>
      <c r="AC19" s="28">
        <f t="shared" si="1"/>
        <v>2</v>
      </c>
      <c r="AD19" s="31">
        <v>45084</v>
      </c>
    </row>
    <row r="20" spans="1:31" x14ac:dyDescent="0.15">
      <c r="A20" s="10" t="s">
        <v>23</v>
      </c>
      <c r="B20" s="44"/>
      <c r="C20" s="45"/>
      <c r="D20" s="45"/>
      <c r="E20" s="45"/>
      <c r="F20" s="46">
        <v>1</v>
      </c>
      <c r="G20" s="5">
        <f t="shared" si="19"/>
        <v>1</v>
      </c>
      <c r="H20" s="44"/>
      <c r="I20" s="45"/>
      <c r="J20" s="45"/>
      <c r="K20" s="45"/>
      <c r="L20" s="46"/>
      <c r="M20" s="23">
        <f t="shared" si="21"/>
        <v>0</v>
      </c>
      <c r="N20" s="28">
        <f t="shared" si="0"/>
        <v>1</v>
      </c>
      <c r="O20" s="30">
        <v>45076</v>
      </c>
      <c r="P20" s="10" t="s">
        <v>22</v>
      </c>
      <c r="Q20" s="44"/>
      <c r="R20" s="45"/>
      <c r="S20" s="45"/>
      <c r="T20" s="45"/>
      <c r="U20" s="46">
        <v>3</v>
      </c>
      <c r="V20" s="5">
        <f t="shared" si="20"/>
        <v>3</v>
      </c>
      <c r="W20" s="44"/>
      <c r="X20" s="45"/>
      <c r="Y20" s="45"/>
      <c r="Z20" s="45"/>
      <c r="AA20" s="46"/>
      <c r="AB20" s="23">
        <f t="shared" ref="AB20:AB35" si="23">SUM(W20:AA20)</f>
        <v>0</v>
      </c>
      <c r="AC20" s="28">
        <f t="shared" si="1"/>
        <v>3</v>
      </c>
      <c r="AD20" s="31">
        <v>45086</v>
      </c>
    </row>
    <row r="21" spans="1:31" x14ac:dyDescent="0.15">
      <c r="A21" s="4" t="s">
        <v>28</v>
      </c>
      <c r="B21" s="44"/>
      <c r="C21" s="45"/>
      <c r="D21" s="45"/>
      <c r="E21" s="45"/>
      <c r="F21" s="46">
        <v>1</v>
      </c>
      <c r="G21" s="5">
        <f t="shared" si="19"/>
        <v>1</v>
      </c>
      <c r="H21" s="44"/>
      <c r="I21" s="45"/>
      <c r="J21" s="45"/>
      <c r="K21" s="45"/>
      <c r="L21" s="46"/>
      <c r="M21" s="23">
        <f t="shared" si="21"/>
        <v>0</v>
      </c>
      <c r="N21" s="28">
        <f t="shared" si="0"/>
        <v>1</v>
      </c>
      <c r="O21" s="31">
        <v>45079</v>
      </c>
      <c r="P21" s="10" t="s">
        <v>22</v>
      </c>
      <c r="Q21" s="44"/>
      <c r="R21" s="45">
        <v>3</v>
      </c>
      <c r="S21" s="45"/>
      <c r="T21" s="45"/>
      <c r="U21" s="46"/>
      <c r="V21" s="5">
        <f t="shared" si="20"/>
        <v>3</v>
      </c>
      <c r="W21" s="44"/>
      <c r="X21" s="45"/>
      <c r="Y21" s="45">
        <v>3</v>
      </c>
      <c r="Z21" s="45">
        <v>3</v>
      </c>
      <c r="AA21" s="46"/>
      <c r="AB21" s="23">
        <f t="shared" si="23"/>
        <v>6</v>
      </c>
      <c r="AC21" s="28">
        <f t="shared" si="1"/>
        <v>9</v>
      </c>
      <c r="AD21" s="31">
        <v>45094</v>
      </c>
    </row>
    <row r="22" spans="1:31" x14ac:dyDescent="0.15">
      <c r="A22" s="4" t="s">
        <v>29</v>
      </c>
      <c r="B22" s="56"/>
      <c r="C22" s="57"/>
      <c r="D22" s="57"/>
      <c r="E22" s="57"/>
      <c r="F22" s="58">
        <v>2</v>
      </c>
      <c r="G22" s="5">
        <f t="shared" si="19"/>
        <v>2</v>
      </c>
      <c r="H22" s="56"/>
      <c r="I22" s="57"/>
      <c r="J22" s="57"/>
      <c r="K22" s="57"/>
      <c r="L22" s="58"/>
      <c r="M22" s="23">
        <f t="shared" si="21"/>
        <v>0</v>
      </c>
      <c r="N22" s="28">
        <f t="shared" si="0"/>
        <v>2</v>
      </c>
      <c r="O22" s="31">
        <v>45082</v>
      </c>
      <c r="P22" s="4" t="s">
        <v>38</v>
      </c>
      <c r="Q22" s="56">
        <v>3</v>
      </c>
      <c r="R22" s="57">
        <v>3</v>
      </c>
      <c r="S22" s="57">
        <v>5</v>
      </c>
      <c r="T22" s="57">
        <v>5</v>
      </c>
      <c r="U22" s="58">
        <v>5</v>
      </c>
      <c r="V22" s="5">
        <f t="shared" si="20"/>
        <v>21</v>
      </c>
      <c r="W22" s="56">
        <v>3</v>
      </c>
      <c r="X22" s="57">
        <v>3</v>
      </c>
      <c r="Y22" s="57">
        <v>5</v>
      </c>
      <c r="Z22" s="57">
        <v>5</v>
      </c>
      <c r="AA22" s="58">
        <v>5</v>
      </c>
      <c r="AB22" s="23">
        <f t="shared" si="23"/>
        <v>21</v>
      </c>
      <c r="AC22" s="28">
        <f t="shared" si="1"/>
        <v>42</v>
      </c>
      <c r="AD22" s="31">
        <v>45119</v>
      </c>
    </row>
    <row r="23" spans="1:31" x14ac:dyDescent="0.15">
      <c r="A23" s="4" t="s">
        <v>30</v>
      </c>
      <c r="B23" s="44"/>
      <c r="C23" s="45">
        <v>1</v>
      </c>
      <c r="D23" s="45"/>
      <c r="E23" s="45"/>
      <c r="F23" s="46"/>
      <c r="G23" s="5">
        <f t="shared" si="19"/>
        <v>1</v>
      </c>
      <c r="H23" s="44"/>
      <c r="I23" s="45"/>
      <c r="J23" s="45"/>
      <c r="K23" s="45"/>
      <c r="L23" s="46"/>
      <c r="M23" s="23">
        <f t="shared" si="21"/>
        <v>0</v>
      </c>
      <c r="N23" s="28">
        <f t="shared" si="0"/>
        <v>1</v>
      </c>
      <c r="O23" s="31">
        <v>45083</v>
      </c>
      <c r="P23" s="4" t="s">
        <v>40</v>
      </c>
      <c r="Q23" s="44"/>
      <c r="R23" s="45">
        <v>4</v>
      </c>
      <c r="S23" s="45"/>
      <c r="T23" s="45"/>
      <c r="U23" s="46"/>
      <c r="V23" s="5">
        <f t="shared" si="20"/>
        <v>4</v>
      </c>
      <c r="W23" s="44"/>
      <c r="X23" s="45"/>
      <c r="Y23" s="45"/>
      <c r="Z23" s="45"/>
      <c r="AA23" s="46"/>
      <c r="AB23" s="23">
        <f t="shared" si="23"/>
        <v>0</v>
      </c>
      <c r="AC23" s="28">
        <f t="shared" si="1"/>
        <v>4</v>
      </c>
      <c r="AD23" s="31">
        <v>45117</v>
      </c>
      <c r="AE23" s="69"/>
    </row>
    <row r="24" spans="1:31" x14ac:dyDescent="0.15">
      <c r="A24" s="15" t="s">
        <v>32</v>
      </c>
      <c r="B24" s="44"/>
      <c r="C24" s="45">
        <v>1</v>
      </c>
      <c r="D24" s="45"/>
      <c r="E24" s="45"/>
      <c r="F24" s="46"/>
      <c r="G24" s="5">
        <f t="shared" ref="G24" si="24">SUM(B24:F24)</f>
        <v>1</v>
      </c>
      <c r="H24" s="44"/>
      <c r="I24" s="45"/>
      <c r="J24" s="45"/>
      <c r="K24" s="45"/>
      <c r="L24" s="46"/>
      <c r="M24" s="23">
        <f t="shared" ref="M24" si="25">SUM(H24:L24)</f>
        <v>0</v>
      </c>
      <c r="N24" s="28">
        <f t="shared" ref="N24" si="26">G24+M24</f>
        <v>1</v>
      </c>
      <c r="O24" s="31">
        <v>45086</v>
      </c>
      <c r="P24" s="4" t="s">
        <v>42</v>
      </c>
      <c r="Q24" s="44"/>
      <c r="R24" s="45">
        <v>10</v>
      </c>
      <c r="S24" s="45"/>
      <c r="T24" s="45"/>
      <c r="U24" s="46"/>
      <c r="V24" s="5">
        <f t="shared" si="20"/>
        <v>10</v>
      </c>
      <c r="W24" s="44"/>
      <c r="X24" s="45"/>
      <c r="Y24" s="45">
        <v>10</v>
      </c>
      <c r="Z24" s="45"/>
      <c r="AA24" s="46"/>
      <c r="AB24" s="23">
        <f t="shared" si="23"/>
        <v>10</v>
      </c>
      <c r="AC24" s="28">
        <f t="shared" si="1"/>
        <v>20</v>
      </c>
      <c r="AD24" s="31">
        <v>45112</v>
      </c>
    </row>
    <row r="25" spans="1:31" x14ac:dyDescent="0.15">
      <c r="A25" s="10" t="s">
        <v>23</v>
      </c>
      <c r="B25" s="44"/>
      <c r="C25" s="45"/>
      <c r="D25" s="45"/>
      <c r="E25" s="45"/>
      <c r="F25" s="46"/>
      <c r="G25" s="5">
        <f t="shared" si="19"/>
        <v>0</v>
      </c>
      <c r="H25" s="44"/>
      <c r="I25" s="45"/>
      <c r="J25" s="45"/>
      <c r="K25" s="45">
        <v>1</v>
      </c>
      <c r="L25" s="46"/>
      <c r="M25" s="23">
        <f t="shared" si="21"/>
        <v>1</v>
      </c>
      <c r="N25" s="28">
        <f t="shared" si="0"/>
        <v>1</v>
      </c>
      <c r="O25" s="30">
        <v>45085</v>
      </c>
      <c r="P25" s="4" t="s">
        <v>44</v>
      </c>
      <c r="Q25" s="44"/>
      <c r="R25" s="45"/>
      <c r="S25" s="45">
        <v>3</v>
      </c>
      <c r="T25" s="45"/>
      <c r="U25" s="46"/>
      <c r="V25" s="5">
        <f t="shared" si="20"/>
        <v>3</v>
      </c>
      <c r="W25" s="44">
        <v>3</v>
      </c>
      <c r="X25" s="45"/>
      <c r="Y25" s="45"/>
      <c r="Z25" s="45"/>
      <c r="AA25" s="46"/>
      <c r="AB25" s="23">
        <f t="shared" si="23"/>
        <v>3</v>
      </c>
      <c r="AC25" s="28">
        <f t="shared" si="1"/>
        <v>6</v>
      </c>
      <c r="AD25" s="31">
        <v>45117</v>
      </c>
    </row>
    <row r="26" spans="1:31" x14ac:dyDescent="0.15">
      <c r="A26" s="15" t="s">
        <v>33</v>
      </c>
      <c r="B26" s="44"/>
      <c r="C26" s="45"/>
      <c r="D26" s="45"/>
      <c r="E26" s="45"/>
      <c r="F26" s="46"/>
      <c r="G26" s="5">
        <f t="shared" si="19"/>
        <v>0</v>
      </c>
      <c r="H26" s="44"/>
      <c r="I26" s="45"/>
      <c r="J26" s="45">
        <v>1</v>
      </c>
      <c r="K26" s="45"/>
      <c r="L26" s="46"/>
      <c r="M26" s="23">
        <f t="shared" si="21"/>
        <v>1</v>
      </c>
      <c r="N26" s="28">
        <f t="shared" si="0"/>
        <v>1</v>
      </c>
      <c r="O26" s="31">
        <v>45089</v>
      </c>
      <c r="P26" s="4" t="s">
        <v>45</v>
      </c>
      <c r="Q26" s="44"/>
      <c r="R26" s="45"/>
      <c r="S26" s="45">
        <v>5</v>
      </c>
      <c r="T26" s="45">
        <v>1</v>
      </c>
      <c r="U26" s="46">
        <v>1</v>
      </c>
      <c r="V26" s="5">
        <f t="shared" si="20"/>
        <v>7</v>
      </c>
      <c r="W26" s="44"/>
      <c r="X26" s="45">
        <v>2</v>
      </c>
      <c r="Y26" s="45"/>
      <c r="Z26" s="45"/>
      <c r="AA26" s="46">
        <v>1</v>
      </c>
      <c r="AB26" s="23">
        <f t="shared" si="23"/>
        <v>3</v>
      </c>
      <c r="AC26" s="28">
        <f t="shared" si="1"/>
        <v>10</v>
      </c>
      <c r="AD26" s="31">
        <v>45132</v>
      </c>
    </row>
    <row r="27" spans="1:31" x14ac:dyDescent="0.15">
      <c r="A27" s="15" t="s">
        <v>36</v>
      </c>
      <c r="B27" s="44"/>
      <c r="C27" s="45">
        <v>1</v>
      </c>
      <c r="D27" s="45"/>
      <c r="E27" s="45"/>
      <c r="F27" s="46"/>
      <c r="G27" s="5">
        <f t="shared" si="19"/>
        <v>1</v>
      </c>
      <c r="H27" s="44"/>
      <c r="I27" s="45"/>
      <c r="J27" s="45"/>
      <c r="K27" s="45"/>
      <c r="L27" s="46"/>
      <c r="M27" s="23">
        <f t="shared" si="21"/>
        <v>0</v>
      </c>
      <c r="N27" s="28">
        <f t="shared" si="0"/>
        <v>1</v>
      </c>
      <c r="O27" s="31">
        <v>45093</v>
      </c>
      <c r="P27" s="15" t="s">
        <v>51</v>
      </c>
      <c r="Q27" s="44"/>
      <c r="R27" s="45"/>
      <c r="S27" s="45"/>
      <c r="T27" s="45"/>
      <c r="U27" s="46">
        <v>1</v>
      </c>
      <c r="V27" s="5">
        <f t="shared" ref="V27" si="27">SUM(Q27:U27)</f>
        <v>1</v>
      </c>
      <c r="W27" s="44"/>
      <c r="X27" s="45"/>
      <c r="Y27" s="45"/>
      <c r="Z27" s="45"/>
      <c r="AA27" s="46"/>
      <c r="AB27" s="23">
        <f t="shared" ref="AB27" si="28">SUM(W27:AA27)</f>
        <v>0</v>
      </c>
      <c r="AC27" s="28">
        <f t="shared" ref="AC27" si="29">V27+AB27</f>
        <v>1</v>
      </c>
      <c r="AD27" s="31">
        <v>45148</v>
      </c>
    </row>
    <row r="28" spans="1:31" x14ac:dyDescent="0.15">
      <c r="A28" s="15" t="s">
        <v>37</v>
      </c>
      <c r="B28" s="44"/>
      <c r="C28" s="45"/>
      <c r="D28" s="45"/>
      <c r="E28" s="45"/>
      <c r="F28" s="46"/>
      <c r="G28" s="5">
        <f t="shared" si="19"/>
        <v>0</v>
      </c>
      <c r="H28" s="44"/>
      <c r="I28" s="45"/>
      <c r="J28" s="45"/>
      <c r="K28" s="45"/>
      <c r="L28" s="46">
        <v>1</v>
      </c>
      <c r="M28" s="23">
        <f t="shared" si="21"/>
        <v>1</v>
      </c>
      <c r="N28" s="28">
        <f t="shared" si="0"/>
        <v>1</v>
      </c>
      <c r="O28" s="31">
        <v>45100</v>
      </c>
      <c r="P28" s="15" t="s">
        <v>52</v>
      </c>
      <c r="Q28" s="44"/>
      <c r="R28" s="45"/>
      <c r="S28" s="45"/>
      <c r="T28" s="45"/>
      <c r="U28" s="46"/>
      <c r="V28" s="5">
        <f t="shared" si="20"/>
        <v>0</v>
      </c>
      <c r="W28" s="44"/>
      <c r="X28" s="45"/>
      <c r="Y28" s="45"/>
      <c r="Z28" s="45"/>
      <c r="AA28" s="46">
        <v>1</v>
      </c>
      <c r="AB28" s="23">
        <f t="shared" si="23"/>
        <v>1</v>
      </c>
      <c r="AC28" s="28">
        <f t="shared" si="1"/>
        <v>1</v>
      </c>
      <c r="AD28" s="31">
        <v>45148</v>
      </c>
    </row>
    <row r="29" spans="1:31" x14ac:dyDescent="0.15">
      <c r="A29" s="4" t="s">
        <v>39</v>
      </c>
      <c r="B29" s="44"/>
      <c r="C29" s="45">
        <v>1</v>
      </c>
      <c r="D29" s="45"/>
      <c r="E29" s="45"/>
      <c r="F29" s="46"/>
      <c r="G29" s="5">
        <f t="shared" si="19"/>
        <v>1</v>
      </c>
      <c r="H29" s="44"/>
      <c r="I29" s="45"/>
      <c r="J29" s="45"/>
      <c r="K29" s="45"/>
      <c r="L29" s="46"/>
      <c r="M29" s="23">
        <f t="shared" si="21"/>
        <v>0</v>
      </c>
      <c r="N29" s="28">
        <f t="shared" si="0"/>
        <v>1</v>
      </c>
      <c r="O29" s="30">
        <v>45104</v>
      </c>
      <c r="P29" s="75" t="s">
        <v>54</v>
      </c>
      <c r="Q29" s="44"/>
      <c r="R29" s="45"/>
      <c r="S29" s="45"/>
      <c r="T29" s="45"/>
      <c r="U29" s="46"/>
      <c r="V29" s="5">
        <f t="shared" si="20"/>
        <v>0</v>
      </c>
      <c r="W29" s="44"/>
      <c r="X29" s="45"/>
      <c r="Y29" s="45"/>
      <c r="Z29" s="45"/>
      <c r="AA29" s="46">
        <v>2</v>
      </c>
      <c r="AB29" s="23">
        <f t="shared" si="23"/>
        <v>2</v>
      </c>
      <c r="AC29" s="28">
        <f t="shared" si="1"/>
        <v>2</v>
      </c>
      <c r="AD29" s="31">
        <v>45161</v>
      </c>
    </row>
    <row r="30" spans="1:31" x14ac:dyDescent="0.15">
      <c r="A30" s="15" t="s">
        <v>41</v>
      </c>
      <c r="B30" s="44"/>
      <c r="C30" s="45">
        <v>1</v>
      </c>
      <c r="D30" s="45"/>
      <c r="E30" s="45"/>
      <c r="F30" s="46"/>
      <c r="G30" s="5">
        <f t="shared" si="19"/>
        <v>1</v>
      </c>
      <c r="H30" s="44"/>
      <c r="I30" s="45"/>
      <c r="J30" s="45"/>
      <c r="K30" s="45"/>
      <c r="L30" s="46"/>
      <c r="M30" s="23">
        <f t="shared" si="21"/>
        <v>0</v>
      </c>
      <c r="N30" s="28">
        <f t="shared" si="0"/>
        <v>1</v>
      </c>
      <c r="O30" s="31">
        <v>45111</v>
      </c>
      <c r="P30" s="15" t="s">
        <v>55</v>
      </c>
      <c r="Q30" s="44"/>
      <c r="R30" s="45"/>
      <c r="S30" s="45"/>
      <c r="T30" s="45"/>
      <c r="U30" s="46">
        <v>1</v>
      </c>
      <c r="V30" s="5">
        <f t="shared" si="20"/>
        <v>1</v>
      </c>
      <c r="W30" s="44"/>
      <c r="X30" s="45"/>
      <c r="Y30" s="45"/>
      <c r="Z30" s="45"/>
      <c r="AA30" s="46"/>
      <c r="AB30" s="23">
        <f t="shared" si="23"/>
        <v>0</v>
      </c>
      <c r="AC30" s="28">
        <f t="shared" si="1"/>
        <v>1</v>
      </c>
      <c r="AD30" s="31">
        <v>45163</v>
      </c>
    </row>
    <row r="31" spans="1:31" x14ac:dyDescent="0.15">
      <c r="A31" s="4" t="s">
        <v>47</v>
      </c>
      <c r="B31" s="44"/>
      <c r="C31" s="45"/>
      <c r="D31" s="45"/>
      <c r="E31" s="45">
        <v>1</v>
      </c>
      <c r="F31" s="46">
        <v>1</v>
      </c>
      <c r="G31" s="5">
        <f t="shared" si="19"/>
        <v>2</v>
      </c>
      <c r="H31" s="44"/>
      <c r="I31" s="45"/>
      <c r="J31" s="45"/>
      <c r="K31" s="45"/>
      <c r="L31" s="46">
        <v>1</v>
      </c>
      <c r="M31" s="23">
        <f t="shared" si="21"/>
        <v>1</v>
      </c>
      <c r="N31" s="28">
        <f t="shared" si="0"/>
        <v>3</v>
      </c>
      <c r="O31" s="31">
        <v>45122</v>
      </c>
      <c r="P31" s="75" t="s">
        <v>56</v>
      </c>
      <c r="Q31" s="44"/>
      <c r="R31" s="45"/>
      <c r="S31" s="45"/>
      <c r="T31" s="45"/>
      <c r="U31" s="46"/>
      <c r="V31" s="5">
        <f t="shared" si="20"/>
        <v>0</v>
      </c>
      <c r="W31" s="44"/>
      <c r="X31" s="45"/>
      <c r="Y31" s="45">
        <v>2</v>
      </c>
      <c r="Z31" s="45"/>
      <c r="AA31" s="46"/>
      <c r="AB31" s="23">
        <f t="shared" si="23"/>
        <v>2</v>
      </c>
      <c r="AC31" s="28">
        <f t="shared" si="1"/>
        <v>2</v>
      </c>
      <c r="AD31" s="31">
        <v>45174</v>
      </c>
    </row>
    <row r="32" spans="1:31" x14ac:dyDescent="0.15">
      <c r="A32" s="75" t="s">
        <v>48</v>
      </c>
      <c r="B32" s="44"/>
      <c r="C32" s="45"/>
      <c r="D32" s="45">
        <v>3</v>
      </c>
      <c r="E32" s="45"/>
      <c r="F32" s="46"/>
      <c r="G32" s="5">
        <f t="shared" si="19"/>
        <v>3</v>
      </c>
      <c r="H32" s="44"/>
      <c r="I32" s="45"/>
      <c r="J32" s="45"/>
      <c r="K32" s="45"/>
      <c r="L32" s="46"/>
      <c r="M32" s="23">
        <f t="shared" si="21"/>
        <v>0</v>
      </c>
      <c r="N32" s="28">
        <f t="shared" si="0"/>
        <v>3</v>
      </c>
      <c r="O32" s="31">
        <v>45126</v>
      </c>
      <c r="P32" s="75" t="s">
        <v>57</v>
      </c>
      <c r="Q32" s="44"/>
      <c r="R32" s="45"/>
      <c r="S32" s="45"/>
      <c r="T32" s="45"/>
      <c r="U32" s="46">
        <v>2</v>
      </c>
      <c r="V32" s="5">
        <f t="shared" si="20"/>
        <v>2</v>
      </c>
      <c r="W32" s="44"/>
      <c r="X32" s="45"/>
      <c r="Y32" s="45"/>
      <c r="Z32" s="45"/>
      <c r="AA32" s="46"/>
      <c r="AB32" s="23">
        <f t="shared" si="23"/>
        <v>0</v>
      </c>
      <c r="AC32" s="28">
        <f t="shared" si="1"/>
        <v>2</v>
      </c>
      <c r="AD32" s="31">
        <v>45174</v>
      </c>
    </row>
    <row r="33" spans="1:36" x14ac:dyDescent="0.15">
      <c r="A33" s="10" t="s">
        <v>23</v>
      </c>
      <c r="B33" s="59"/>
      <c r="C33" s="60"/>
      <c r="D33" s="60"/>
      <c r="E33" s="45"/>
      <c r="F33" s="46"/>
      <c r="G33" s="5">
        <f t="shared" si="19"/>
        <v>0</v>
      </c>
      <c r="H33" s="44"/>
      <c r="I33" s="45"/>
      <c r="J33" s="45">
        <v>1</v>
      </c>
      <c r="K33" s="45"/>
      <c r="L33" s="46"/>
      <c r="M33" s="23">
        <f t="shared" si="21"/>
        <v>1</v>
      </c>
      <c r="N33" s="28">
        <f t="shared" si="0"/>
        <v>1</v>
      </c>
      <c r="O33" s="30">
        <v>45125</v>
      </c>
      <c r="P33" s="75" t="s">
        <v>58</v>
      </c>
      <c r="Q33" s="44"/>
      <c r="R33" s="45"/>
      <c r="S33" s="45"/>
      <c r="T33" s="45"/>
      <c r="U33" s="46">
        <v>2</v>
      </c>
      <c r="V33" s="5">
        <f t="shared" si="20"/>
        <v>2</v>
      </c>
      <c r="W33" s="44"/>
      <c r="X33" s="45"/>
      <c r="Y33" s="45">
        <v>1</v>
      </c>
      <c r="Z33" s="45"/>
      <c r="AA33" s="46"/>
      <c r="AB33" s="23">
        <f t="shared" si="23"/>
        <v>1</v>
      </c>
      <c r="AC33" s="28">
        <f t="shared" si="1"/>
        <v>3</v>
      </c>
      <c r="AD33" s="31">
        <v>45177</v>
      </c>
    </row>
    <row r="34" spans="1:36" x14ac:dyDescent="0.15">
      <c r="A34" s="75" t="s">
        <v>49</v>
      </c>
      <c r="B34" s="44"/>
      <c r="C34" s="45"/>
      <c r="D34" s="45"/>
      <c r="E34" s="45"/>
      <c r="F34" s="46">
        <v>2</v>
      </c>
      <c r="G34" s="5">
        <f t="shared" si="19"/>
        <v>2</v>
      </c>
      <c r="H34" s="44"/>
      <c r="I34" s="45"/>
      <c r="J34" s="45"/>
      <c r="K34" s="45"/>
      <c r="L34" s="46"/>
      <c r="M34" s="23">
        <f t="shared" si="21"/>
        <v>0</v>
      </c>
      <c r="N34" s="28">
        <f t="shared" si="0"/>
        <v>2</v>
      </c>
      <c r="O34" s="31">
        <v>45135</v>
      </c>
      <c r="P34" s="15" t="s">
        <v>60</v>
      </c>
      <c r="Q34" s="44"/>
      <c r="R34" s="45"/>
      <c r="S34" s="45"/>
      <c r="T34" s="45"/>
      <c r="U34" s="46"/>
      <c r="V34" s="5">
        <f t="shared" si="20"/>
        <v>0</v>
      </c>
      <c r="W34" s="53"/>
      <c r="X34" s="54"/>
      <c r="Y34" s="54"/>
      <c r="Z34" s="54"/>
      <c r="AA34" s="55">
        <v>1</v>
      </c>
      <c r="AB34" s="5">
        <f t="shared" si="23"/>
        <v>1</v>
      </c>
      <c r="AC34" s="28">
        <f t="shared" si="1"/>
        <v>1</v>
      </c>
      <c r="AD34" s="31">
        <v>45177</v>
      </c>
    </row>
    <row r="35" spans="1:36" x14ac:dyDescent="0.15">
      <c r="A35" s="10" t="s">
        <v>23</v>
      </c>
      <c r="B35" s="59"/>
      <c r="C35" s="60"/>
      <c r="D35" s="60"/>
      <c r="E35" s="45"/>
      <c r="F35" s="46"/>
      <c r="G35" s="5">
        <f t="shared" si="19"/>
        <v>0</v>
      </c>
      <c r="H35" s="44"/>
      <c r="I35" s="45"/>
      <c r="J35" s="45"/>
      <c r="K35" s="45">
        <v>1</v>
      </c>
      <c r="L35" s="46"/>
      <c r="M35" s="23">
        <f t="shared" si="21"/>
        <v>1</v>
      </c>
      <c r="N35" s="28">
        <f t="shared" si="0"/>
        <v>1</v>
      </c>
      <c r="O35" s="30">
        <v>45156</v>
      </c>
      <c r="P35" s="11"/>
      <c r="Q35" s="59"/>
      <c r="R35" s="60"/>
      <c r="S35" s="60"/>
      <c r="T35" s="45"/>
      <c r="U35" s="46"/>
      <c r="V35" s="5">
        <f t="shared" si="20"/>
        <v>0</v>
      </c>
      <c r="W35" s="44"/>
      <c r="X35" s="45"/>
      <c r="Y35" s="45"/>
      <c r="Z35" s="45"/>
      <c r="AA35" s="46"/>
      <c r="AB35" s="23">
        <f t="shared" si="23"/>
        <v>0</v>
      </c>
      <c r="AC35" s="28">
        <f t="shared" si="1"/>
        <v>0</v>
      </c>
    </row>
    <row r="36" spans="1:36" x14ac:dyDescent="0.15">
      <c r="A36" s="4" t="s">
        <v>47</v>
      </c>
      <c r="B36" s="59"/>
      <c r="C36" s="60"/>
      <c r="D36" s="60"/>
      <c r="E36" s="45"/>
      <c r="F36" s="46"/>
      <c r="G36" s="5">
        <f t="shared" si="19"/>
        <v>0</v>
      </c>
      <c r="H36" s="53"/>
      <c r="I36" s="54"/>
      <c r="J36" s="54">
        <v>3</v>
      </c>
      <c r="K36" s="54"/>
      <c r="L36" s="55"/>
      <c r="M36" s="23">
        <f>SUM(H36:L36)</f>
        <v>3</v>
      </c>
      <c r="N36" s="28">
        <f t="shared" si="0"/>
        <v>3</v>
      </c>
      <c r="O36" s="30">
        <v>45174</v>
      </c>
      <c r="P36" s="4"/>
      <c r="Q36" s="59"/>
      <c r="R36" s="60"/>
      <c r="S36" s="60"/>
      <c r="T36" s="45"/>
      <c r="U36" s="46"/>
      <c r="V36" s="5">
        <f t="shared" si="20"/>
        <v>0</v>
      </c>
      <c r="W36" s="53"/>
      <c r="X36" s="54"/>
      <c r="Y36" s="54"/>
      <c r="Z36" s="54"/>
      <c r="AA36" s="55"/>
      <c r="AB36" s="23">
        <f>SUM(W36:AA36)</f>
        <v>0</v>
      </c>
      <c r="AC36" s="28">
        <f t="shared" si="1"/>
        <v>0</v>
      </c>
    </row>
    <row r="37" spans="1:36" x14ac:dyDescent="0.15">
      <c r="A37" s="10"/>
      <c r="B37" s="59"/>
      <c r="C37" s="60"/>
      <c r="D37" s="60"/>
      <c r="E37" s="45"/>
      <c r="F37" s="46"/>
      <c r="G37" s="5">
        <f t="shared" si="19"/>
        <v>0</v>
      </c>
      <c r="H37" s="65"/>
      <c r="I37" s="66"/>
      <c r="J37" s="66"/>
      <c r="K37" s="66"/>
      <c r="L37" s="67"/>
      <c r="M37" s="23">
        <f t="shared" ref="M37" si="30">SUM(H37:L37)</f>
        <v>0</v>
      </c>
      <c r="N37" s="28">
        <f t="shared" si="0"/>
        <v>0</v>
      </c>
      <c r="P37" s="4"/>
      <c r="Q37" s="59"/>
      <c r="R37" s="60"/>
      <c r="S37" s="60"/>
      <c r="T37" s="45"/>
      <c r="U37" s="46"/>
      <c r="V37" s="5">
        <f t="shared" si="20"/>
        <v>0</v>
      </c>
      <c r="W37" s="65"/>
      <c r="X37" s="66"/>
      <c r="Y37" s="66"/>
      <c r="Z37" s="66"/>
      <c r="AA37" s="67"/>
      <c r="AB37" s="23">
        <f t="shared" ref="AB37:AB40" si="31">SUM(W37:AA37)</f>
        <v>0</v>
      </c>
      <c r="AC37" s="28">
        <f t="shared" si="1"/>
        <v>0</v>
      </c>
    </row>
    <row r="38" spans="1:36" x14ac:dyDescent="0.15">
      <c r="A38" s="4"/>
      <c r="B38" s="59"/>
      <c r="C38" s="60"/>
      <c r="D38" s="60"/>
      <c r="E38" s="45"/>
      <c r="F38" s="46"/>
      <c r="G38" s="5">
        <f t="shared" si="19"/>
        <v>0</v>
      </c>
      <c r="H38" s="44"/>
      <c r="I38" s="45"/>
      <c r="J38" s="45"/>
      <c r="K38" s="45"/>
      <c r="L38" s="46"/>
      <c r="M38" s="23">
        <f t="shared" si="21"/>
        <v>0</v>
      </c>
      <c r="N38" s="28">
        <f t="shared" si="0"/>
        <v>0</v>
      </c>
      <c r="P38" s="4" t="s">
        <v>34</v>
      </c>
      <c r="Q38" s="44"/>
      <c r="R38" s="45"/>
      <c r="S38" s="45"/>
      <c r="T38" s="45"/>
      <c r="U38" s="46"/>
      <c r="V38" s="5">
        <f t="shared" si="20"/>
        <v>0</v>
      </c>
      <c r="W38" s="44"/>
      <c r="X38" s="45"/>
      <c r="Y38" s="45"/>
      <c r="Z38" s="45"/>
      <c r="AA38" s="46"/>
      <c r="AB38" s="23">
        <f t="shared" si="31"/>
        <v>0</v>
      </c>
      <c r="AC38" s="28">
        <f t="shared" si="1"/>
        <v>0</v>
      </c>
      <c r="AD38" s="69" t="s">
        <v>35</v>
      </c>
      <c r="AE38" s="69"/>
      <c r="AF38" s="69"/>
      <c r="AG38" s="69"/>
      <c r="AH38" s="69"/>
      <c r="AI38" s="69"/>
      <c r="AJ38" s="69"/>
    </row>
    <row r="39" spans="1:36" ht="14.25" thickBot="1" x14ac:dyDescent="0.2">
      <c r="A39" s="4"/>
      <c r="B39" s="59"/>
      <c r="C39" s="61"/>
      <c r="D39" s="60"/>
      <c r="E39" s="45"/>
      <c r="F39" s="46"/>
      <c r="G39" s="7">
        <f t="shared" si="19"/>
        <v>0</v>
      </c>
      <c r="H39" s="44"/>
      <c r="I39" s="68"/>
      <c r="J39" s="45"/>
      <c r="K39" s="45"/>
      <c r="L39" s="46"/>
      <c r="M39" s="24">
        <f t="shared" si="21"/>
        <v>0</v>
      </c>
      <c r="N39" s="29">
        <f t="shared" si="0"/>
        <v>0</v>
      </c>
      <c r="P39" s="4" t="s">
        <v>17</v>
      </c>
      <c r="Q39" s="44"/>
      <c r="R39" s="68"/>
      <c r="S39" s="45"/>
      <c r="T39" s="45"/>
      <c r="U39" s="46"/>
      <c r="V39" s="7">
        <f t="shared" si="20"/>
        <v>0</v>
      </c>
      <c r="W39" s="44"/>
      <c r="X39" s="68"/>
      <c r="Y39" s="45"/>
      <c r="Z39" s="45"/>
      <c r="AA39" s="46"/>
      <c r="AB39" s="24">
        <f t="shared" si="31"/>
        <v>0</v>
      </c>
      <c r="AC39" s="29">
        <f t="shared" si="1"/>
        <v>0</v>
      </c>
      <c r="AD39" s="69" t="s">
        <v>18</v>
      </c>
    </row>
    <row r="40" spans="1:36" ht="14.25" thickBot="1" x14ac:dyDescent="0.2">
      <c r="A40" s="2" t="s">
        <v>6</v>
      </c>
      <c r="B40" s="50">
        <f>SUM(B16:B39)</f>
        <v>1</v>
      </c>
      <c r="C40" s="51">
        <f t="shared" ref="C40:F40" si="32">SUM(C16:C39)</f>
        <v>6</v>
      </c>
      <c r="D40" s="51">
        <f t="shared" si="32"/>
        <v>4</v>
      </c>
      <c r="E40" s="51">
        <f t="shared" si="32"/>
        <v>2</v>
      </c>
      <c r="F40" s="52">
        <f t="shared" si="32"/>
        <v>8</v>
      </c>
      <c r="G40" s="9">
        <f t="shared" si="19"/>
        <v>21</v>
      </c>
      <c r="H40" s="50">
        <f>SUM(H16:H39)</f>
        <v>1</v>
      </c>
      <c r="I40" s="51">
        <f t="shared" ref="I40" si="33">SUM(I16:I39)</f>
        <v>2</v>
      </c>
      <c r="J40" s="51">
        <f t="shared" ref="J40" si="34">SUM(J16:J39)</f>
        <v>7</v>
      </c>
      <c r="K40" s="51">
        <f t="shared" ref="K40" si="35">SUM(K16:K39)</f>
        <v>4</v>
      </c>
      <c r="L40" s="52">
        <f t="shared" ref="L40" si="36">SUM(L16:L39)</f>
        <v>3</v>
      </c>
      <c r="M40" s="13">
        <f t="shared" si="21"/>
        <v>17</v>
      </c>
      <c r="N40" s="26">
        <f t="shared" si="0"/>
        <v>38</v>
      </c>
      <c r="P40" s="2" t="s">
        <v>6</v>
      </c>
      <c r="Q40" s="50">
        <f>SUM(Q16:Q39)</f>
        <v>10</v>
      </c>
      <c r="R40" s="51">
        <f t="shared" ref="R40:U40" si="37">SUM(R16:R39)</f>
        <v>35</v>
      </c>
      <c r="S40" s="51">
        <f t="shared" si="37"/>
        <v>28</v>
      </c>
      <c r="T40" s="51">
        <f t="shared" si="37"/>
        <v>21</v>
      </c>
      <c r="U40" s="52">
        <f t="shared" si="37"/>
        <v>27</v>
      </c>
      <c r="V40" s="9">
        <f t="shared" si="20"/>
        <v>121</v>
      </c>
      <c r="W40" s="50">
        <f>SUM(W16:W39)</f>
        <v>13</v>
      </c>
      <c r="X40" s="51">
        <f t="shared" ref="X40:AA40" si="38">SUM(X16:X39)</f>
        <v>20</v>
      </c>
      <c r="Y40" s="51">
        <f t="shared" si="38"/>
        <v>36</v>
      </c>
      <c r="Z40" s="51">
        <f t="shared" si="38"/>
        <v>23</v>
      </c>
      <c r="AA40" s="52">
        <f t="shared" si="38"/>
        <v>18</v>
      </c>
      <c r="AB40" s="13">
        <f t="shared" si="31"/>
        <v>110</v>
      </c>
      <c r="AC40" s="26">
        <f t="shared" si="1"/>
        <v>231</v>
      </c>
    </row>
    <row r="41" spans="1:36" ht="14.25" thickBot="1" x14ac:dyDescent="0.2">
      <c r="A41" s="12" t="s">
        <v>7</v>
      </c>
      <c r="B41" s="62">
        <f>B15-B40</f>
        <v>2</v>
      </c>
      <c r="C41" s="63">
        <f t="shared" ref="C41:G41" si="39">C15-C40</f>
        <v>3</v>
      </c>
      <c r="D41" s="63">
        <f t="shared" si="39"/>
        <v>2</v>
      </c>
      <c r="E41" s="63">
        <f t="shared" si="39"/>
        <v>3</v>
      </c>
      <c r="F41" s="64">
        <f t="shared" si="39"/>
        <v>0</v>
      </c>
      <c r="G41" s="9">
        <f t="shared" si="39"/>
        <v>10</v>
      </c>
      <c r="H41" s="62">
        <f>H15-H40</f>
        <v>2</v>
      </c>
      <c r="I41" s="63">
        <f t="shared" ref="I41" si="40">I15-I40</f>
        <v>3</v>
      </c>
      <c r="J41" s="63">
        <f t="shared" ref="J41" si="41">J15-J40</f>
        <v>3</v>
      </c>
      <c r="K41" s="63">
        <f t="shared" ref="K41" si="42">K15-K40</f>
        <v>4</v>
      </c>
      <c r="L41" s="64">
        <f t="shared" ref="L41" si="43">L15-L40</f>
        <v>0</v>
      </c>
      <c r="M41" s="13">
        <f t="shared" ref="M41" si="44">M15-M40</f>
        <v>12</v>
      </c>
      <c r="N41" s="26">
        <f t="shared" si="0"/>
        <v>22</v>
      </c>
      <c r="P41" s="12" t="s">
        <v>7</v>
      </c>
      <c r="Q41" s="62">
        <f>Q15-Q40</f>
        <v>0</v>
      </c>
      <c r="R41" s="63">
        <f t="shared" ref="R41:V41" si="45">R15-R40</f>
        <v>0</v>
      </c>
      <c r="S41" s="63">
        <f t="shared" si="45"/>
        <v>2</v>
      </c>
      <c r="T41" s="63">
        <f t="shared" si="45"/>
        <v>0</v>
      </c>
      <c r="U41" s="64">
        <f t="shared" si="45"/>
        <v>0</v>
      </c>
      <c r="V41" s="9">
        <f t="shared" si="45"/>
        <v>2</v>
      </c>
      <c r="W41" s="62">
        <f>W15-W40</f>
        <v>0</v>
      </c>
      <c r="X41" s="63">
        <f t="shared" ref="X41:AB41" si="46">X15-X40</f>
        <v>10</v>
      </c>
      <c r="Y41" s="63">
        <f t="shared" si="46"/>
        <v>2</v>
      </c>
      <c r="Z41" s="63">
        <f t="shared" si="46"/>
        <v>0</v>
      </c>
      <c r="AA41" s="64">
        <f t="shared" si="46"/>
        <v>-1</v>
      </c>
      <c r="AB41" s="13">
        <f t="shared" si="46"/>
        <v>11</v>
      </c>
      <c r="AC41" s="26">
        <f t="shared" si="1"/>
        <v>13</v>
      </c>
    </row>
    <row r="42" spans="1:36" x14ac:dyDescent="0.1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36" x14ac:dyDescent="0.1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36" ht="21.75" thickBot="1" x14ac:dyDescent="0.25">
      <c r="A44" s="21" t="s">
        <v>15</v>
      </c>
      <c r="B44" s="22"/>
      <c r="C44" s="22"/>
      <c r="D44" s="22"/>
      <c r="E44" s="22"/>
      <c r="F44" s="22"/>
      <c r="G44" s="14"/>
      <c r="H44" s="22"/>
      <c r="I44" s="22"/>
      <c r="J44" s="22"/>
      <c r="K44" s="22"/>
      <c r="L44" s="22"/>
      <c r="M44" s="14"/>
      <c r="P44" s="21" t="s">
        <v>19</v>
      </c>
      <c r="Q44" s="22"/>
      <c r="R44" s="22"/>
      <c r="S44" s="22"/>
      <c r="T44" s="22"/>
      <c r="U44" s="22"/>
      <c r="V44" s="14"/>
      <c r="W44" s="22"/>
      <c r="X44" s="22"/>
      <c r="Y44" s="22"/>
      <c r="Z44" s="22"/>
      <c r="AA44" s="22"/>
      <c r="AB44" s="14"/>
    </row>
    <row r="45" spans="1:36" ht="14.25" thickBot="1" x14ac:dyDescent="0.2">
      <c r="A45" s="1" t="s">
        <v>0</v>
      </c>
      <c r="B45" s="103" t="s">
        <v>13</v>
      </c>
      <c r="C45" s="103"/>
      <c r="D45" s="103"/>
      <c r="E45" s="103"/>
      <c r="F45" s="103"/>
      <c r="G45" s="104"/>
      <c r="H45" s="106" t="s">
        <v>14</v>
      </c>
      <c r="I45" s="106"/>
      <c r="J45" s="106"/>
      <c r="K45" s="106"/>
      <c r="L45" s="106"/>
      <c r="M45" s="107"/>
      <c r="N45" s="25"/>
      <c r="P45" s="1" t="s">
        <v>0</v>
      </c>
      <c r="Q45" s="103" t="s">
        <v>13</v>
      </c>
      <c r="R45" s="103"/>
      <c r="S45" s="103"/>
      <c r="T45" s="103"/>
      <c r="U45" s="103"/>
      <c r="V45" s="104"/>
      <c r="W45" s="106" t="s">
        <v>14</v>
      </c>
      <c r="X45" s="106"/>
      <c r="Y45" s="106"/>
      <c r="Z45" s="106"/>
      <c r="AA45" s="106"/>
      <c r="AB45" s="107"/>
      <c r="AC45" s="25"/>
    </row>
    <row r="46" spans="1:36" ht="14.25" thickBot="1" x14ac:dyDescent="0.2">
      <c r="A46" s="1" t="s">
        <v>1</v>
      </c>
      <c r="B46" s="32" t="s">
        <v>8</v>
      </c>
      <c r="C46" s="33" t="s">
        <v>9</v>
      </c>
      <c r="D46" s="33" t="s">
        <v>10</v>
      </c>
      <c r="E46" s="33" t="s">
        <v>11</v>
      </c>
      <c r="F46" s="34" t="s">
        <v>12</v>
      </c>
      <c r="G46" s="1" t="s">
        <v>2</v>
      </c>
      <c r="H46" s="32" t="s">
        <v>8</v>
      </c>
      <c r="I46" s="33" t="s">
        <v>9</v>
      </c>
      <c r="J46" s="33" t="s">
        <v>10</v>
      </c>
      <c r="K46" s="33" t="s">
        <v>11</v>
      </c>
      <c r="L46" s="34" t="s">
        <v>12</v>
      </c>
      <c r="M46" s="1" t="s">
        <v>2</v>
      </c>
      <c r="N46" s="27" t="s">
        <v>16</v>
      </c>
      <c r="P46" s="1" t="s">
        <v>1</v>
      </c>
      <c r="Q46" s="32" t="s">
        <v>8</v>
      </c>
      <c r="R46" s="33" t="s">
        <v>9</v>
      </c>
      <c r="S46" s="33" t="s">
        <v>10</v>
      </c>
      <c r="T46" s="33" t="s">
        <v>11</v>
      </c>
      <c r="U46" s="34" t="s">
        <v>12</v>
      </c>
      <c r="V46" s="1" t="s">
        <v>2</v>
      </c>
      <c r="W46" s="32" t="s">
        <v>8</v>
      </c>
      <c r="X46" s="33" t="s">
        <v>9</v>
      </c>
      <c r="Y46" s="33" t="s">
        <v>10</v>
      </c>
      <c r="Z46" s="33" t="s">
        <v>11</v>
      </c>
      <c r="AA46" s="34" t="s">
        <v>12</v>
      </c>
      <c r="AB46" s="1" t="s">
        <v>2</v>
      </c>
      <c r="AC46" s="27" t="s">
        <v>16</v>
      </c>
    </row>
    <row r="47" spans="1:36" ht="14.25" thickBot="1" x14ac:dyDescent="0.2">
      <c r="A47" s="18" t="s">
        <v>7</v>
      </c>
      <c r="B47" s="35">
        <f>B41</f>
        <v>2</v>
      </c>
      <c r="C47" s="36">
        <f t="shared" ref="C47:F47" si="47">C41</f>
        <v>3</v>
      </c>
      <c r="D47" s="36">
        <f t="shared" si="47"/>
        <v>2</v>
      </c>
      <c r="E47" s="36">
        <f t="shared" si="47"/>
        <v>3</v>
      </c>
      <c r="F47" s="37">
        <f t="shared" si="47"/>
        <v>0</v>
      </c>
      <c r="G47" s="9">
        <f>SUM(B47:F47)</f>
        <v>10</v>
      </c>
      <c r="H47" s="35">
        <f>H41</f>
        <v>2</v>
      </c>
      <c r="I47" s="36">
        <f t="shared" ref="I47:L47" si="48">I41</f>
        <v>3</v>
      </c>
      <c r="J47" s="36">
        <f t="shared" si="48"/>
        <v>3</v>
      </c>
      <c r="K47" s="36">
        <f t="shared" si="48"/>
        <v>4</v>
      </c>
      <c r="L47" s="37">
        <f t="shared" si="48"/>
        <v>0</v>
      </c>
      <c r="M47" s="9">
        <f>SUM(H47:L47)</f>
        <v>12</v>
      </c>
      <c r="N47" s="26">
        <f t="shared" ref="N47:N84" si="49">G47+M47</f>
        <v>22</v>
      </c>
      <c r="P47" s="18" t="s">
        <v>7</v>
      </c>
      <c r="Q47" s="35">
        <f>Q41</f>
        <v>0</v>
      </c>
      <c r="R47" s="36">
        <f t="shared" ref="R47:U47" si="50">R41</f>
        <v>0</v>
      </c>
      <c r="S47" s="36">
        <f t="shared" si="50"/>
        <v>2</v>
      </c>
      <c r="T47" s="36">
        <f t="shared" si="50"/>
        <v>0</v>
      </c>
      <c r="U47" s="37">
        <f t="shared" si="50"/>
        <v>0</v>
      </c>
      <c r="V47" s="9">
        <f>SUM(Q47:U47)</f>
        <v>2</v>
      </c>
      <c r="W47" s="35">
        <f>W41</f>
        <v>0</v>
      </c>
      <c r="X47" s="36">
        <f t="shared" ref="X47:AA47" si="51">X41</f>
        <v>10</v>
      </c>
      <c r="Y47" s="36">
        <f t="shared" si="51"/>
        <v>2</v>
      </c>
      <c r="Z47" s="36">
        <f t="shared" si="51"/>
        <v>0</v>
      </c>
      <c r="AA47" s="37">
        <f t="shared" si="51"/>
        <v>-1</v>
      </c>
      <c r="AB47" s="9">
        <f>SUM(W47:AA47)</f>
        <v>11</v>
      </c>
      <c r="AC47" s="26">
        <f t="shared" ref="AC47:AC84" si="52">V47+AB47</f>
        <v>13</v>
      </c>
    </row>
    <row r="48" spans="1:36" x14ac:dyDescent="0.15">
      <c r="A48" s="16" t="s">
        <v>4</v>
      </c>
      <c r="B48" s="38"/>
      <c r="C48" s="39"/>
      <c r="D48" s="39"/>
      <c r="E48" s="39"/>
      <c r="F48" s="40"/>
      <c r="G48" s="5">
        <f t="shared" ref="G48:G58" si="53">SUM(B48:F48)</f>
        <v>0</v>
      </c>
      <c r="H48" s="38"/>
      <c r="I48" s="39"/>
      <c r="J48" s="39"/>
      <c r="K48" s="39"/>
      <c r="L48" s="40">
        <v>1</v>
      </c>
      <c r="M48" s="5">
        <f t="shared" ref="M48:M50" si="54">SUM(H48:L48)</f>
        <v>1</v>
      </c>
      <c r="N48" s="28">
        <f t="shared" si="49"/>
        <v>1</v>
      </c>
      <c r="O48" s="31">
        <v>45181</v>
      </c>
      <c r="P48" s="3" t="s">
        <v>4</v>
      </c>
      <c r="Q48" s="41"/>
      <c r="R48" s="42"/>
      <c r="S48" s="42"/>
      <c r="T48" s="42"/>
      <c r="U48" s="43"/>
      <c r="V48" s="5">
        <f t="shared" ref="V48:V56" si="55">SUM(Q48:U48)</f>
        <v>0</v>
      </c>
      <c r="W48" s="41"/>
      <c r="X48" s="42"/>
      <c r="Y48" s="42"/>
      <c r="Z48" s="42"/>
      <c r="AA48" s="43">
        <v>1</v>
      </c>
      <c r="AB48" s="5">
        <f t="shared" ref="AB48:AB56" si="56">SUM(W48:AA48)</f>
        <v>1</v>
      </c>
      <c r="AC48" s="28">
        <f t="shared" ref="AC48:AC56" si="57">V48+AB48</f>
        <v>1</v>
      </c>
      <c r="AD48" s="31">
        <v>45176</v>
      </c>
      <c r="AE48" s="69"/>
    </row>
    <row r="49" spans="1:30" x14ac:dyDescent="0.15">
      <c r="A49" s="3" t="s">
        <v>53</v>
      </c>
      <c r="B49" s="41"/>
      <c r="C49" s="42">
        <v>1</v>
      </c>
      <c r="D49" s="42"/>
      <c r="E49" s="42"/>
      <c r="F49" s="43"/>
      <c r="G49" s="5">
        <f t="shared" si="53"/>
        <v>1</v>
      </c>
      <c r="H49" s="41"/>
      <c r="I49" s="42">
        <v>1</v>
      </c>
      <c r="J49" s="42"/>
      <c r="K49" s="42"/>
      <c r="L49" s="43"/>
      <c r="M49" s="5">
        <f t="shared" si="54"/>
        <v>1</v>
      </c>
      <c r="N49" s="28">
        <f t="shared" si="49"/>
        <v>2</v>
      </c>
      <c r="O49" s="30">
        <v>45190</v>
      </c>
      <c r="P49" s="3" t="s">
        <v>4</v>
      </c>
      <c r="Q49" s="41"/>
      <c r="R49" s="42"/>
      <c r="S49" s="42"/>
      <c r="T49" s="42"/>
      <c r="U49" s="43"/>
      <c r="V49" s="5">
        <f t="shared" si="55"/>
        <v>0</v>
      </c>
      <c r="W49" s="41"/>
      <c r="X49" s="42"/>
      <c r="Y49" s="42"/>
      <c r="Z49" s="42"/>
      <c r="AA49" s="43">
        <v>1</v>
      </c>
      <c r="AB49" s="5">
        <f t="shared" si="56"/>
        <v>1</v>
      </c>
      <c r="AC49" s="28">
        <f t="shared" si="57"/>
        <v>1</v>
      </c>
      <c r="AD49" s="31">
        <v>45180</v>
      </c>
    </row>
    <row r="50" spans="1:30" x14ac:dyDescent="0.15">
      <c r="A50" s="3" t="s">
        <v>53</v>
      </c>
      <c r="B50" s="41">
        <v>2</v>
      </c>
      <c r="C50" s="42">
        <v>6</v>
      </c>
      <c r="D50" s="42">
        <v>4</v>
      </c>
      <c r="E50" s="42">
        <v>4</v>
      </c>
      <c r="F50" s="43">
        <v>2</v>
      </c>
      <c r="G50" s="5">
        <f t="shared" si="53"/>
        <v>18</v>
      </c>
      <c r="H50" s="41">
        <v>1</v>
      </c>
      <c r="I50" s="42"/>
      <c r="J50" s="42">
        <v>5</v>
      </c>
      <c r="K50" s="42">
        <v>2</v>
      </c>
      <c r="L50" s="43"/>
      <c r="M50" s="5">
        <f t="shared" si="54"/>
        <v>8</v>
      </c>
      <c r="N50" s="28">
        <f t="shared" si="49"/>
        <v>26</v>
      </c>
      <c r="O50" s="30">
        <v>45257</v>
      </c>
      <c r="P50" s="3" t="s">
        <v>46</v>
      </c>
      <c r="Q50" s="41"/>
      <c r="R50" s="42"/>
      <c r="S50" s="42"/>
      <c r="T50" s="42">
        <v>3</v>
      </c>
      <c r="U50" s="43"/>
      <c r="V50" s="5">
        <f t="shared" si="55"/>
        <v>3</v>
      </c>
      <c r="W50" s="41"/>
      <c r="X50" s="42"/>
      <c r="Y50" s="42"/>
      <c r="Z50" s="42"/>
      <c r="AA50" s="43"/>
      <c r="AB50" s="5">
        <f t="shared" si="56"/>
        <v>0</v>
      </c>
      <c r="AC50" s="28">
        <f t="shared" si="57"/>
        <v>3</v>
      </c>
      <c r="AD50" s="30">
        <v>45190</v>
      </c>
    </row>
    <row r="51" spans="1:30" x14ac:dyDescent="0.15">
      <c r="A51" s="3" t="s">
        <v>4</v>
      </c>
      <c r="B51" s="41"/>
      <c r="C51" s="42"/>
      <c r="D51" s="42"/>
      <c r="E51" s="42"/>
      <c r="F51" s="43"/>
      <c r="G51" s="5">
        <f t="shared" si="53"/>
        <v>0</v>
      </c>
      <c r="H51" s="41"/>
      <c r="I51" s="42"/>
      <c r="J51" s="42"/>
      <c r="K51" s="42"/>
      <c r="L51" s="43">
        <v>1</v>
      </c>
      <c r="M51" s="5">
        <f t="shared" ref="M51:M70" si="58">SUM(H51:L51)</f>
        <v>1</v>
      </c>
      <c r="N51" s="28">
        <f t="shared" si="49"/>
        <v>1</v>
      </c>
      <c r="O51" s="31">
        <v>45317</v>
      </c>
      <c r="P51" s="3" t="s">
        <v>4</v>
      </c>
      <c r="Q51" s="41"/>
      <c r="R51" s="42"/>
      <c r="S51" s="42"/>
      <c r="T51" s="42"/>
      <c r="U51" s="43"/>
      <c r="V51" s="5">
        <f t="shared" si="55"/>
        <v>0</v>
      </c>
      <c r="W51" s="41"/>
      <c r="X51" s="42"/>
      <c r="Y51" s="42">
        <v>5</v>
      </c>
      <c r="Z51" s="42"/>
      <c r="AA51" s="43"/>
      <c r="AB51" s="5">
        <f t="shared" si="56"/>
        <v>5</v>
      </c>
      <c r="AC51" s="28">
        <f t="shared" si="57"/>
        <v>5</v>
      </c>
      <c r="AD51" s="31">
        <v>45190</v>
      </c>
    </row>
    <row r="52" spans="1:30" x14ac:dyDescent="0.15">
      <c r="A52" s="3" t="s">
        <v>50</v>
      </c>
      <c r="B52" s="41">
        <v>0</v>
      </c>
      <c r="C52" s="42">
        <v>1</v>
      </c>
      <c r="D52" s="42">
        <v>0</v>
      </c>
      <c r="E52" s="42">
        <v>0</v>
      </c>
      <c r="F52" s="43">
        <v>0</v>
      </c>
      <c r="G52" s="5">
        <f t="shared" si="53"/>
        <v>1</v>
      </c>
      <c r="H52" s="41">
        <v>0</v>
      </c>
      <c r="I52" s="42">
        <v>0</v>
      </c>
      <c r="J52" s="42">
        <v>0</v>
      </c>
      <c r="K52" s="42">
        <v>0</v>
      </c>
      <c r="L52" s="43">
        <v>0</v>
      </c>
      <c r="M52" s="5">
        <f t="shared" si="58"/>
        <v>0</v>
      </c>
      <c r="N52" s="28">
        <f t="shared" si="49"/>
        <v>1</v>
      </c>
      <c r="O52" s="31">
        <v>45531</v>
      </c>
      <c r="P52" s="3" t="s">
        <v>4</v>
      </c>
      <c r="Q52" s="41"/>
      <c r="R52" s="42"/>
      <c r="S52" s="42"/>
      <c r="T52" s="42"/>
      <c r="U52" s="43"/>
      <c r="V52" s="5">
        <f t="shared" si="55"/>
        <v>0</v>
      </c>
      <c r="W52" s="41"/>
      <c r="X52" s="42"/>
      <c r="Y52" s="42">
        <v>4</v>
      </c>
      <c r="Z52" s="42">
        <v>2</v>
      </c>
      <c r="AA52" s="43"/>
      <c r="AB52" s="5">
        <f t="shared" si="56"/>
        <v>6</v>
      </c>
      <c r="AC52" s="28">
        <f t="shared" si="57"/>
        <v>6</v>
      </c>
      <c r="AD52" s="31">
        <v>45201</v>
      </c>
    </row>
    <row r="53" spans="1:30" x14ac:dyDescent="0.15">
      <c r="A53" s="3" t="s">
        <v>4</v>
      </c>
      <c r="B53" s="41"/>
      <c r="C53" s="42"/>
      <c r="D53" s="42"/>
      <c r="E53" s="42"/>
      <c r="F53" s="43"/>
      <c r="G53" s="5">
        <f t="shared" si="53"/>
        <v>0</v>
      </c>
      <c r="H53" s="41"/>
      <c r="I53" s="42"/>
      <c r="J53" s="42"/>
      <c r="K53" s="42"/>
      <c r="L53" s="43"/>
      <c r="M53" s="5">
        <f t="shared" si="58"/>
        <v>0</v>
      </c>
      <c r="N53" s="28">
        <f t="shared" si="49"/>
        <v>0</v>
      </c>
      <c r="O53" s="69"/>
      <c r="P53" s="3" t="s">
        <v>46</v>
      </c>
      <c r="Q53" s="44"/>
      <c r="R53" s="45"/>
      <c r="S53" s="45"/>
      <c r="T53" s="45"/>
      <c r="U53" s="46"/>
      <c r="V53" s="5">
        <f t="shared" si="55"/>
        <v>0</v>
      </c>
      <c r="W53" s="44"/>
      <c r="X53" s="45"/>
      <c r="Y53" s="45"/>
      <c r="Z53" s="77">
        <v>3</v>
      </c>
      <c r="AA53" s="46"/>
      <c r="AB53" s="5">
        <f t="shared" si="56"/>
        <v>3</v>
      </c>
      <c r="AC53" s="28">
        <f t="shared" si="57"/>
        <v>3</v>
      </c>
      <c r="AD53" s="31">
        <v>45199</v>
      </c>
    </row>
    <row r="54" spans="1:30" x14ac:dyDescent="0.15">
      <c r="A54" s="3" t="s">
        <v>4</v>
      </c>
      <c r="B54" s="44"/>
      <c r="C54" s="45"/>
      <c r="D54" s="45"/>
      <c r="E54" s="45"/>
      <c r="F54" s="46"/>
      <c r="G54" s="5">
        <f t="shared" si="53"/>
        <v>0</v>
      </c>
      <c r="H54" s="44"/>
      <c r="I54" s="45">
        <v>3</v>
      </c>
      <c r="J54" s="45"/>
      <c r="K54" s="45"/>
      <c r="L54" s="46"/>
      <c r="M54" s="5">
        <f t="shared" si="58"/>
        <v>3</v>
      </c>
      <c r="N54" s="28">
        <f t="shared" si="49"/>
        <v>3</v>
      </c>
      <c r="O54" s="31">
        <v>45626</v>
      </c>
      <c r="P54" s="3" t="s">
        <v>4</v>
      </c>
      <c r="Q54" s="44"/>
      <c r="R54" s="45"/>
      <c r="S54" s="45"/>
      <c r="T54" s="45"/>
      <c r="U54" s="46"/>
      <c r="V54" s="5">
        <f t="shared" si="55"/>
        <v>0</v>
      </c>
      <c r="W54" s="44"/>
      <c r="X54" s="45"/>
      <c r="Y54" s="45"/>
      <c r="Z54" s="45"/>
      <c r="AA54" s="46">
        <v>5</v>
      </c>
      <c r="AB54" s="5">
        <f t="shared" si="56"/>
        <v>5</v>
      </c>
      <c r="AC54" s="28">
        <f t="shared" si="57"/>
        <v>5</v>
      </c>
      <c r="AD54" s="31">
        <v>45274</v>
      </c>
    </row>
    <row r="55" spans="1:30" x14ac:dyDescent="0.15">
      <c r="A55" s="3" t="s">
        <v>4</v>
      </c>
      <c r="B55" s="44"/>
      <c r="C55" s="45"/>
      <c r="D55" s="45"/>
      <c r="E55" s="45"/>
      <c r="F55" s="46"/>
      <c r="G55" s="5">
        <f t="shared" si="53"/>
        <v>0</v>
      </c>
      <c r="H55" s="44"/>
      <c r="I55" s="45">
        <v>1</v>
      </c>
      <c r="J55" s="45"/>
      <c r="K55" s="45">
        <v>-1</v>
      </c>
      <c r="L55" s="46"/>
      <c r="M55" s="5">
        <f t="shared" si="58"/>
        <v>0</v>
      </c>
      <c r="N55" s="28">
        <f t="shared" si="49"/>
        <v>0</v>
      </c>
      <c r="O55" s="98"/>
      <c r="P55" s="3" t="s">
        <v>46</v>
      </c>
      <c r="Q55" s="44"/>
      <c r="R55" s="45"/>
      <c r="S55" s="45"/>
      <c r="T55" s="45">
        <v>4</v>
      </c>
      <c r="U55" s="46"/>
      <c r="V55" s="5">
        <f t="shared" si="55"/>
        <v>4</v>
      </c>
      <c r="W55" s="44">
        <v>2</v>
      </c>
      <c r="X55" s="45"/>
      <c r="Y55" s="45"/>
      <c r="Z55" s="45"/>
      <c r="AA55" s="46"/>
      <c r="AB55" s="5">
        <f t="shared" si="56"/>
        <v>2</v>
      </c>
      <c r="AC55" s="28">
        <f t="shared" si="57"/>
        <v>6</v>
      </c>
      <c r="AD55" s="31">
        <v>45303</v>
      </c>
    </row>
    <row r="56" spans="1:30" x14ac:dyDescent="0.15">
      <c r="A56" s="16" t="s">
        <v>4</v>
      </c>
      <c r="B56" s="53"/>
      <c r="C56" s="54"/>
      <c r="D56" s="54"/>
      <c r="E56" s="54"/>
      <c r="F56" s="55"/>
      <c r="G56" s="5">
        <f t="shared" si="53"/>
        <v>0</v>
      </c>
      <c r="H56" s="53"/>
      <c r="I56" s="54"/>
      <c r="J56" s="54"/>
      <c r="K56" s="54"/>
      <c r="L56" s="55"/>
      <c r="M56" s="5">
        <f t="shared" si="58"/>
        <v>0</v>
      </c>
      <c r="N56" s="28">
        <f t="shared" si="49"/>
        <v>0</v>
      </c>
      <c r="P56" s="3" t="s">
        <v>4</v>
      </c>
      <c r="Q56" s="44"/>
      <c r="R56" s="45"/>
      <c r="S56" s="45"/>
      <c r="T56" s="45"/>
      <c r="U56" s="46"/>
      <c r="V56" s="78">
        <f t="shared" si="55"/>
        <v>0</v>
      </c>
      <c r="W56" s="44"/>
      <c r="X56" s="45"/>
      <c r="Y56" s="45"/>
      <c r="Z56" s="45"/>
      <c r="AA56" s="46">
        <v>1</v>
      </c>
      <c r="AB56" s="78">
        <f t="shared" si="56"/>
        <v>1</v>
      </c>
      <c r="AC56" s="79">
        <f t="shared" si="57"/>
        <v>1</v>
      </c>
      <c r="AD56" s="31">
        <v>45316</v>
      </c>
    </row>
    <row r="57" spans="1:30" ht="14.25" thickBot="1" x14ac:dyDescent="0.2">
      <c r="A57" s="6" t="s">
        <v>4</v>
      </c>
      <c r="B57" s="47"/>
      <c r="C57" s="48"/>
      <c r="D57" s="48"/>
      <c r="E57" s="48"/>
      <c r="F57" s="49"/>
      <c r="G57" s="7">
        <f t="shared" si="53"/>
        <v>0</v>
      </c>
      <c r="H57" s="47"/>
      <c r="I57" s="48"/>
      <c r="J57" s="48"/>
      <c r="K57" s="48"/>
      <c r="L57" s="49"/>
      <c r="M57" s="7">
        <f t="shared" si="58"/>
        <v>0</v>
      </c>
      <c r="N57" s="29">
        <f t="shared" si="49"/>
        <v>0</v>
      </c>
      <c r="P57" s="80" t="s">
        <v>4</v>
      </c>
      <c r="Q57" s="81"/>
      <c r="R57" s="82"/>
      <c r="S57" s="82"/>
      <c r="T57" s="82"/>
      <c r="U57" s="83"/>
      <c r="V57" s="7">
        <f t="shared" ref="V57:V72" si="59">SUM(Q57:U57)</f>
        <v>0</v>
      </c>
      <c r="W57" s="81"/>
      <c r="X57" s="82"/>
      <c r="Y57" s="82"/>
      <c r="Z57" s="82"/>
      <c r="AA57" s="83">
        <v>2</v>
      </c>
      <c r="AB57" s="7">
        <f t="shared" ref="AB57:AB83" si="60">SUM(W57:AA57)</f>
        <v>2</v>
      </c>
      <c r="AC57" s="29">
        <f t="shared" si="52"/>
        <v>2</v>
      </c>
      <c r="AD57" s="31">
        <v>45462</v>
      </c>
    </row>
    <row r="58" spans="1:30" ht="14.25" thickBot="1" x14ac:dyDescent="0.2">
      <c r="A58" s="8" t="s">
        <v>5</v>
      </c>
      <c r="B58" s="50">
        <f>SUM(B47:B57)</f>
        <v>4</v>
      </c>
      <c r="C58" s="51">
        <f t="shared" ref="C58" si="61">SUM(C47:C57)</f>
        <v>11</v>
      </c>
      <c r="D58" s="51">
        <f t="shared" ref="D58" si="62">SUM(D47:D57)</f>
        <v>6</v>
      </c>
      <c r="E58" s="51">
        <f t="shared" ref="E58" si="63">SUM(E47:E57)</f>
        <v>7</v>
      </c>
      <c r="F58" s="52">
        <f t="shared" ref="F58" si="64">SUM(F47:F57)</f>
        <v>2</v>
      </c>
      <c r="G58" s="9">
        <f t="shared" si="53"/>
        <v>30</v>
      </c>
      <c r="H58" s="50">
        <f>SUM(H47:H57)</f>
        <v>3</v>
      </c>
      <c r="I58" s="51">
        <f t="shared" ref="I58" si="65">SUM(I47:I57)</f>
        <v>8</v>
      </c>
      <c r="J58" s="51">
        <f t="shared" ref="J58" si="66">SUM(J47:J57)</f>
        <v>8</v>
      </c>
      <c r="K58" s="51">
        <f t="shared" ref="K58" si="67">SUM(K47:K57)</f>
        <v>5</v>
      </c>
      <c r="L58" s="52">
        <f t="shared" ref="L58" si="68">SUM(L47:L57)</f>
        <v>2</v>
      </c>
      <c r="M58" s="17">
        <f t="shared" si="58"/>
        <v>26</v>
      </c>
      <c r="N58" s="26">
        <f t="shared" si="49"/>
        <v>56</v>
      </c>
      <c r="P58" s="8" t="s">
        <v>5</v>
      </c>
      <c r="Q58" s="50">
        <f>SUM(Q47:Q57)</f>
        <v>0</v>
      </c>
      <c r="R58" s="51">
        <f t="shared" ref="R58:U58" si="69">SUM(R47:R57)</f>
        <v>0</v>
      </c>
      <c r="S58" s="51">
        <f t="shared" si="69"/>
        <v>2</v>
      </c>
      <c r="T58" s="51">
        <f t="shared" si="69"/>
        <v>7</v>
      </c>
      <c r="U58" s="52">
        <f t="shared" si="69"/>
        <v>0</v>
      </c>
      <c r="V58" s="9">
        <f t="shared" si="59"/>
        <v>9</v>
      </c>
      <c r="W58" s="50">
        <f>SUM(W47:W57)</f>
        <v>2</v>
      </c>
      <c r="X58" s="51">
        <f t="shared" ref="X58:AA58" si="70">SUM(X47:X57)</f>
        <v>10</v>
      </c>
      <c r="Y58" s="51">
        <f t="shared" si="70"/>
        <v>11</v>
      </c>
      <c r="Z58" s="51">
        <f t="shared" si="70"/>
        <v>5</v>
      </c>
      <c r="AA58" s="52">
        <f t="shared" si="70"/>
        <v>9</v>
      </c>
      <c r="AB58" s="17">
        <f t="shared" si="60"/>
        <v>37</v>
      </c>
      <c r="AC58" s="26">
        <f t="shared" si="52"/>
        <v>46</v>
      </c>
    </row>
    <row r="59" spans="1:30" x14ac:dyDescent="0.15">
      <c r="A59" s="10" t="s">
        <v>23</v>
      </c>
      <c r="B59" s="53"/>
      <c r="C59" s="54"/>
      <c r="D59" s="54"/>
      <c r="E59" s="54"/>
      <c r="F59" s="55"/>
      <c r="G59" s="5">
        <f>SUM(B59:F59)</f>
        <v>0</v>
      </c>
      <c r="H59" s="53"/>
      <c r="I59" s="54"/>
      <c r="J59" s="54"/>
      <c r="K59" s="54"/>
      <c r="L59" s="55">
        <v>1</v>
      </c>
      <c r="M59" s="5">
        <f t="shared" si="58"/>
        <v>1</v>
      </c>
      <c r="N59" s="28">
        <f t="shared" si="49"/>
        <v>1</v>
      </c>
      <c r="O59" s="31">
        <v>45181</v>
      </c>
      <c r="P59" s="4" t="s">
        <v>22</v>
      </c>
      <c r="Q59" s="44"/>
      <c r="R59" s="45"/>
      <c r="S59" s="45"/>
      <c r="T59" s="45"/>
      <c r="U59" s="46"/>
      <c r="V59" s="5">
        <f t="shared" si="59"/>
        <v>0</v>
      </c>
      <c r="W59" s="44"/>
      <c r="X59" s="45"/>
      <c r="Y59" s="45"/>
      <c r="Z59" s="45"/>
      <c r="AA59" s="46">
        <v>1</v>
      </c>
      <c r="AB59" s="5">
        <f t="shared" ref="AB59:AB72" si="71">SUM(W59:AA59)</f>
        <v>1</v>
      </c>
      <c r="AC59" s="28">
        <f t="shared" ref="AC59:AC72" si="72">V59+AB59</f>
        <v>1</v>
      </c>
      <c r="AD59" s="31">
        <v>45181</v>
      </c>
    </row>
    <row r="60" spans="1:30" x14ac:dyDescent="0.15">
      <c r="A60" s="75" t="s">
        <v>62</v>
      </c>
      <c r="B60" s="44"/>
      <c r="C60" s="45"/>
      <c r="D60" s="45"/>
      <c r="E60" s="45"/>
      <c r="F60" s="46"/>
      <c r="G60" s="5">
        <f t="shared" ref="G60:G83" si="73">SUM(B60:F60)</f>
        <v>0</v>
      </c>
      <c r="H60" s="53"/>
      <c r="I60" s="54"/>
      <c r="J60" s="54">
        <v>3</v>
      </c>
      <c r="K60" s="54"/>
      <c r="L60" s="55"/>
      <c r="M60" s="5">
        <f t="shared" si="58"/>
        <v>3</v>
      </c>
      <c r="N60" s="28">
        <f t="shared" si="49"/>
        <v>3</v>
      </c>
      <c r="O60" s="31">
        <v>45190</v>
      </c>
      <c r="P60" s="75" t="s">
        <v>61</v>
      </c>
      <c r="Q60" s="44"/>
      <c r="R60" s="45"/>
      <c r="S60" s="45"/>
      <c r="T60" s="45"/>
      <c r="U60" s="46"/>
      <c r="V60" s="5">
        <f t="shared" si="59"/>
        <v>0</v>
      </c>
      <c r="W60" s="44"/>
      <c r="X60" s="45">
        <v>2</v>
      </c>
      <c r="Y60" s="45">
        <v>1</v>
      </c>
      <c r="Z60" s="45"/>
      <c r="AA60" s="46"/>
      <c r="AB60" s="5">
        <f t="shared" si="71"/>
        <v>3</v>
      </c>
      <c r="AC60" s="28">
        <f t="shared" si="72"/>
        <v>3</v>
      </c>
      <c r="AD60" s="31">
        <v>45183</v>
      </c>
    </row>
    <row r="61" spans="1:30" x14ac:dyDescent="0.15">
      <c r="A61" s="4" t="s">
        <v>65</v>
      </c>
      <c r="B61" s="44"/>
      <c r="C61" s="45"/>
      <c r="D61" s="45"/>
      <c r="E61" s="45">
        <v>3</v>
      </c>
      <c r="F61" s="46"/>
      <c r="G61" s="5">
        <f t="shared" si="73"/>
        <v>3</v>
      </c>
      <c r="H61" s="44"/>
      <c r="I61" s="45"/>
      <c r="J61" s="45"/>
      <c r="K61" s="45"/>
      <c r="L61" s="46"/>
      <c r="M61" s="5">
        <f t="shared" si="58"/>
        <v>0</v>
      </c>
      <c r="N61" s="28">
        <f t="shared" si="49"/>
        <v>3</v>
      </c>
      <c r="O61" s="31">
        <v>45190</v>
      </c>
      <c r="P61" s="75" t="s">
        <v>63</v>
      </c>
      <c r="Q61" s="44"/>
      <c r="R61" s="45"/>
      <c r="S61" s="45"/>
      <c r="T61" s="45"/>
      <c r="U61" s="46"/>
      <c r="V61" s="5">
        <f t="shared" si="59"/>
        <v>0</v>
      </c>
      <c r="W61" s="44"/>
      <c r="X61" s="45"/>
      <c r="Y61" s="45">
        <v>1</v>
      </c>
      <c r="Z61" s="45"/>
      <c r="AA61" s="46"/>
      <c r="AB61" s="5">
        <f t="shared" si="71"/>
        <v>1</v>
      </c>
      <c r="AC61" s="28">
        <f t="shared" si="72"/>
        <v>1</v>
      </c>
      <c r="AD61" s="31">
        <v>45201</v>
      </c>
    </row>
    <row r="62" spans="1:30" x14ac:dyDescent="0.15">
      <c r="A62" s="4" t="s">
        <v>68</v>
      </c>
      <c r="B62" s="44"/>
      <c r="C62" s="45"/>
      <c r="D62" s="45"/>
      <c r="E62" s="45"/>
      <c r="F62" s="46"/>
      <c r="G62" s="5">
        <f t="shared" si="73"/>
        <v>0</v>
      </c>
      <c r="H62" s="44"/>
      <c r="I62" s="45">
        <v>1</v>
      </c>
      <c r="J62" s="45"/>
      <c r="K62" s="45"/>
      <c r="L62" s="46"/>
      <c r="M62" s="5">
        <f t="shared" si="58"/>
        <v>1</v>
      </c>
      <c r="N62" s="28">
        <f t="shared" si="49"/>
        <v>1</v>
      </c>
      <c r="O62" s="31">
        <v>45194</v>
      </c>
      <c r="P62" s="75" t="s">
        <v>64</v>
      </c>
      <c r="Q62" s="44"/>
      <c r="R62" s="45"/>
      <c r="S62" s="45"/>
      <c r="T62" s="45">
        <v>3</v>
      </c>
      <c r="U62" s="46"/>
      <c r="V62" s="5">
        <f t="shared" si="59"/>
        <v>3</v>
      </c>
      <c r="W62" s="44"/>
      <c r="X62" s="45"/>
      <c r="Y62" s="45"/>
      <c r="Z62" s="45"/>
      <c r="AA62" s="46"/>
      <c r="AB62" s="5">
        <f t="shared" si="71"/>
        <v>0</v>
      </c>
      <c r="AC62" s="28">
        <f t="shared" si="72"/>
        <v>3</v>
      </c>
      <c r="AD62" s="31">
        <v>45194</v>
      </c>
    </row>
    <row r="63" spans="1:30" x14ac:dyDescent="0.15">
      <c r="A63" s="10" t="s">
        <v>23</v>
      </c>
      <c r="B63" s="44">
        <v>1</v>
      </c>
      <c r="C63" s="45"/>
      <c r="D63" s="45"/>
      <c r="E63" s="45"/>
      <c r="F63" s="46"/>
      <c r="G63" s="5">
        <f t="shared" si="73"/>
        <v>1</v>
      </c>
      <c r="H63" s="44"/>
      <c r="I63" s="45">
        <v>2</v>
      </c>
      <c r="J63" s="45"/>
      <c r="K63" s="45">
        <v>1</v>
      </c>
      <c r="L63" s="46"/>
      <c r="M63" s="5">
        <f t="shared" si="58"/>
        <v>3</v>
      </c>
      <c r="N63" s="28">
        <f t="shared" si="49"/>
        <v>4</v>
      </c>
      <c r="O63" s="31">
        <v>45194</v>
      </c>
      <c r="P63" s="4" t="s">
        <v>66</v>
      </c>
      <c r="Q63" s="56"/>
      <c r="R63" s="57"/>
      <c r="S63" s="57"/>
      <c r="T63" s="57"/>
      <c r="U63" s="58"/>
      <c r="V63" s="5">
        <f t="shared" si="59"/>
        <v>0</v>
      </c>
      <c r="W63" s="56"/>
      <c r="X63" s="57"/>
      <c r="Y63" s="57">
        <v>5</v>
      </c>
      <c r="Z63" s="57"/>
      <c r="AA63" s="58"/>
      <c r="AB63" s="5">
        <f t="shared" si="71"/>
        <v>5</v>
      </c>
      <c r="AC63" s="28">
        <f t="shared" si="72"/>
        <v>5</v>
      </c>
      <c r="AD63" s="31">
        <v>45196</v>
      </c>
    </row>
    <row r="64" spans="1:30" x14ac:dyDescent="0.15">
      <c r="A64" s="4" t="s">
        <v>47</v>
      </c>
      <c r="B64" s="44"/>
      <c r="C64" s="45"/>
      <c r="D64" s="45"/>
      <c r="E64" s="45"/>
      <c r="F64" s="46"/>
      <c r="G64" s="5">
        <f t="shared" si="73"/>
        <v>0</v>
      </c>
      <c r="H64" s="44"/>
      <c r="I64" s="45"/>
      <c r="J64" s="45"/>
      <c r="K64" s="45">
        <v>3</v>
      </c>
      <c r="L64" s="46"/>
      <c r="M64" s="5">
        <f t="shared" si="58"/>
        <v>3</v>
      </c>
      <c r="N64" s="28">
        <f t="shared" si="49"/>
        <v>3</v>
      </c>
      <c r="O64" s="31">
        <v>45199</v>
      </c>
      <c r="P64" s="75" t="s">
        <v>67</v>
      </c>
      <c r="Q64" s="44"/>
      <c r="R64" s="45"/>
      <c r="S64" s="45"/>
      <c r="T64" s="45"/>
      <c r="U64" s="46"/>
      <c r="V64" s="5">
        <f t="shared" si="59"/>
        <v>0</v>
      </c>
      <c r="W64" s="44"/>
      <c r="X64" s="45"/>
      <c r="Y64" s="45">
        <v>4</v>
      </c>
      <c r="Z64" s="45"/>
      <c r="AA64" s="46"/>
      <c r="AB64" s="5">
        <f t="shared" si="71"/>
        <v>4</v>
      </c>
      <c r="AC64" s="28">
        <f t="shared" si="72"/>
        <v>4</v>
      </c>
      <c r="AD64" s="31">
        <v>45209</v>
      </c>
    </row>
    <row r="65" spans="1:32" x14ac:dyDescent="0.15">
      <c r="A65" s="10" t="s">
        <v>23</v>
      </c>
      <c r="B65" s="56"/>
      <c r="C65" s="57"/>
      <c r="D65" s="57"/>
      <c r="E65" s="57"/>
      <c r="F65" s="58"/>
      <c r="G65" s="5">
        <f t="shared" si="73"/>
        <v>0</v>
      </c>
      <c r="H65" s="56"/>
      <c r="I65" s="57">
        <v>1</v>
      </c>
      <c r="J65" s="57"/>
      <c r="K65" s="57"/>
      <c r="L65" s="58"/>
      <c r="M65" s="5">
        <f t="shared" si="58"/>
        <v>1</v>
      </c>
      <c r="N65" s="28">
        <f t="shared" si="49"/>
        <v>1</v>
      </c>
      <c r="O65" s="31">
        <v>45197</v>
      </c>
      <c r="P65" s="4" t="s">
        <v>69</v>
      </c>
      <c r="Q65" s="44"/>
      <c r="R65" s="45"/>
      <c r="S65" s="45"/>
      <c r="T65" s="45"/>
      <c r="U65" s="46"/>
      <c r="V65" s="5">
        <f t="shared" si="59"/>
        <v>0</v>
      </c>
      <c r="W65" s="44"/>
      <c r="X65" s="45"/>
      <c r="Y65" s="45"/>
      <c r="Z65" s="45">
        <v>5</v>
      </c>
      <c r="AA65" s="46"/>
      <c r="AB65" s="5">
        <f t="shared" si="71"/>
        <v>5</v>
      </c>
      <c r="AC65" s="28">
        <f t="shared" si="72"/>
        <v>5</v>
      </c>
      <c r="AD65" s="31">
        <v>45202</v>
      </c>
    </row>
    <row r="66" spans="1:32" x14ac:dyDescent="0.15">
      <c r="A66" s="4" t="s">
        <v>47</v>
      </c>
      <c r="B66" s="44"/>
      <c r="C66" s="45"/>
      <c r="D66" s="45"/>
      <c r="E66" s="45">
        <v>4</v>
      </c>
      <c r="F66" s="46"/>
      <c r="G66" s="5">
        <f t="shared" si="73"/>
        <v>4</v>
      </c>
      <c r="H66" s="44">
        <v>2</v>
      </c>
      <c r="I66" s="45"/>
      <c r="J66" s="45"/>
      <c r="K66" s="45"/>
      <c r="L66" s="46"/>
      <c r="M66" s="5">
        <f t="shared" si="58"/>
        <v>2</v>
      </c>
      <c r="N66" s="28">
        <f t="shared" si="49"/>
        <v>6</v>
      </c>
      <c r="O66" s="31">
        <v>45303</v>
      </c>
      <c r="P66" s="75" t="s">
        <v>70</v>
      </c>
      <c r="Q66" s="44"/>
      <c r="R66" s="45"/>
      <c r="S66" s="45">
        <v>2</v>
      </c>
      <c r="T66" s="45"/>
      <c r="U66" s="46"/>
      <c r="V66" s="5">
        <f t="shared" si="59"/>
        <v>2</v>
      </c>
      <c r="W66" s="44"/>
      <c r="X66" s="45"/>
      <c r="Y66" s="45"/>
      <c r="Z66" s="45"/>
      <c r="AA66" s="46"/>
      <c r="AB66" s="5">
        <f t="shared" si="71"/>
        <v>0</v>
      </c>
      <c r="AC66" s="28">
        <f t="shared" si="72"/>
        <v>2</v>
      </c>
      <c r="AD66" s="31">
        <v>45201</v>
      </c>
    </row>
    <row r="67" spans="1:32" x14ac:dyDescent="0.15">
      <c r="A67" s="10" t="s">
        <v>23</v>
      </c>
      <c r="B67" s="44"/>
      <c r="C67" s="45">
        <v>1</v>
      </c>
      <c r="D67" s="45"/>
      <c r="E67" s="45"/>
      <c r="F67" s="46"/>
      <c r="G67" s="5">
        <f t="shared" si="73"/>
        <v>1</v>
      </c>
      <c r="H67" s="44"/>
      <c r="I67" s="45"/>
      <c r="J67" s="45"/>
      <c r="K67" s="45"/>
      <c r="L67" s="46"/>
      <c r="M67" s="5">
        <f t="shared" si="58"/>
        <v>0</v>
      </c>
      <c r="N67" s="28">
        <f t="shared" si="49"/>
        <v>1</v>
      </c>
      <c r="O67" s="31">
        <v>45316</v>
      </c>
      <c r="P67" s="4" t="s">
        <v>71</v>
      </c>
      <c r="Q67" s="44"/>
      <c r="R67" s="45"/>
      <c r="S67" s="45"/>
      <c r="T67" s="45"/>
      <c r="U67" s="46"/>
      <c r="V67" s="5">
        <f t="shared" si="59"/>
        <v>0</v>
      </c>
      <c r="W67" s="44"/>
      <c r="X67" s="45"/>
      <c r="Y67" s="45"/>
      <c r="Z67" s="45"/>
      <c r="AA67" s="46">
        <v>5</v>
      </c>
      <c r="AB67" s="5">
        <f t="shared" si="71"/>
        <v>5</v>
      </c>
      <c r="AC67" s="28">
        <f t="shared" si="72"/>
        <v>5</v>
      </c>
      <c r="AD67" s="31">
        <v>45279</v>
      </c>
    </row>
    <row r="68" spans="1:32" x14ac:dyDescent="0.15">
      <c r="A68" s="10" t="s">
        <v>23</v>
      </c>
      <c r="B68" s="44"/>
      <c r="C68" s="45"/>
      <c r="D68" s="45"/>
      <c r="E68" s="45"/>
      <c r="F68" s="46"/>
      <c r="G68" s="5">
        <f t="shared" si="73"/>
        <v>0</v>
      </c>
      <c r="H68" s="44"/>
      <c r="I68" s="45"/>
      <c r="J68" s="45"/>
      <c r="K68" s="45"/>
      <c r="L68" s="46">
        <v>1</v>
      </c>
      <c r="M68" s="5">
        <f t="shared" si="58"/>
        <v>1</v>
      </c>
      <c r="N68" s="28">
        <f t="shared" si="49"/>
        <v>1</v>
      </c>
      <c r="O68" s="31">
        <v>45317</v>
      </c>
      <c r="P68" s="4" t="s">
        <v>72</v>
      </c>
      <c r="Q68" s="44"/>
      <c r="R68" s="45"/>
      <c r="S68" s="45"/>
      <c r="T68" s="45">
        <v>4</v>
      </c>
      <c r="U68" s="46"/>
      <c r="V68" s="5">
        <f t="shared" si="59"/>
        <v>4</v>
      </c>
      <c r="W68" s="44">
        <v>2</v>
      </c>
      <c r="X68" s="45"/>
      <c r="Y68" s="45"/>
      <c r="Z68" s="45"/>
      <c r="AA68" s="46"/>
      <c r="AB68" s="5">
        <f t="shared" si="71"/>
        <v>2</v>
      </c>
      <c r="AC68" s="28">
        <f t="shared" si="72"/>
        <v>6</v>
      </c>
      <c r="AD68" s="31">
        <v>45309</v>
      </c>
    </row>
    <row r="69" spans="1:32" x14ac:dyDescent="0.15">
      <c r="A69" s="10" t="s">
        <v>23</v>
      </c>
      <c r="B69" s="44"/>
      <c r="C69" s="45"/>
      <c r="D69" s="45"/>
      <c r="E69" s="45"/>
      <c r="F69" s="46"/>
      <c r="G69" s="5">
        <f t="shared" si="73"/>
        <v>0</v>
      </c>
      <c r="H69" s="44"/>
      <c r="I69" s="45"/>
      <c r="J69" s="45">
        <v>1</v>
      </c>
      <c r="K69" s="45"/>
      <c r="L69" s="46"/>
      <c r="M69" s="5">
        <f t="shared" si="58"/>
        <v>1</v>
      </c>
      <c r="N69" s="28">
        <f t="shared" si="49"/>
        <v>1</v>
      </c>
      <c r="O69" s="31">
        <v>45320</v>
      </c>
      <c r="P69" s="4" t="s">
        <v>73</v>
      </c>
      <c r="Q69" s="44"/>
      <c r="R69" s="45"/>
      <c r="S69" s="45"/>
      <c r="T69" s="45"/>
      <c r="U69" s="46"/>
      <c r="V69" s="5">
        <f t="shared" si="59"/>
        <v>0</v>
      </c>
      <c r="W69" s="44"/>
      <c r="X69" s="45">
        <v>5</v>
      </c>
      <c r="Y69" s="45"/>
      <c r="Z69" s="45"/>
      <c r="AA69" s="46"/>
      <c r="AB69" s="5">
        <f t="shared" si="71"/>
        <v>5</v>
      </c>
      <c r="AC69" s="28">
        <f t="shared" si="72"/>
        <v>5</v>
      </c>
      <c r="AD69" s="31">
        <v>45324</v>
      </c>
    </row>
    <row r="70" spans="1:32" x14ac:dyDescent="0.15">
      <c r="A70" s="10" t="s">
        <v>23</v>
      </c>
      <c r="B70" s="44"/>
      <c r="C70" s="45"/>
      <c r="D70" s="45">
        <v>1</v>
      </c>
      <c r="E70" s="45"/>
      <c r="F70" s="46"/>
      <c r="G70" s="5">
        <f t="shared" si="73"/>
        <v>1</v>
      </c>
      <c r="H70" s="44"/>
      <c r="I70" s="45"/>
      <c r="J70" s="45"/>
      <c r="K70" s="45"/>
      <c r="L70" s="46"/>
      <c r="M70" s="5">
        <f t="shared" si="58"/>
        <v>0</v>
      </c>
      <c r="N70" s="28">
        <f t="shared" si="49"/>
        <v>1</v>
      </c>
      <c r="O70" s="31">
        <v>45349</v>
      </c>
      <c r="P70" s="4" t="s">
        <v>22</v>
      </c>
      <c r="Q70" s="44"/>
      <c r="R70" s="45"/>
      <c r="S70" s="45"/>
      <c r="T70" s="45"/>
      <c r="U70" s="46"/>
      <c r="V70" s="5">
        <f t="shared" si="59"/>
        <v>0</v>
      </c>
      <c r="W70" s="44"/>
      <c r="X70" s="45"/>
      <c r="Y70" s="45"/>
      <c r="Z70" s="45"/>
      <c r="AA70" s="46">
        <v>1</v>
      </c>
      <c r="AB70" s="5">
        <f t="shared" si="71"/>
        <v>1</v>
      </c>
      <c r="AC70" s="28">
        <f t="shared" si="72"/>
        <v>1</v>
      </c>
      <c r="AD70" s="31">
        <v>45317</v>
      </c>
    </row>
    <row r="71" spans="1:32" x14ac:dyDescent="0.15">
      <c r="A71" s="10" t="s">
        <v>23</v>
      </c>
      <c r="B71" s="44"/>
      <c r="C71" s="45"/>
      <c r="D71" s="45"/>
      <c r="E71" s="45"/>
      <c r="F71" s="46"/>
      <c r="G71" s="5">
        <f t="shared" si="73"/>
        <v>0</v>
      </c>
      <c r="H71" s="44"/>
      <c r="I71" s="45"/>
      <c r="J71" s="45">
        <v>1</v>
      </c>
      <c r="K71" s="45"/>
      <c r="L71" s="46"/>
      <c r="M71" s="5">
        <f t="shared" ref="M71:M83" si="74">SUM(H71:L71)</f>
        <v>1</v>
      </c>
      <c r="N71" s="28">
        <f t="shared" si="49"/>
        <v>1</v>
      </c>
      <c r="O71" s="31">
        <v>45357</v>
      </c>
      <c r="P71" s="4" t="s">
        <v>75</v>
      </c>
      <c r="Q71" s="44"/>
      <c r="R71" s="45">
        <v>-5</v>
      </c>
      <c r="S71" s="45"/>
      <c r="T71" s="45"/>
      <c r="U71" s="46"/>
      <c r="V71" s="5">
        <f t="shared" si="59"/>
        <v>-5</v>
      </c>
      <c r="W71" s="44"/>
      <c r="X71" s="45"/>
      <c r="Y71" s="45"/>
      <c r="Z71" s="45"/>
      <c r="AA71" s="46"/>
      <c r="AB71" s="5">
        <f t="shared" si="71"/>
        <v>0</v>
      </c>
      <c r="AC71" s="28">
        <f t="shared" si="72"/>
        <v>-5</v>
      </c>
      <c r="AD71" s="31">
        <v>45429</v>
      </c>
    </row>
    <row r="72" spans="1:32" x14ac:dyDescent="0.15">
      <c r="A72" s="10" t="s">
        <v>23</v>
      </c>
      <c r="B72" s="44"/>
      <c r="C72" s="45"/>
      <c r="D72" s="45"/>
      <c r="E72" s="45"/>
      <c r="F72" s="46">
        <v>1</v>
      </c>
      <c r="G72" s="5">
        <f t="shared" si="73"/>
        <v>1</v>
      </c>
      <c r="H72" s="44"/>
      <c r="I72" s="45"/>
      <c r="J72" s="45"/>
      <c r="K72" s="45"/>
      <c r="L72" s="46"/>
      <c r="M72" s="5">
        <f t="shared" si="74"/>
        <v>0</v>
      </c>
      <c r="N72" s="28">
        <f t="shared" si="49"/>
        <v>1</v>
      </c>
      <c r="O72" s="31">
        <v>45369</v>
      </c>
      <c r="P72" s="4" t="s">
        <v>74</v>
      </c>
      <c r="Q72" s="44"/>
      <c r="R72" s="45">
        <v>5</v>
      </c>
      <c r="S72" s="45"/>
      <c r="T72" s="45"/>
      <c r="U72" s="46"/>
      <c r="V72" s="5">
        <f t="shared" si="59"/>
        <v>5</v>
      </c>
      <c r="W72" s="44"/>
      <c r="X72" s="45"/>
      <c r="Y72" s="45"/>
      <c r="Z72" s="45"/>
      <c r="AA72" s="46"/>
      <c r="AB72" s="5">
        <f t="shared" si="71"/>
        <v>0</v>
      </c>
      <c r="AC72" s="28">
        <f t="shared" si="72"/>
        <v>5</v>
      </c>
      <c r="AD72" s="31">
        <v>45433</v>
      </c>
      <c r="AE72" s="69"/>
    </row>
    <row r="73" spans="1:32" x14ac:dyDescent="0.15">
      <c r="A73" s="10" t="s">
        <v>23</v>
      </c>
      <c r="B73" s="44"/>
      <c r="C73" s="45">
        <v>1</v>
      </c>
      <c r="D73" s="45"/>
      <c r="E73" s="45"/>
      <c r="F73" s="46"/>
      <c r="G73" s="5">
        <f t="shared" si="73"/>
        <v>1</v>
      </c>
      <c r="H73" s="44"/>
      <c r="I73" s="45"/>
      <c r="J73" s="45"/>
      <c r="K73" s="45"/>
      <c r="L73" s="46"/>
      <c r="M73" s="5">
        <f t="shared" si="74"/>
        <v>0</v>
      </c>
      <c r="N73" s="28">
        <f t="shared" si="49"/>
        <v>1</v>
      </c>
      <c r="O73" s="31">
        <v>45372</v>
      </c>
      <c r="P73" s="4" t="s">
        <v>76</v>
      </c>
      <c r="Q73" s="44"/>
      <c r="R73" s="45"/>
      <c r="S73" s="45"/>
      <c r="T73" s="45"/>
      <c r="U73" s="46"/>
      <c r="V73" s="5">
        <f t="shared" ref="V73:V74" si="75">SUM(Q73:U73)</f>
        <v>0</v>
      </c>
      <c r="W73" s="44"/>
      <c r="X73" s="45"/>
      <c r="Y73" s="45"/>
      <c r="Z73" s="45"/>
      <c r="AA73" s="46">
        <v>2</v>
      </c>
      <c r="AB73" s="5">
        <f t="shared" ref="AB73:AB74" si="76">SUM(W73:AA73)</f>
        <v>2</v>
      </c>
      <c r="AC73" s="28">
        <f t="shared" ref="AC73:AC74" si="77">V73+AB73</f>
        <v>2</v>
      </c>
      <c r="AD73" s="31">
        <v>45475</v>
      </c>
      <c r="AE73" s="69"/>
      <c r="AF73" s="69"/>
    </row>
    <row r="74" spans="1:32" x14ac:dyDescent="0.15">
      <c r="A74" s="10" t="s">
        <v>23</v>
      </c>
      <c r="B74" s="44"/>
      <c r="C74" s="45"/>
      <c r="D74" s="45"/>
      <c r="E74" s="45"/>
      <c r="F74" s="46">
        <v>1</v>
      </c>
      <c r="G74" s="5">
        <f t="shared" si="73"/>
        <v>1</v>
      </c>
      <c r="H74" s="44"/>
      <c r="I74" s="45"/>
      <c r="J74" s="45"/>
      <c r="K74" s="45"/>
      <c r="L74" s="46"/>
      <c r="M74" s="5">
        <f t="shared" si="74"/>
        <v>0</v>
      </c>
      <c r="N74" s="28">
        <f t="shared" si="49"/>
        <v>1</v>
      </c>
      <c r="O74" s="31">
        <v>45379</v>
      </c>
      <c r="P74" s="4" t="s">
        <v>22</v>
      </c>
      <c r="Q74" s="59"/>
      <c r="R74" s="60"/>
      <c r="S74" s="60"/>
      <c r="T74" s="45"/>
      <c r="U74" s="46"/>
      <c r="V74" s="5">
        <f t="shared" si="75"/>
        <v>0</v>
      </c>
      <c r="W74" s="44"/>
      <c r="X74" s="45">
        <v>3</v>
      </c>
      <c r="Y74" s="45"/>
      <c r="Z74" s="45"/>
      <c r="AA74" s="46"/>
      <c r="AB74" s="5">
        <f t="shared" si="76"/>
        <v>3</v>
      </c>
      <c r="AC74" s="28">
        <f t="shared" si="77"/>
        <v>3</v>
      </c>
      <c r="AD74" s="30">
        <v>45626</v>
      </c>
      <c r="AE74" s="69"/>
      <c r="AF74" s="69"/>
    </row>
    <row r="75" spans="1:32" x14ac:dyDescent="0.15">
      <c r="A75" s="4" t="s">
        <v>47</v>
      </c>
      <c r="B75" s="44"/>
      <c r="C75" s="45">
        <v>5</v>
      </c>
      <c r="D75" s="45"/>
      <c r="E75" s="45"/>
      <c r="F75" s="46"/>
      <c r="G75" s="5">
        <f t="shared" ref="G75" si="78">SUM(B75:F75)</f>
        <v>5</v>
      </c>
      <c r="H75" s="44"/>
      <c r="I75" s="45"/>
      <c r="J75" s="45"/>
      <c r="K75" s="45"/>
      <c r="L75" s="46"/>
      <c r="M75" s="5">
        <f t="shared" ref="M75" si="79">SUM(H75:L75)</f>
        <v>0</v>
      </c>
      <c r="N75" s="28">
        <f t="shared" ref="N75" si="80">G75+M75</f>
        <v>5</v>
      </c>
      <c r="O75" s="31">
        <v>45794</v>
      </c>
      <c r="P75" s="4" t="s">
        <v>75</v>
      </c>
      <c r="Q75" s="44"/>
      <c r="R75" s="45"/>
      <c r="S75" s="45"/>
      <c r="T75" s="45"/>
      <c r="U75" s="46"/>
      <c r="V75" s="5">
        <f t="shared" ref="V75:V83" si="81">SUM(Q75:U75)</f>
        <v>0</v>
      </c>
      <c r="W75" s="44"/>
      <c r="X75" s="45"/>
      <c r="Y75" s="45">
        <v>-3</v>
      </c>
      <c r="Z75" s="45"/>
      <c r="AA75" s="46"/>
      <c r="AB75" s="5">
        <f t="shared" si="60"/>
        <v>-3</v>
      </c>
      <c r="AC75" s="28">
        <f t="shared" si="52"/>
        <v>-3</v>
      </c>
      <c r="AD75" s="31">
        <v>45675</v>
      </c>
    </row>
    <row r="76" spans="1:32" x14ac:dyDescent="0.15">
      <c r="A76" s="10" t="s">
        <v>23</v>
      </c>
      <c r="B76" s="44"/>
      <c r="C76" s="45"/>
      <c r="D76" s="45">
        <v>1</v>
      </c>
      <c r="E76" s="45"/>
      <c r="F76" s="46"/>
      <c r="G76" s="5">
        <f t="shared" si="73"/>
        <v>1</v>
      </c>
      <c r="H76" s="44"/>
      <c r="I76" s="45"/>
      <c r="J76" s="45"/>
      <c r="K76" s="45"/>
      <c r="L76" s="46"/>
      <c r="M76" s="5">
        <f t="shared" si="74"/>
        <v>0</v>
      </c>
      <c r="N76" s="28">
        <f t="shared" si="49"/>
        <v>1</v>
      </c>
      <c r="O76" s="31">
        <v>45647</v>
      </c>
      <c r="P76" s="4" t="s">
        <v>77</v>
      </c>
      <c r="Q76" s="44"/>
      <c r="R76" s="45"/>
      <c r="S76" s="45"/>
      <c r="T76" s="45"/>
      <c r="U76" s="46"/>
      <c r="V76" s="5">
        <f t="shared" si="81"/>
        <v>0</v>
      </c>
      <c r="W76" s="44"/>
      <c r="X76" s="45"/>
      <c r="Y76" s="45">
        <v>3</v>
      </c>
      <c r="Z76" s="45"/>
      <c r="AA76" s="46"/>
      <c r="AB76" s="5">
        <f t="shared" si="60"/>
        <v>3</v>
      </c>
      <c r="AC76" s="28">
        <f t="shared" si="52"/>
        <v>3</v>
      </c>
      <c r="AD76" s="31">
        <v>45680</v>
      </c>
    </row>
    <row r="77" spans="1:32" x14ac:dyDescent="0.15">
      <c r="A77" s="10" t="s">
        <v>23</v>
      </c>
      <c r="B77" s="44"/>
      <c r="C77" s="45"/>
      <c r="D77" s="45">
        <v>1</v>
      </c>
      <c r="E77" s="45"/>
      <c r="F77" s="46"/>
      <c r="G77" s="5">
        <f t="shared" si="73"/>
        <v>1</v>
      </c>
      <c r="H77" s="44"/>
      <c r="I77" s="45"/>
      <c r="J77" s="45"/>
      <c r="K77" s="45"/>
      <c r="L77" s="46"/>
      <c r="M77" s="5">
        <f t="shared" si="74"/>
        <v>0</v>
      </c>
      <c r="N77" s="28">
        <f t="shared" si="49"/>
        <v>1</v>
      </c>
      <c r="O77" s="31">
        <v>45663</v>
      </c>
      <c r="P77" s="4"/>
      <c r="Q77" s="59"/>
      <c r="R77" s="60"/>
      <c r="S77" s="60"/>
      <c r="T77" s="45"/>
      <c r="U77" s="46"/>
      <c r="V77" s="5">
        <f t="shared" si="81"/>
        <v>0</v>
      </c>
      <c r="W77" s="44"/>
      <c r="X77" s="45"/>
      <c r="Y77" s="45"/>
      <c r="Z77" s="45"/>
      <c r="AA77" s="46"/>
      <c r="AB77" s="5">
        <f t="shared" si="60"/>
        <v>0</v>
      </c>
      <c r="AC77" s="28">
        <f t="shared" si="52"/>
        <v>0</v>
      </c>
    </row>
    <row r="78" spans="1:32" x14ac:dyDescent="0.15">
      <c r="A78" s="4" t="s">
        <v>47</v>
      </c>
      <c r="B78" s="44"/>
      <c r="C78" s="45"/>
      <c r="D78" s="45"/>
      <c r="E78" s="45"/>
      <c r="F78" s="46"/>
      <c r="G78" s="5">
        <f t="shared" si="73"/>
        <v>0</v>
      </c>
      <c r="H78" s="44"/>
      <c r="I78" s="45"/>
      <c r="J78" s="45">
        <v>3</v>
      </c>
      <c r="K78" s="45"/>
      <c r="L78" s="46"/>
      <c r="M78" s="5">
        <f t="shared" si="74"/>
        <v>3</v>
      </c>
      <c r="N78" s="28">
        <f t="shared" si="49"/>
        <v>3</v>
      </c>
      <c r="O78" s="31">
        <v>45675</v>
      </c>
      <c r="P78" s="11"/>
      <c r="Q78" s="59"/>
      <c r="R78" s="60"/>
      <c r="S78" s="60"/>
      <c r="T78" s="45"/>
      <c r="U78" s="46"/>
      <c r="V78" s="5">
        <f t="shared" si="81"/>
        <v>0</v>
      </c>
      <c r="W78" s="44"/>
      <c r="X78" s="45"/>
      <c r="Y78" s="45"/>
      <c r="Z78" s="45"/>
      <c r="AA78" s="46"/>
      <c r="AB78" s="5">
        <f t="shared" si="60"/>
        <v>0</v>
      </c>
      <c r="AC78" s="28">
        <f t="shared" si="52"/>
        <v>0</v>
      </c>
    </row>
    <row r="79" spans="1:32" x14ac:dyDescent="0.15">
      <c r="A79" s="10" t="s">
        <v>23</v>
      </c>
      <c r="B79" s="44"/>
      <c r="C79" s="45"/>
      <c r="D79" s="45"/>
      <c r="E79" s="45"/>
      <c r="F79" s="46"/>
      <c r="G79" s="5">
        <f t="shared" si="73"/>
        <v>0</v>
      </c>
      <c r="H79" s="53"/>
      <c r="I79" s="54">
        <v>1</v>
      </c>
      <c r="J79" s="54"/>
      <c r="K79" s="54"/>
      <c r="L79" s="55"/>
      <c r="M79" s="5">
        <f t="shared" si="74"/>
        <v>1</v>
      </c>
      <c r="N79" s="28">
        <f t="shared" si="49"/>
        <v>1</v>
      </c>
      <c r="O79" s="31">
        <v>45726</v>
      </c>
      <c r="P79" s="4"/>
      <c r="Q79" s="59"/>
      <c r="R79" s="60"/>
      <c r="S79" s="60"/>
      <c r="T79" s="45"/>
      <c r="U79" s="46"/>
      <c r="V79" s="5">
        <f t="shared" si="81"/>
        <v>0</v>
      </c>
      <c r="W79" s="53"/>
      <c r="X79" s="54"/>
      <c r="Y79" s="54"/>
      <c r="Z79" s="54"/>
      <c r="AA79" s="55"/>
      <c r="AB79" s="5">
        <f t="shared" si="60"/>
        <v>0</v>
      </c>
      <c r="AC79" s="28">
        <f t="shared" si="52"/>
        <v>0</v>
      </c>
    </row>
    <row r="80" spans="1:32" x14ac:dyDescent="0.15">
      <c r="A80" s="10" t="s">
        <v>23</v>
      </c>
      <c r="B80" s="44"/>
      <c r="C80" s="45"/>
      <c r="D80" s="45"/>
      <c r="E80" s="45"/>
      <c r="F80" s="46"/>
      <c r="G80" s="5">
        <f t="shared" si="73"/>
        <v>0</v>
      </c>
      <c r="H80" s="65"/>
      <c r="I80" s="66"/>
      <c r="J80" s="66"/>
      <c r="K80" s="66">
        <v>1</v>
      </c>
      <c r="L80" s="67"/>
      <c r="M80" s="5">
        <f t="shared" si="74"/>
        <v>1</v>
      </c>
      <c r="N80" s="28">
        <f t="shared" si="49"/>
        <v>1</v>
      </c>
      <c r="O80" s="31">
        <v>45779</v>
      </c>
      <c r="P80" s="4"/>
      <c r="Q80" s="59"/>
      <c r="R80" s="60"/>
      <c r="S80" s="60"/>
      <c r="T80" s="45"/>
      <c r="U80" s="46"/>
      <c r="V80" s="5">
        <f t="shared" si="81"/>
        <v>0</v>
      </c>
      <c r="W80" s="65"/>
      <c r="X80" s="66"/>
      <c r="Y80" s="66"/>
      <c r="Z80" s="66"/>
      <c r="AA80" s="67"/>
      <c r="AB80" s="5">
        <f t="shared" si="60"/>
        <v>0</v>
      </c>
      <c r="AC80" s="28">
        <f t="shared" si="52"/>
        <v>0</v>
      </c>
    </row>
    <row r="81" spans="1:30" x14ac:dyDescent="0.15">
      <c r="A81" s="10" t="s">
        <v>23</v>
      </c>
      <c r="B81" s="44">
        <v>1</v>
      </c>
      <c r="C81" s="45"/>
      <c r="D81" s="45"/>
      <c r="E81" s="45"/>
      <c r="F81" s="46"/>
      <c r="G81" s="5">
        <f t="shared" si="73"/>
        <v>1</v>
      </c>
      <c r="H81" s="44"/>
      <c r="I81" s="45"/>
      <c r="J81" s="45"/>
      <c r="K81" s="45"/>
      <c r="L81" s="46"/>
      <c r="M81" s="5">
        <f t="shared" si="74"/>
        <v>0</v>
      </c>
      <c r="N81" s="28">
        <f t="shared" si="49"/>
        <v>1</v>
      </c>
      <c r="O81" s="31">
        <v>45786</v>
      </c>
      <c r="P81" s="4"/>
      <c r="Q81" s="59"/>
      <c r="R81" s="60"/>
      <c r="S81" s="60"/>
      <c r="T81" s="45"/>
      <c r="U81" s="46"/>
      <c r="V81" s="5">
        <f t="shared" si="81"/>
        <v>0</v>
      </c>
      <c r="W81" s="44"/>
      <c r="X81" s="45"/>
      <c r="Y81" s="45"/>
      <c r="Z81" s="45"/>
      <c r="AA81" s="46"/>
      <c r="AB81" s="5">
        <f t="shared" si="60"/>
        <v>0</v>
      </c>
      <c r="AC81" s="28">
        <f t="shared" si="52"/>
        <v>0</v>
      </c>
    </row>
    <row r="82" spans="1:30" ht="14.25" thickBot="1" x14ac:dyDescent="0.2">
      <c r="A82" s="10" t="s">
        <v>23</v>
      </c>
      <c r="B82" s="44"/>
      <c r="C82" s="68">
        <v>1</v>
      </c>
      <c r="D82" s="45"/>
      <c r="E82" s="45"/>
      <c r="F82" s="46"/>
      <c r="G82" s="7">
        <f t="shared" si="73"/>
        <v>1</v>
      </c>
      <c r="H82" s="44"/>
      <c r="I82" s="68"/>
      <c r="J82" s="45"/>
      <c r="K82" s="45"/>
      <c r="L82" s="46"/>
      <c r="M82" s="5">
        <f t="shared" ref="M82" si="82">SUM(H82:L82)</f>
        <v>0</v>
      </c>
      <c r="N82" s="29">
        <f t="shared" si="49"/>
        <v>1</v>
      </c>
      <c r="O82" s="31">
        <v>45789</v>
      </c>
      <c r="P82" s="4" t="s">
        <v>20</v>
      </c>
      <c r="Q82" s="44"/>
      <c r="R82" s="68"/>
      <c r="S82" s="45"/>
      <c r="T82" s="45"/>
      <c r="U82" s="46"/>
      <c r="V82" s="7">
        <f t="shared" si="81"/>
        <v>0</v>
      </c>
      <c r="W82" s="44"/>
      <c r="X82" s="68"/>
      <c r="Y82" s="45"/>
      <c r="Z82" s="45"/>
      <c r="AA82" s="46"/>
      <c r="AB82" s="5">
        <f t="shared" si="60"/>
        <v>0</v>
      </c>
      <c r="AC82" s="29">
        <f t="shared" si="52"/>
        <v>0</v>
      </c>
      <c r="AD82" s="69" t="s">
        <v>21</v>
      </c>
    </row>
    <row r="83" spans="1:30" ht="14.25" thickBot="1" x14ac:dyDescent="0.2">
      <c r="A83" s="2" t="s">
        <v>6</v>
      </c>
      <c r="B83" s="50">
        <f>SUM(B59:B82)</f>
        <v>2</v>
      </c>
      <c r="C83" s="51">
        <f t="shared" ref="C83" si="83">SUM(C59:C82)</f>
        <v>8</v>
      </c>
      <c r="D83" s="51">
        <f t="shared" ref="D83" si="84">SUM(D59:D82)</f>
        <v>3</v>
      </c>
      <c r="E83" s="51">
        <f t="shared" ref="E83" si="85">SUM(E59:E82)</f>
        <v>7</v>
      </c>
      <c r="F83" s="52">
        <f t="shared" ref="F83" si="86">SUM(F59:F82)</f>
        <v>2</v>
      </c>
      <c r="G83" s="9">
        <f t="shared" si="73"/>
        <v>22</v>
      </c>
      <c r="H83" s="50">
        <f>SUM(H59:H82)</f>
        <v>2</v>
      </c>
      <c r="I83" s="51">
        <f t="shared" ref="I83" si="87">SUM(I59:I82)</f>
        <v>5</v>
      </c>
      <c r="J83" s="51">
        <f t="shared" ref="J83" si="88">SUM(J59:J82)</f>
        <v>8</v>
      </c>
      <c r="K83" s="51">
        <f t="shared" ref="K83" si="89">SUM(K59:K82)</f>
        <v>5</v>
      </c>
      <c r="L83" s="52">
        <f t="shared" ref="L83" si="90">SUM(L59:L82)</f>
        <v>2</v>
      </c>
      <c r="M83" s="9">
        <f t="shared" si="74"/>
        <v>22</v>
      </c>
      <c r="N83" s="26">
        <f t="shared" si="49"/>
        <v>44</v>
      </c>
      <c r="P83" s="2" t="s">
        <v>6</v>
      </c>
      <c r="Q83" s="50">
        <f>SUM(Q59:Q82)</f>
        <v>0</v>
      </c>
      <c r="R83" s="51">
        <f t="shared" ref="R83:U83" si="91">SUM(R59:R82)</f>
        <v>0</v>
      </c>
      <c r="S83" s="51">
        <f t="shared" si="91"/>
        <v>2</v>
      </c>
      <c r="T83" s="51">
        <f t="shared" si="91"/>
        <v>7</v>
      </c>
      <c r="U83" s="52">
        <f t="shared" si="91"/>
        <v>0</v>
      </c>
      <c r="V83" s="9">
        <f t="shared" si="81"/>
        <v>9</v>
      </c>
      <c r="W83" s="50">
        <f>SUM(W59:W82)</f>
        <v>2</v>
      </c>
      <c r="X83" s="51">
        <f t="shared" ref="X83:AA83" si="92">SUM(X59:X82)</f>
        <v>10</v>
      </c>
      <c r="Y83" s="51">
        <f t="shared" si="92"/>
        <v>11</v>
      </c>
      <c r="Z83" s="51">
        <f t="shared" si="92"/>
        <v>5</v>
      </c>
      <c r="AA83" s="52">
        <f t="shared" si="92"/>
        <v>9</v>
      </c>
      <c r="AB83" s="9">
        <f t="shared" si="60"/>
        <v>37</v>
      </c>
      <c r="AC83" s="26">
        <f t="shared" si="52"/>
        <v>46</v>
      </c>
    </row>
    <row r="84" spans="1:30" ht="14.25" thickBot="1" x14ac:dyDescent="0.2">
      <c r="A84" s="12" t="s">
        <v>7</v>
      </c>
      <c r="B84" s="62">
        <f>B58-B83</f>
        <v>2</v>
      </c>
      <c r="C84" s="63">
        <f t="shared" ref="C84" si="93">C58-C83</f>
        <v>3</v>
      </c>
      <c r="D84" s="63">
        <f t="shared" ref="D84" si="94">D58-D83</f>
        <v>3</v>
      </c>
      <c r="E84" s="63">
        <f t="shared" ref="E84" si="95">E58-E83</f>
        <v>0</v>
      </c>
      <c r="F84" s="64">
        <f t="shared" ref="F84" si="96">F58-F83</f>
        <v>0</v>
      </c>
      <c r="G84" s="9">
        <f t="shared" ref="G84" si="97">G58-G83</f>
        <v>8</v>
      </c>
      <c r="H84" s="62">
        <f>H58-H83</f>
        <v>1</v>
      </c>
      <c r="I84" s="63">
        <f t="shared" ref="I84" si="98">I58-I83</f>
        <v>3</v>
      </c>
      <c r="J84" s="63">
        <f t="shared" ref="J84" si="99">J58-J83</f>
        <v>0</v>
      </c>
      <c r="K84" s="63">
        <f t="shared" ref="K84" si="100">K58-K83</f>
        <v>0</v>
      </c>
      <c r="L84" s="64">
        <f t="shared" ref="L84" si="101">L58-L83</f>
        <v>0</v>
      </c>
      <c r="M84" s="9">
        <f t="shared" ref="M84" si="102">M58-M83</f>
        <v>4</v>
      </c>
      <c r="N84" s="26">
        <f t="shared" si="49"/>
        <v>12</v>
      </c>
      <c r="P84" s="12" t="s">
        <v>7</v>
      </c>
      <c r="Q84" s="62">
        <f>Q58-Q83</f>
        <v>0</v>
      </c>
      <c r="R84" s="63">
        <f t="shared" ref="R84:V84" si="103">R58-R83</f>
        <v>0</v>
      </c>
      <c r="S84" s="63">
        <f t="shared" si="103"/>
        <v>0</v>
      </c>
      <c r="T84" s="63">
        <f t="shared" si="103"/>
        <v>0</v>
      </c>
      <c r="U84" s="64">
        <f t="shared" si="103"/>
        <v>0</v>
      </c>
      <c r="V84" s="9">
        <f t="shared" si="103"/>
        <v>0</v>
      </c>
      <c r="W84" s="62">
        <f>W58-W83</f>
        <v>0</v>
      </c>
      <c r="X84" s="63">
        <f t="shared" ref="X84:AB84" si="104">X58-X83</f>
        <v>0</v>
      </c>
      <c r="Y84" s="63">
        <f t="shared" si="104"/>
        <v>0</v>
      </c>
      <c r="Z84" s="63">
        <f t="shared" si="104"/>
        <v>0</v>
      </c>
      <c r="AA84" s="64">
        <f t="shared" si="104"/>
        <v>0</v>
      </c>
      <c r="AB84" s="9">
        <f t="shared" si="104"/>
        <v>0</v>
      </c>
      <c r="AC84" s="26">
        <f t="shared" si="52"/>
        <v>0</v>
      </c>
    </row>
    <row r="85" spans="1:30" x14ac:dyDescent="0.15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P85" s="19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30" x14ac:dyDescent="0.15">
      <c r="A86" s="19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P86" s="19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30" ht="21.75" thickBot="1" x14ac:dyDescent="0.25">
      <c r="A87" s="21" t="s">
        <v>15</v>
      </c>
      <c r="B87" s="22"/>
      <c r="C87" s="22"/>
      <c r="D87" s="22"/>
      <c r="E87" s="22"/>
      <c r="F87" s="22"/>
      <c r="G87" s="14"/>
      <c r="H87" s="22"/>
      <c r="I87" s="22"/>
      <c r="J87" s="22"/>
      <c r="K87" s="22"/>
      <c r="L87" s="22"/>
      <c r="M87" s="14"/>
      <c r="P87" s="21" t="s">
        <v>19</v>
      </c>
      <c r="Q87" s="22"/>
      <c r="R87" s="22"/>
      <c r="S87" s="22"/>
      <c r="T87" s="22"/>
      <c r="U87" s="22"/>
      <c r="V87" s="14"/>
      <c r="W87" s="22"/>
      <c r="X87" s="22"/>
      <c r="Y87" s="22"/>
      <c r="Z87" s="22"/>
      <c r="AA87" s="22"/>
      <c r="AB87" s="14"/>
    </row>
    <row r="88" spans="1:30" ht="14.25" thickBot="1" x14ac:dyDescent="0.2">
      <c r="A88" s="1" t="s">
        <v>0</v>
      </c>
      <c r="B88" s="103" t="s">
        <v>13</v>
      </c>
      <c r="C88" s="103"/>
      <c r="D88" s="103"/>
      <c r="E88" s="103"/>
      <c r="F88" s="103"/>
      <c r="G88" s="104"/>
      <c r="H88" s="106" t="s">
        <v>14</v>
      </c>
      <c r="I88" s="106"/>
      <c r="J88" s="106"/>
      <c r="K88" s="106"/>
      <c r="L88" s="106"/>
      <c r="M88" s="107"/>
      <c r="N88" s="25"/>
      <c r="P88" s="1" t="s">
        <v>0</v>
      </c>
      <c r="Q88" s="102" t="s">
        <v>13</v>
      </c>
      <c r="R88" s="103"/>
      <c r="S88" s="103"/>
      <c r="T88" s="103"/>
      <c r="U88" s="103"/>
      <c r="V88" s="104"/>
      <c r="W88" s="105" t="s">
        <v>14</v>
      </c>
      <c r="X88" s="106"/>
      <c r="Y88" s="106"/>
      <c r="Z88" s="106"/>
      <c r="AA88" s="106"/>
      <c r="AB88" s="107"/>
      <c r="AC88" s="25"/>
    </row>
    <row r="89" spans="1:30" ht="14.25" thickBot="1" x14ac:dyDescent="0.2">
      <c r="A89" s="1" t="s">
        <v>1</v>
      </c>
      <c r="B89" s="32" t="s">
        <v>8</v>
      </c>
      <c r="C89" s="33" t="s">
        <v>9</v>
      </c>
      <c r="D89" s="33" t="s">
        <v>10</v>
      </c>
      <c r="E89" s="84" t="s">
        <v>11</v>
      </c>
      <c r="F89" s="85" t="s">
        <v>12</v>
      </c>
      <c r="G89" s="1" t="s">
        <v>2</v>
      </c>
      <c r="H89" s="32" t="s">
        <v>8</v>
      </c>
      <c r="I89" s="33" t="s">
        <v>9</v>
      </c>
      <c r="J89" s="84" t="s">
        <v>10</v>
      </c>
      <c r="K89" s="84" t="s">
        <v>11</v>
      </c>
      <c r="L89" s="85" t="s">
        <v>12</v>
      </c>
      <c r="M89" s="1" t="s">
        <v>2</v>
      </c>
      <c r="N89" s="27" t="s">
        <v>16</v>
      </c>
      <c r="P89" s="1" t="s">
        <v>1</v>
      </c>
      <c r="Q89" s="32" t="s">
        <v>8</v>
      </c>
      <c r="R89" s="33" t="s">
        <v>9</v>
      </c>
      <c r="S89" s="33" t="s">
        <v>10</v>
      </c>
      <c r="T89" s="33" t="s">
        <v>11</v>
      </c>
      <c r="U89" s="34" t="s">
        <v>12</v>
      </c>
      <c r="V89" s="1" t="s">
        <v>2</v>
      </c>
      <c r="W89" s="32" t="s">
        <v>8</v>
      </c>
      <c r="X89" s="33" t="s">
        <v>9</v>
      </c>
      <c r="Y89" s="33" t="s">
        <v>10</v>
      </c>
      <c r="Z89" s="33" t="s">
        <v>11</v>
      </c>
      <c r="AA89" s="34" t="s">
        <v>12</v>
      </c>
      <c r="AB89" s="1" t="s">
        <v>2</v>
      </c>
      <c r="AC89" s="27" t="s">
        <v>16</v>
      </c>
    </row>
    <row r="90" spans="1:30" ht="14.25" thickBot="1" x14ac:dyDescent="0.2">
      <c r="A90" s="18" t="s">
        <v>7</v>
      </c>
      <c r="B90" s="35">
        <f>B84</f>
        <v>2</v>
      </c>
      <c r="C90" s="36">
        <f t="shared" ref="C90:F90" si="105">C84</f>
        <v>3</v>
      </c>
      <c r="D90" s="36">
        <f t="shared" si="105"/>
        <v>3</v>
      </c>
      <c r="E90" s="86">
        <f t="shared" si="105"/>
        <v>0</v>
      </c>
      <c r="F90" s="87">
        <f t="shared" si="105"/>
        <v>0</v>
      </c>
      <c r="G90" s="9">
        <f>SUM(B90:F90)</f>
        <v>8</v>
      </c>
      <c r="H90" s="35">
        <f>H84</f>
        <v>1</v>
      </c>
      <c r="I90" s="36">
        <f t="shared" ref="I90:L90" si="106">I84</f>
        <v>3</v>
      </c>
      <c r="J90" s="86">
        <f t="shared" si="106"/>
        <v>0</v>
      </c>
      <c r="K90" s="86">
        <f t="shared" si="106"/>
        <v>0</v>
      </c>
      <c r="L90" s="87">
        <f t="shared" si="106"/>
        <v>0</v>
      </c>
      <c r="M90" s="9">
        <f>SUM(H90:L90)</f>
        <v>4</v>
      </c>
      <c r="N90" s="26">
        <f t="shared" ref="N90:N127" si="107">G90+M90</f>
        <v>12</v>
      </c>
      <c r="P90" s="18" t="s">
        <v>7</v>
      </c>
      <c r="Q90" s="35">
        <f>Q84</f>
        <v>0</v>
      </c>
      <c r="R90" s="36">
        <f>R84</f>
        <v>0</v>
      </c>
      <c r="S90" s="36">
        <f>S84</f>
        <v>0</v>
      </c>
      <c r="T90" s="36">
        <f>T84</f>
        <v>0</v>
      </c>
      <c r="U90" s="37">
        <f>U84</f>
        <v>0</v>
      </c>
      <c r="V90" s="9">
        <f t="shared" ref="V90:V126" si="108">SUM(Q90:U90)</f>
        <v>0</v>
      </c>
      <c r="W90" s="35">
        <f>W84</f>
        <v>0</v>
      </c>
      <c r="X90" s="36">
        <f>X84</f>
        <v>0</v>
      </c>
      <c r="Y90" s="36">
        <f>Y84</f>
        <v>0</v>
      </c>
      <c r="Z90" s="36">
        <f>Z84</f>
        <v>0</v>
      </c>
      <c r="AA90" s="37">
        <f>AA84</f>
        <v>0</v>
      </c>
      <c r="AB90" s="9">
        <f t="shared" ref="AB90:AB126" si="109">SUM(W90:AA90)</f>
        <v>0</v>
      </c>
      <c r="AC90" s="26">
        <f t="shared" ref="AC90:AC127" si="110">V90+AB90</f>
        <v>0</v>
      </c>
    </row>
    <row r="91" spans="1:30" x14ac:dyDescent="0.15">
      <c r="A91" s="3" t="s">
        <v>4</v>
      </c>
      <c r="B91" s="44"/>
      <c r="C91" s="45"/>
      <c r="D91" s="45"/>
      <c r="E91" s="88"/>
      <c r="F91" s="89"/>
      <c r="G91" s="5">
        <f t="shared" ref="G91:G98" si="111">SUM(B91:F91)</f>
        <v>0</v>
      </c>
      <c r="H91" s="44"/>
      <c r="I91" s="45"/>
      <c r="J91" s="88"/>
      <c r="K91" s="88"/>
      <c r="L91" s="89"/>
      <c r="M91" s="5">
        <f t="shared" ref="M91:M98" si="112">SUM(H91:L91)</f>
        <v>0</v>
      </c>
      <c r="N91" s="28">
        <f t="shared" ref="N91:N98" si="113">G91+M91</f>
        <v>0</v>
      </c>
      <c r="P91" s="3" t="s">
        <v>4</v>
      </c>
      <c r="Q91" s="41"/>
      <c r="R91" s="42"/>
      <c r="S91" s="42"/>
      <c r="T91" s="42"/>
      <c r="U91" s="43"/>
      <c r="V91" s="5">
        <f t="shared" si="108"/>
        <v>0</v>
      </c>
      <c r="W91" s="41"/>
      <c r="X91" s="42"/>
      <c r="Y91" s="42"/>
      <c r="Z91" s="42"/>
      <c r="AA91" s="43"/>
      <c r="AB91" s="5">
        <f t="shared" si="109"/>
        <v>0</v>
      </c>
      <c r="AC91" s="28">
        <f t="shared" si="110"/>
        <v>0</v>
      </c>
    </row>
    <row r="92" spans="1:30" x14ac:dyDescent="0.15">
      <c r="A92" s="3" t="s">
        <v>50</v>
      </c>
      <c r="B92" s="44">
        <v>0</v>
      </c>
      <c r="C92" s="45">
        <v>0</v>
      </c>
      <c r="D92" s="45">
        <v>0</v>
      </c>
      <c r="E92" s="88"/>
      <c r="F92" s="89"/>
      <c r="G92" s="5">
        <f t="shared" si="111"/>
        <v>0</v>
      </c>
      <c r="H92" s="44">
        <v>0</v>
      </c>
      <c r="I92" s="45">
        <v>0</v>
      </c>
      <c r="J92" s="88"/>
      <c r="K92" s="88"/>
      <c r="L92" s="89"/>
      <c r="M92" s="5">
        <f t="shared" si="112"/>
        <v>0</v>
      </c>
      <c r="N92" s="28">
        <f t="shared" si="113"/>
        <v>0</v>
      </c>
      <c r="O92" s="30">
        <v>45878</v>
      </c>
      <c r="P92" s="3" t="s">
        <v>4</v>
      </c>
      <c r="Q92" s="41"/>
      <c r="R92" s="42"/>
      <c r="S92" s="42"/>
      <c r="T92" s="42"/>
      <c r="U92" s="43"/>
      <c r="V92" s="5">
        <f t="shared" si="108"/>
        <v>0</v>
      </c>
      <c r="W92" s="41"/>
      <c r="X92" s="42"/>
      <c r="Y92" s="42"/>
      <c r="Z92" s="42"/>
      <c r="AA92" s="43"/>
      <c r="AB92" s="5">
        <f t="shared" si="109"/>
        <v>0</v>
      </c>
      <c r="AC92" s="28">
        <f t="shared" si="110"/>
        <v>0</v>
      </c>
    </row>
    <row r="93" spans="1:30" x14ac:dyDescent="0.15">
      <c r="A93" s="3" t="s">
        <v>4</v>
      </c>
      <c r="B93" s="44"/>
      <c r="C93" s="45"/>
      <c r="D93" s="45"/>
      <c r="E93" s="88"/>
      <c r="F93" s="89"/>
      <c r="G93" s="5">
        <f t="shared" si="111"/>
        <v>0</v>
      </c>
      <c r="H93" s="44"/>
      <c r="I93" s="45"/>
      <c r="J93" s="88"/>
      <c r="K93" s="88"/>
      <c r="L93" s="89"/>
      <c r="M93" s="5">
        <f t="shared" si="112"/>
        <v>0</v>
      </c>
      <c r="N93" s="28">
        <f t="shared" si="113"/>
        <v>0</v>
      </c>
      <c r="P93" s="3" t="s">
        <v>4</v>
      </c>
      <c r="Q93" s="41"/>
      <c r="R93" s="42"/>
      <c r="S93" s="42"/>
      <c r="T93" s="42"/>
      <c r="U93" s="43"/>
      <c r="V93" s="5">
        <f t="shared" si="108"/>
        <v>0</v>
      </c>
      <c r="W93" s="41"/>
      <c r="X93" s="42"/>
      <c r="Y93" s="42"/>
      <c r="Z93" s="42"/>
      <c r="AA93" s="43"/>
      <c r="AB93" s="5">
        <f t="shared" si="109"/>
        <v>0</v>
      </c>
      <c r="AC93" s="28">
        <f t="shared" si="110"/>
        <v>0</v>
      </c>
    </row>
    <row r="94" spans="1:30" x14ac:dyDescent="0.15">
      <c r="A94" s="3" t="s">
        <v>4</v>
      </c>
      <c r="B94" s="44"/>
      <c r="C94" s="45"/>
      <c r="D94" s="45"/>
      <c r="E94" s="88"/>
      <c r="F94" s="89"/>
      <c r="G94" s="5">
        <f t="shared" si="111"/>
        <v>0</v>
      </c>
      <c r="H94" s="44"/>
      <c r="I94" s="45"/>
      <c r="J94" s="88"/>
      <c r="K94" s="88"/>
      <c r="L94" s="89"/>
      <c r="M94" s="5">
        <f t="shared" si="112"/>
        <v>0</v>
      </c>
      <c r="N94" s="28">
        <f t="shared" si="113"/>
        <v>0</v>
      </c>
      <c r="P94" s="3" t="s">
        <v>4</v>
      </c>
      <c r="Q94" s="41"/>
      <c r="R94" s="42"/>
      <c r="S94" s="42"/>
      <c r="T94" s="42"/>
      <c r="U94" s="43"/>
      <c r="V94" s="5">
        <f t="shared" si="108"/>
        <v>0</v>
      </c>
      <c r="W94" s="41"/>
      <c r="X94" s="42"/>
      <c r="Y94" s="42"/>
      <c r="Z94" s="42"/>
      <c r="AA94" s="43"/>
      <c r="AB94" s="5">
        <f t="shared" si="109"/>
        <v>0</v>
      </c>
      <c r="AC94" s="28">
        <f t="shared" si="110"/>
        <v>0</v>
      </c>
    </row>
    <row r="95" spans="1:30" x14ac:dyDescent="0.15">
      <c r="A95" s="3" t="s">
        <v>4</v>
      </c>
      <c r="B95" s="44"/>
      <c r="C95" s="45"/>
      <c r="D95" s="45"/>
      <c r="E95" s="88"/>
      <c r="F95" s="89"/>
      <c r="G95" s="5">
        <f t="shared" si="111"/>
        <v>0</v>
      </c>
      <c r="H95" s="44"/>
      <c r="I95" s="45"/>
      <c r="J95" s="88"/>
      <c r="K95" s="88"/>
      <c r="L95" s="89"/>
      <c r="M95" s="5">
        <f t="shared" si="112"/>
        <v>0</v>
      </c>
      <c r="N95" s="28">
        <f t="shared" si="113"/>
        <v>0</v>
      </c>
      <c r="P95" s="3" t="s">
        <v>4</v>
      </c>
      <c r="Q95" s="41"/>
      <c r="R95" s="42"/>
      <c r="S95" s="42"/>
      <c r="T95" s="42"/>
      <c r="U95" s="43"/>
      <c r="V95" s="5">
        <f t="shared" si="108"/>
        <v>0</v>
      </c>
      <c r="W95" s="41"/>
      <c r="X95" s="42"/>
      <c r="Y95" s="42"/>
      <c r="Z95" s="42"/>
      <c r="AA95" s="43"/>
      <c r="AB95" s="5">
        <f t="shared" si="109"/>
        <v>0</v>
      </c>
      <c r="AC95" s="28">
        <f t="shared" si="110"/>
        <v>0</v>
      </c>
    </row>
    <row r="96" spans="1:30" x14ac:dyDescent="0.15">
      <c r="A96" s="3" t="s">
        <v>4</v>
      </c>
      <c r="B96" s="44"/>
      <c r="C96" s="45"/>
      <c r="D96" s="45"/>
      <c r="E96" s="88"/>
      <c r="F96" s="89"/>
      <c r="G96" s="5">
        <f t="shared" si="111"/>
        <v>0</v>
      </c>
      <c r="H96" s="44"/>
      <c r="I96" s="45"/>
      <c r="J96" s="88"/>
      <c r="K96" s="88"/>
      <c r="L96" s="89"/>
      <c r="M96" s="5">
        <f t="shared" si="112"/>
        <v>0</v>
      </c>
      <c r="N96" s="28">
        <f t="shared" si="113"/>
        <v>0</v>
      </c>
      <c r="P96" s="3" t="s">
        <v>4</v>
      </c>
      <c r="Q96" s="44"/>
      <c r="R96" s="45"/>
      <c r="S96" s="45"/>
      <c r="T96" s="45"/>
      <c r="U96" s="46"/>
      <c r="V96" s="5">
        <f t="shared" si="108"/>
        <v>0</v>
      </c>
      <c r="W96" s="44"/>
      <c r="X96" s="45"/>
      <c r="Y96" s="45"/>
      <c r="Z96" s="77"/>
      <c r="AA96" s="46"/>
      <c r="AB96" s="5">
        <f t="shared" si="109"/>
        <v>0</v>
      </c>
      <c r="AC96" s="28">
        <f t="shared" si="110"/>
        <v>0</v>
      </c>
    </row>
    <row r="97" spans="1:29" x14ac:dyDescent="0.15">
      <c r="A97" s="3" t="s">
        <v>4</v>
      </c>
      <c r="B97" s="44"/>
      <c r="C97" s="45"/>
      <c r="D97" s="45"/>
      <c r="E97" s="88"/>
      <c r="F97" s="89"/>
      <c r="G97" s="5">
        <f t="shared" si="111"/>
        <v>0</v>
      </c>
      <c r="H97" s="44"/>
      <c r="I97" s="45"/>
      <c r="J97" s="88"/>
      <c r="K97" s="88"/>
      <c r="L97" s="89"/>
      <c r="M97" s="5">
        <f t="shared" si="112"/>
        <v>0</v>
      </c>
      <c r="N97" s="28">
        <f t="shared" si="113"/>
        <v>0</v>
      </c>
      <c r="P97" s="3" t="s">
        <v>4</v>
      </c>
      <c r="Q97" s="44"/>
      <c r="R97" s="45"/>
      <c r="S97" s="45"/>
      <c r="T97" s="45"/>
      <c r="U97" s="46"/>
      <c r="V97" s="5">
        <f t="shared" si="108"/>
        <v>0</v>
      </c>
      <c r="W97" s="44"/>
      <c r="X97" s="45"/>
      <c r="Y97" s="45"/>
      <c r="Z97" s="45"/>
      <c r="AA97" s="46"/>
      <c r="AB97" s="5">
        <f t="shared" si="109"/>
        <v>0</v>
      </c>
      <c r="AC97" s="28">
        <f t="shared" si="110"/>
        <v>0</v>
      </c>
    </row>
    <row r="98" spans="1:29" x14ac:dyDescent="0.15">
      <c r="A98" s="3" t="s">
        <v>4</v>
      </c>
      <c r="B98" s="44"/>
      <c r="C98" s="45"/>
      <c r="D98" s="45"/>
      <c r="E98" s="88"/>
      <c r="F98" s="89"/>
      <c r="G98" s="5">
        <f t="shared" si="111"/>
        <v>0</v>
      </c>
      <c r="H98" s="44"/>
      <c r="I98" s="45"/>
      <c r="J98" s="88"/>
      <c r="K98" s="88"/>
      <c r="L98" s="89"/>
      <c r="M98" s="5">
        <f t="shared" si="112"/>
        <v>0</v>
      </c>
      <c r="N98" s="28">
        <f t="shared" si="113"/>
        <v>0</v>
      </c>
      <c r="P98" s="3" t="s">
        <v>4</v>
      </c>
      <c r="Q98" s="44"/>
      <c r="R98" s="45"/>
      <c r="S98" s="45"/>
      <c r="T98" s="45"/>
      <c r="U98" s="46"/>
      <c r="V98" s="5">
        <f t="shared" si="108"/>
        <v>0</v>
      </c>
      <c r="W98" s="44"/>
      <c r="X98" s="45"/>
      <c r="Y98" s="45"/>
      <c r="Z98" s="45"/>
      <c r="AA98" s="46"/>
      <c r="AB98" s="5">
        <f t="shared" si="109"/>
        <v>0</v>
      </c>
      <c r="AC98" s="28">
        <f t="shared" si="110"/>
        <v>0</v>
      </c>
    </row>
    <row r="99" spans="1:29" x14ac:dyDescent="0.15">
      <c r="A99" s="3" t="s">
        <v>4</v>
      </c>
      <c r="B99" s="44"/>
      <c r="C99" s="45"/>
      <c r="D99" s="45"/>
      <c r="E99" s="88"/>
      <c r="F99" s="89"/>
      <c r="G99" s="5">
        <f t="shared" ref="G99:G122" si="114">SUM(B99:F99)</f>
        <v>0</v>
      </c>
      <c r="H99" s="44"/>
      <c r="I99" s="45"/>
      <c r="J99" s="88"/>
      <c r="K99" s="88"/>
      <c r="L99" s="89"/>
      <c r="M99" s="5">
        <f t="shared" ref="M99:M126" si="115">SUM(H99:L99)</f>
        <v>0</v>
      </c>
      <c r="N99" s="28">
        <f t="shared" si="107"/>
        <v>0</v>
      </c>
      <c r="P99" s="3" t="s">
        <v>4</v>
      </c>
      <c r="Q99" s="44"/>
      <c r="R99" s="45"/>
      <c r="S99" s="45"/>
      <c r="T99" s="45"/>
      <c r="U99" s="46"/>
      <c r="V99" s="78">
        <f t="shared" si="108"/>
        <v>0</v>
      </c>
      <c r="W99" s="44"/>
      <c r="X99" s="45"/>
      <c r="Y99" s="45"/>
      <c r="Z99" s="45"/>
      <c r="AA99" s="46"/>
      <c r="AB99" s="78">
        <f t="shared" si="109"/>
        <v>0</v>
      </c>
      <c r="AC99" s="79">
        <f t="shared" si="110"/>
        <v>0</v>
      </c>
    </row>
    <row r="100" spans="1:29" ht="14.25" thickBot="1" x14ac:dyDescent="0.2">
      <c r="A100" s="3" t="s">
        <v>4</v>
      </c>
      <c r="B100" s="44"/>
      <c r="C100" s="45"/>
      <c r="D100" s="45"/>
      <c r="E100" s="88"/>
      <c r="F100" s="89"/>
      <c r="G100" s="5">
        <f t="shared" ref="G100" si="116">SUM(B100:F100)</f>
        <v>0</v>
      </c>
      <c r="H100" s="44"/>
      <c r="I100" s="45"/>
      <c r="J100" s="88"/>
      <c r="K100" s="88"/>
      <c r="L100" s="89"/>
      <c r="M100" s="5">
        <f t="shared" ref="M100" si="117">SUM(H100:L100)</f>
        <v>0</v>
      </c>
      <c r="N100" s="28">
        <f t="shared" ref="N100" si="118">G100+M100</f>
        <v>0</v>
      </c>
      <c r="P100" s="80" t="s">
        <v>4</v>
      </c>
      <c r="Q100" s="81"/>
      <c r="R100" s="82"/>
      <c r="S100" s="82"/>
      <c r="T100" s="82"/>
      <c r="U100" s="83"/>
      <c r="V100" s="7">
        <f t="shared" si="108"/>
        <v>0</v>
      </c>
      <c r="W100" s="81"/>
      <c r="X100" s="82"/>
      <c r="Y100" s="82"/>
      <c r="Z100" s="82"/>
      <c r="AA100" s="83"/>
      <c r="AB100" s="7">
        <f t="shared" si="109"/>
        <v>0</v>
      </c>
      <c r="AC100" s="29">
        <f t="shared" si="110"/>
        <v>0</v>
      </c>
    </row>
    <row r="101" spans="1:29" ht="14.25" thickBot="1" x14ac:dyDescent="0.2">
      <c r="A101" s="8" t="s">
        <v>5</v>
      </c>
      <c r="B101" s="50">
        <f>SUM(B90:B100)</f>
        <v>2</v>
      </c>
      <c r="C101" s="51">
        <f t="shared" ref="C101:F101" si="119">SUM(C90:C100)</f>
        <v>3</v>
      </c>
      <c r="D101" s="51">
        <f t="shared" si="119"/>
        <v>3</v>
      </c>
      <c r="E101" s="90">
        <f t="shared" si="119"/>
        <v>0</v>
      </c>
      <c r="F101" s="91">
        <f t="shared" si="119"/>
        <v>0</v>
      </c>
      <c r="G101" s="9">
        <f t="shared" si="114"/>
        <v>8</v>
      </c>
      <c r="H101" s="50">
        <f>SUM(H90:H100)</f>
        <v>1</v>
      </c>
      <c r="I101" s="51">
        <f t="shared" ref="I101:L101" si="120">SUM(I90:I100)</f>
        <v>3</v>
      </c>
      <c r="J101" s="90">
        <f t="shared" si="120"/>
        <v>0</v>
      </c>
      <c r="K101" s="90">
        <f t="shared" si="120"/>
        <v>0</v>
      </c>
      <c r="L101" s="91">
        <f t="shared" si="120"/>
        <v>0</v>
      </c>
      <c r="M101" s="17">
        <f t="shared" si="115"/>
        <v>4</v>
      </c>
      <c r="N101" s="26">
        <f t="shared" si="107"/>
        <v>12</v>
      </c>
      <c r="P101" s="8" t="s">
        <v>5</v>
      </c>
      <c r="Q101" s="50">
        <f>SUM(Q90:Q100)</f>
        <v>0</v>
      </c>
      <c r="R101" s="51">
        <f t="shared" ref="R101:U101" si="121">SUM(R90:R100)</f>
        <v>0</v>
      </c>
      <c r="S101" s="51">
        <f t="shared" si="121"/>
        <v>0</v>
      </c>
      <c r="T101" s="51">
        <f t="shared" si="121"/>
        <v>0</v>
      </c>
      <c r="U101" s="52">
        <f t="shared" si="121"/>
        <v>0</v>
      </c>
      <c r="V101" s="9">
        <f t="shared" si="108"/>
        <v>0</v>
      </c>
      <c r="W101" s="50">
        <f>SUM(W90:W100)</f>
        <v>0</v>
      </c>
      <c r="X101" s="51">
        <f t="shared" ref="X101:AA101" si="122">SUM(X90:X100)</f>
        <v>0</v>
      </c>
      <c r="Y101" s="51">
        <f t="shared" si="122"/>
        <v>0</v>
      </c>
      <c r="Z101" s="51">
        <f t="shared" si="122"/>
        <v>0</v>
      </c>
      <c r="AA101" s="52">
        <f t="shared" si="122"/>
        <v>0</v>
      </c>
      <c r="AB101" s="17">
        <f t="shared" si="109"/>
        <v>0</v>
      </c>
      <c r="AC101" s="26">
        <f t="shared" si="110"/>
        <v>0</v>
      </c>
    </row>
    <row r="102" spans="1:29" x14ac:dyDescent="0.15">
      <c r="A102" s="10" t="s">
        <v>23</v>
      </c>
      <c r="B102" s="44"/>
      <c r="C102" s="45">
        <v>1</v>
      </c>
      <c r="D102" s="45"/>
      <c r="E102" s="88"/>
      <c r="F102" s="89"/>
      <c r="G102" s="5">
        <f t="shared" si="114"/>
        <v>1</v>
      </c>
      <c r="H102" s="65"/>
      <c r="I102" s="66"/>
      <c r="J102" s="92"/>
      <c r="K102" s="92"/>
      <c r="L102" s="93"/>
      <c r="M102" s="5">
        <f t="shared" ref="M102:M122" si="123">SUM(H102:L102)</f>
        <v>0</v>
      </c>
      <c r="N102" s="28">
        <f t="shared" ref="N102:N122" si="124">G102+M102</f>
        <v>1</v>
      </c>
      <c r="O102" s="31">
        <v>45797</v>
      </c>
      <c r="P102" s="4"/>
      <c r="Q102" s="59"/>
      <c r="R102" s="60"/>
      <c r="S102" s="60"/>
      <c r="T102" s="45"/>
      <c r="U102" s="46"/>
      <c r="V102" s="5">
        <f t="shared" si="108"/>
        <v>0</v>
      </c>
      <c r="W102" s="44"/>
      <c r="X102" s="45"/>
      <c r="Y102" s="45"/>
      <c r="Z102" s="45"/>
      <c r="AA102" s="46"/>
      <c r="AB102" s="5">
        <f t="shared" si="109"/>
        <v>0</v>
      </c>
      <c r="AC102" s="28">
        <f t="shared" si="110"/>
        <v>0</v>
      </c>
    </row>
    <row r="103" spans="1:29" x14ac:dyDescent="0.15">
      <c r="A103" s="4" t="s">
        <v>68</v>
      </c>
      <c r="B103" s="44"/>
      <c r="C103" s="45"/>
      <c r="D103" s="45"/>
      <c r="E103" s="88"/>
      <c r="F103" s="89"/>
      <c r="G103" s="5">
        <f t="shared" si="114"/>
        <v>0</v>
      </c>
      <c r="H103" s="65"/>
      <c r="I103" s="66">
        <v>1</v>
      </c>
      <c r="J103" s="92"/>
      <c r="K103" s="92"/>
      <c r="L103" s="93"/>
      <c r="M103" s="5">
        <f t="shared" si="123"/>
        <v>1</v>
      </c>
      <c r="N103" s="28">
        <f t="shared" si="124"/>
        <v>1</v>
      </c>
      <c r="O103" s="31">
        <v>45828</v>
      </c>
      <c r="P103" s="4"/>
      <c r="Q103" s="59"/>
      <c r="R103" s="60"/>
      <c r="S103" s="60"/>
      <c r="T103" s="45"/>
      <c r="U103" s="46"/>
      <c r="V103" s="5">
        <f t="shared" si="108"/>
        <v>0</v>
      </c>
      <c r="W103" s="44"/>
      <c r="X103" s="45"/>
      <c r="Y103" s="45"/>
      <c r="Z103" s="45"/>
      <c r="AA103" s="46"/>
      <c r="AB103" s="5">
        <f t="shared" si="109"/>
        <v>0</v>
      </c>
      <c r="AC103" s="28">
        <f t="shared" si="110"/>
        <v>0</v>
      </c>
    </row>
    <row r="104" spans="1:29" x14ac:dyDescent="0.15">
      <c r="A104" s="4" t="s">
        <v>78</v>
      </c>
      <c r="B104" s="44"/>
      <c r="C104" s="45"/>
      <c r="D104" s="45">
        <v>1</v>
      </c>
      <c r="E104" s="88"/>
      <c r="F104" s="89"/>
      <c r="G104" s="5">
        <f t="shared" si="114"/>
        <v>1</v>
      </c>
      <c r="H104" s="65"/>
      <c r="I104" s="66"/>
      <c r="J104" s="92"/>
      <c r="K104" s="92"/>
      <c r="L104" s="93"/>
      <c r="M104" s="5">
        <f t="shared" si="123"/>
        <v>0</v>
      </c>
      <c r="N104" s="28">
        <f t="shared" si="124"/>
        <v>1</v>
      </c>
      <c r="O104" s="31">
        <v>45838</v>
      </c>
      <c r="P104" s="4"/>
      <c r="Q104" s="59"/>
      <c r="R104" s="60"/>
      <c r="S104" s="60"/>
      <c r="T104" s="45"/>
      <c r="U104" s="46"/>
      <c r="V104" s="5">
        <f t="shared" si="108"/>
        <v>0</v>
      </c>
      <c r="W104" s="44"/>
      <c r="X104" s="45"/>
      <c r="Y104" s="45"/>
      <c r="Z104" s="45"/>
      <c r="AA104" s="46"/>
      <c r="AB104" s="5">
        <f t="shared" si="109"/>
        <v>0</v>
      </c>
      <c r="AC104" s="28">
        <f t="shared" si="110"/>
        <v>0</v>
      </c>
    </row>
    <row r="105" spans="1:29" x14ac:dyDescent="0.15">
      <c r="A105" s="4" t="s">
        <v>79</v>
      </c>
      <c r="B105" s="44"/>
      <c r="C105" s="45"/>
      <c r="D105" s="45">
        <v>1</v>
      </c>
      <c r="E105" s="88"/>
      <c r="F105" s="89"/>
      <c r="G105" s="5">
        <f t="shared" si="114"/>
        <v>1</v>
      </c>
      <c r="H105" s="65"/>
      <c r="I105" s="66"/>
      <c r="J105" s="92"/>
      <c r="K105" s="92"/>
      <c r="L105" s="93"/>
      <c r="M105" s="5">
        <f t="shared" si="123"/>
        <v>0</v>
      </c>
      <c r="N105" s="28">
        <f t="shared" si="124"/>
        <v>1</v>
      </c>
      <c r="O105" s="31">
        <v>45842</v>
      </c>
      <c r="P105" s="4"/>
      <c r="Q105" s="59"/>
      <c r="R105" s="60"/>
      <c r="S105" s="60"/>
      <c r="T105" s="45"/>
      <c r="U105" s="46"/>
      <c r="V105" s="5">
        <f t="shared" si="108"/>
        <v>0</v>
      </c>
      <c r="W105" s="44"/>
      <c r="X105" s="45"/>
      <c r="Y105" s="45"/>
      <c r="Z105" s="45"/>
      <c r="AA105" s="46"/>
      <c r="AB105" s="5">
        <f t="shared" si="109"/>
        <v>0</v>
      </c>
      <c r="AC105" s="28">
        <f t="shared" si="110"/>
        <v>0</v>
      </c>
    </row>
    <row r="106" spans="1:29" x14ac:dyDescent="0.15">
      <c r="A106" s="10" t="s">
        <v>23</v>
      </c>
      <c r="B106" s="44">
        <v>1</v>
      </c>
      <c r="C106" s="45"/>
      <c r="D106" s="45"/>
      <c r="E106" s="88"/>
      <c r="F106" s="89"/>
      <c r="G106" s="5">
        <f t="shared" si="114"/>
        <v>1</v>
      </c>
      <c r="H106" s="65"/>
      <c r="I106" s="66"/>
      <c r="J106" s="92"/>
      <c r="K106" s="92"/>
      <c r="L106" s="93"/>
      <c r="M106" s="5">
        <f t="shared" si="123"/>
        <v>0</v>
      </c>
      <c r="N106" s="28">
        <f t="shared" si="124"/>
        <v>1</v>
      </c>
      <c r="O106" s="31">
        <v>45860</v>
      </c>
      <c r="P106" s="4"/>
      <c r="Q106" s="59"/>
      <c r="R106" s="60"/>
      <c r="S106" s="60"/>
      <c r="T106" s="45"/>
      <c r="U106" s="46"/>
      <c r="V106" s="5">
        <f t="shared" si="108"/>
        <v>0</v>
      </c>
      <c r="W106" s="44"/>
      <c r="X106" s="45"/>
      <c r="Y106" s="45"/>
      <c r="Z106" s="45"/>
      <c r="AA106" s="46"/>
      <c r="AB106" s="5">
        <f t="shared" si="109"/>
        <v>0</v>
      </c>
      <c r="AC106" s="28">
        <f t="shared" si="110"/>
        <v>0</v>
      </c>
    </row>
    <row r="107" spans="1:29" x14ac:dyDescent="0.15">
      <c r="A107" s="10" t="s">
        <v>23</v>
      </c>
      <c r="B107" s="44"/>
      <c r="C107" s="45">
        <v>1</v>
      </c>
      <c r="D107" s="45"/>
      <c r="E107" s="88"/>
      <c r="F107" s="89"/>
      <c r="G107" s="5">
        <f t="shared" si="114"/>
        <v>1</v>
      </c>
      <c r="H107" s="65"/>
      <c r="I107" s="66"/>
      <c r="J107" s="92"/>
      <c r="K107" s="92"/>
      <c r="L107" s="93"/>
      <c r="M107" s="5">
        <f t="shared" si="123"/>
        <v>0</v>
      </c>
      <c r="N107" s="28">
        <f t="shared" si="124"/>
        <v>1</v>
      </c>
      <c r="O107" s="31">
        <v>45898</v>
      </c>
      <c r="P107" s="4"/>
      <c r="Q107" s="59"/>
      <c r="R107" s="60"/>
      <c r="S107" s="60"/>
      <c r="T107" s="45"/>
      <c r="U107" s="46"/>
      <c r="V107" s="5">
        <f t="shared" si="108"/>
        <v>0</v>
      </c>
      <c r="W107" s="44"/>
      <c r="X107" s="45"/>
      <c r="Y107" s="45"/>
      <c r="Z107" s="45"/>
      <c r="AA107" s="46"/>
      <c r="AB107" s="5">
        <f t="shared" si="109"/>
        <v>0</v>
      </c>
      <c r="AC107" s="28">
        <f t="shared" si="110"/>
        <v>0</v>
      </c>
    </row>
    <row r="108" spans="1:29" x14ac:dyDescent="0.15">
      <c r="A108" s="4"/>
      <c r="B108" s="44"/>
      <c r="C108" s="45"/>
      <c r="D108" s="45"/>
      <c r="E108" s="88"/>
      <c r="F108" s="89"/>
      <c r="G108" s="5">
        <f t="shared" si="114"/>
        <v>0</v>
      </c>
      <c r="H108" s="65"/>
      <c r="I108" s="66"/>
      <c r="J108" s="92"/>
      <c r="K108" s="92"/>
      <c r="L108" s="93"/>
      <c r="M108" s="5">
        <f t="shared" si="123"/>
        <v>0</v>
      </c>
      <c r="N108" s="28">
        <f t="shared" si="124"/>
        <v>0</v>
      </c>
      <c r="O108" s="69"/>
      <c r="P108" s="4"/>
      <c r="Q108" s="59"/>
      <c r="R108" s="60"/>
      <c r="S108" s="60"/>
      <c r="T108" s="45"/>
      <c r="U108" s="46"/>
      <c r="V108" s="5">
        <f t="shared" si="108"/>
        <v>0</v>
      </c>
      <c r="W108" s="44"/>
      <c r="X108" s="45"/>
      <c r="Y108" s="45"/>
      <c r="Z108" s="45"/>
      <c r="AA108" s="46"/>
      <c r="AB108" s="5">
        <f t="shared" si="109"/>
        <v>0</v>
      </c>
      <c r="AC108" s="28">
        <f t="shared" si="110"/>
        <v>0</v>
      </c>
    </row>
    <row r="109" spans="1:29" x14ac:dyDescent="0.15">
      <c r="A109" s="4"/>
      <c r="B109" s="44"/>
      <c r="C109" s="45"/>
      <c r="D109" s="45"/>
      <c r="E109" s="88"/>
      <c r="F109" s="89"/>
      <c r="G109" s="5">
        <f t="shared" si="114"/>
        <v>0</v>
      </c>
      <c r="H109" s="65"/>
      <c r="I109" s="66"/>
      <c r="J109" s="92"/>
      <c r="K109" s="92"/>
      <c r="L109" s="93"/>
      <c r="M109" s="5">
        <f t="shared" si="123"/>
        <v>0</v>
      </c>
      <c r="N109" s="28">
        <f t="shared" si="124"/>
        <v>0</v>
      </c>
      <c r="O109" s="69"/>
      <c r="P109" s="4"/>
      <c r="Q109" s="59"/>
      <c r="R109" s="60"/>
      <c r="S109" s="60"/>
      <c r="T109" s="45"/>
      <c r="U109" s="46"/>
      <c r="V109" s="5">
        <f t="shared" si="108"/>
        <v>0</v>
      </c>
      <c r="W109" s="44"/>
      <c r="X109" s="45"/>
      <c r="Y109" s="45"/>
      <c r="Z109" s="45"/>
      <c r="AA109" s="46"/>
      <c r="AB109" s="5">
        <f t="shared" si="109"/>
        <v>0</v>
      </c>
      <c r="AC109" s="28">
        <f t="shared" si="110"/>
        <v>0</v>
      </c>
    </row>
    <row r="110" spans="1:29" x14ac:dyDescent="0.15">
      <c r="A110" s="4"/>
      <c r="B110" s="44"/>
      <c r="C110" s="45"/>
      <c r="D110" s="45"/>
      <c r="E110" s="88"/>
      <c r="F110" s="89"/>
      <c r="G110" s="5">
        <f t="shared" si="114"/>
        <v>0</v>
      </c>
      <c r="H110" s="65"/>
      <c r="I110" s="66"/>
      <c r="J110" s="92"/>
      <c r="K110" s="92"/>
      <c r="L110" s="93"/>
      <c r="M110" s="5">
        <f t="shared" si="123"/>
        <v>0</v>
      </c>
      <c r="N110" s="28">
        <f t="shared" si="124"/>
        <v>0</v>
      </c>
      <c r="O110" s="69"/>
      <c r="P110" s="4"/>
      <c r="Q110" s="59"/>
      <c r="R110" s="60"/>
      <c r="S110" s="60"/>
      <c r="T110" s="45"/>
      <c r="U110" s="46"/>
      <c r="V110" s="5">
        <f t="shared" si="108"/>
        <v>0</v>
      </c>
      <c r="W110" s="44"/>
      <c r="X110" s="45"/>
      <c r="Y110" s="45"/>
      <c r="Z110" s="45"/>
      <c r="AA110" s="46"/>
      <c r="AB110" s="5">
        <f t="shared" si="109"/>
        <v>0</v>
      </c>
      <c r="AC110" s="28">
        <f t="shared" si="110"/>
        <v>0</v>
      </c>
    </row>
    <row r="111" spans="1:29" x14ac:dyDescent="0.15">
      <c r="A111" s="4"/>
      <c r="B111" s="44"/>
      <c r="C111" s="45"/>
      <c r="D111" s="45"/>
      <c r="E111" s="88"/>
      <c r="F111" s="89"/>
      <c r="G111" s="5">
        <f t="shared" si="114"/>
        <v>0</v>
      </c>
      <c r="H111" s="65"/>
      <c r="I111" s="66"/>
      <c r="J111" s="92"/>
      <c r="K111" s="92"/>
      <c r="L111" s="93"/>
      <c r="M111" s="5">
        <f t="shared" si="123"/>
        <v>0</v>
      </c>
      <c r="N111" s="28">
        <f t="shared" si="124"/>
        <v>0</v>
      </c>
      <c r="O111" s="69"/>
      <c r="P111" s="4"/>
      <c r="Q111" s="59"/>
      <c r="R111" s="60"/>
      <c r="S111" s="60"/>
      <c r="T111" s="45"/>
      <c r="U111" s="46"/>
      <c r="V111" s="5">
        <f t="shared" si="108"/>
        <v>0</v>
      </c>
      <c r="W111" s="44"/>
      <c r="X111" s="45"/>
      <c r="Y111" s="45"/>
      <c r="Z111" s="45"/>
      <c r="AA111" s="46"/>
      <c r="AB111" s="5">
        <f t="shared" si="109"/>
        <v>0</v>
      </c>
      <c r="AC111" s="28">
        <f t="shared" si="110"/>
        <v>0</v>
      </c>
    </row>
    <row r="112" spans="1:29" x14ac:dyDescent="0.15">
      <c r="A112" s="4"/>
      <c r="B112" s="44"/>
      <c r="C112" s="45"/>
      <c r="D112" s="45"/>
      <c r="E112" s="88"/>
      <c r="F112" s="89"/>
      <c r="G112" s="5">
        <f t="shared" si="114"/>
        <v>0</v>
      </c>
      <c r="H112" s="65"/>
      <c r="I112" s="66"/>
      <c r="J112" s="92"/>
      <c r="K112" s="92"/>
      <c r="L112" s="93"/>
      <c r="M112" s="5">
        <f t="shared" si="123"/>
        <v>0</v>
      </c>
      <c r="N112" s="28">
        <f t="shared" si="124"/>
        <v>0</v>
      </c>
      <c r="O112" s="69"/>
      <c r="P112" s="4"/>
      <c r="Q112" s="59"/>
      <c r="R112" s="60"/>
      <c r="S112" s="60"/>
      <c r="T112" s="45"/>
      <c r="U112" s="46"/>
      <c r="V112" s="5">
        <f t="shared" si="108"/>
        <v>0</v>
      </c>
      <c r="W112" s="44"/>
      <c r="X112" s="45"/>
      <c r="Y112" s="45"/>
      <c r="Z112" s="45"/>
      <c r="AA112" s="46"/>
      <c r="AB112" s="5">
        <f t="shared" si="109"/>
        <v>0</v>
      </c>
      <c r="AC112" s="28">
        <f t="shared" si="110"/>
        <v>0</v>
      </c>
    </row>
    <row r="113" spans="1:29" x14ac:dyDescent="0.15">
      <c r="A113" s="4"/>
      <c r="B113" s="44"/>
      <c r="C113" s="45"/>
      <c r="D113" s="45"/>
      <c r="E113" s="88"/>
      <c r="F113" s="89"/>
      <c r="G113" s="5">
        <f t="shared" si="114"/>
        <v>0</v>
      </c>
      <c r="H113" s="65"/>
      <c r="I113" s="66"/>
      <c r="J113" s="92"/>
      <c r="K113" s="92"/>
      <c r="L113" s="93"/>
      <c r="M113" s="5">
        <f t="shared" si="123"/>
        <v>0</v>
      </c>
      <c r="N113" s="28">
        <f t="shared" si="124"/>
        <v>0</v>
      </c>
      <c r="O113" s="69"/>
      <c r="P113" s="4"/>
      <c r="Q113" s="59"/>
      <c r="R113" s="60"/>
      <c r="S113" s="60"/>
      <c r="T113" s="45"/>
      <c r="U113" s="46"/>
      <c r="V113" s="5">
        <f t="shared" si="108"/>
        <v>0</v>
      </c>
      <c r="W113" s="44"/>
      <c r="X113" s="45"/>
      <c r="Y113" s="45"/>
      <c r="Z113" s="45"/>
      <c r="AA113" s="46"/>
      <c r="AB113" s="5">
        <f t="shared" si="109"/>
        <v>0</v>
      </c>
      <c r="AC113" s="28">
        <f t="shared" si="110"/>
        <v>0</v>
      </c>
    </row>
    <row r="114" spans="1:29" x14ac:dyDescent="0.15">
      <c r="A114" s="4"/>
      <c r="B114" s="44"/>
      <c r="C114" s="45"/>
      <c r="D114" s="45"/>
      <c r="E114" s="88"/>
      <c r="F114" s="89"/>
      <c r="G114" s="5">
        <f t="shared" si="114"/>
        <v>0</v>
      </c>
      <c r="H114" s="65"/>
      <c r="I114" s="66"/>
      <c r="J114" s="92"/>
      <c r="K114" s="92"/>
      <c r="L114" s="93"/>
      <c r="M114" s="5">
        <f t="shared" si="123"/>
        <v>0</v>
      </c>
      <c r="N114" s="28">
        <f t="shared" si="124"/>
        <v>0</v>
      </c>
      <c r="O114" s="69"/>
      <c r="P114" s="4"/>
      <c r="Q114" s="59"/>
      <c r="R114" s="60"/>
      <c r="S114" s="60"/>
      <c r="T114" s="45"/>
      <c r="U114" s="46"/>
      <c r="V114" s="5">
        <f t="shared" si="108"/>
        <v>0</v>
      </c>
      <c r="W114" s="44"/>
      <c r="X114" s="45"/>
      <c r="Y114" s="45"/>
      <c r="Z114" s="45"/>
      <c r="AA114" s="46"/>
      <c r="AB114" s="5">
        <f t="shared" si="109"/>
        <v>0</v>
      </c>
      <c r="AC114" s="28">
        <f t="shared" si="110"/>
        <v>0</v>
      </c>
    </row>
    <row r="115" spans="1:29" x14ac:dyDescent="0.15">
      <c r="A115" s="4"/>
      <c r="B115" s="44"/>
      <c r="C115" s="45"/>
      <c r="D115" s="45"/>
      <c r="E115" s="88"/>
      <c r="F115" s="89"/>
      <c r="G115" s="5">
        <f t="shared" si="114"/>
        <v>0</v>
      </c>
      <c r="H115" s="65"/>
      <c r="I115" s="66"/>
      <c r="J115" s="92"/>
      <c r="K115" s="92"/>
      <c r="L115" s="93"/>
      <c r="M115" s="5">
        <f t="shared" si="123"/>
        <v>0</v>
      </c>
      <c r="N115" s="28">
        <f t="shared" si="124"/>
        <v>0</v>
      </c>
      <c r="O115" s="69"/>
      <c r="P115" s="4"/>
      <c r="Q115" s="59"/>
      <c r="R115" s="60"/>
      <c r="S115" s="60"/>
      <c r="T115" s="45"/>
      <c r="U115" s="46"/>
      <c r="V115" s="5">
        <f t="shared" si="108"/>
        <v>0</v>
      </c>
      <c r="W115" s="44"/>
      <c r="X115" s="45"/>
      <c r="Y115" s="45"/>
      <c r="Z115" s="45"/>
      <c r="AA115" s="46"/>
      <c r="AB115" s="5">
        <f t="shared" si="109"/>
        <v>0</v>
      </c>
      <c r="AC115" s="28">
        <f t="shared" si="110"/>
        <v>0</v>
      </c>
    </row>
    <row r="116" spans="1:29" x14ac:dyDescent="0.15">
      <c r="A116" s="4"/>
      <c r="B116" s="44"/>
      <c r="C116" s="45"/>
      <c r="D116" s="45"/>
      <c r="E116" s="88"/>
      <c r="F116" s="89"/>
      <c r="G116" s="5">
        <f t="shared" si="114"/>
        <v>0</v>
      </c>
      <c r="H116" s="65"/>
      <c r="I116" s="66"/>
      <c r="J116" s="92"/>
      <c r="K116" s="92"/>
      <c r="L116" s="93"/>
      <c r="M116" s="5">
        <f t="shared" si="123"/>
        <v>0</v>
      </c>
      <c r="N116" s="28">
        <f t="shared" si="124"/>
        <v>0</v>
      </c>
      <c r="O116" s="69"/>
      <c r="P116" s="4"/>
      <c r="Q116" s="59"/>
      <c r="R116" s="60"/>
      <c r="S116" s="60"/>
      <c r="T116" s="45"/>
      <c r="U116" s="46"/>
      <c r="V116" s="5">
        <f t="shared" si="108"/>
        <v>0</v>
      </c>
      <c r="W116" s="44"/>
      <c r="X116" s="45"/>
      <c r="Y116" s="45"/>
      <c r="Z116" s="45"/>
      <c r="AA116" s="46"/>
      <c r="AB116" s="5">
        <f t="shared" si="109"/>
        <v>0</v>
      </c>
      <c r="AC116" s="28">
        <f t="shared" si="110"/>
        <v>0</v>
      </c>
    </row>
    <row r="117" spans="1:29" x14ac:dyDescent="0.15">
      <c r="A117" s="4"/>
      <c r="B117" s="44"/>
      <c r="C117" s="45"/>
      <c r="D117" s="45"/>
      <c r="E117" s="88"/>
      <c r="F117" s="89"/>
      <c r="G117" s="5">
        <f t="shared" si="114"/>
        <v>0</v>
      </c>
      <c r="H117" s="65"/>
      <c r="I117" s="66"/>
      <c r="J117" s="92"/>
      <c r="K117" s="92"/>
      <c r="L117" s="93"/>
      <c r="M117" s="5">
        <f t="shared" si="123"/>
        <v>0</v>
      </c>
      <c r="N117" s="28">
        <f t="shared" si="124"/>
        <v>0</v>
      </c>
      <c r="O117" s="69"/>
      <c r="P117" s="4"/>
      <c r="Q117" s="59"/>
      <c r="R117" s="60"/>
      <c r="S117" s="60"/>
      <c r="T117" s="45"/>
      <c r="U117" s="46"/>
      <c r="V117" s="5">
        <f t="shared" si="108"/>
        <v>0</v>
      </c>
      <c r="W117" s="44"/>
      <c r="X117" s="45"/>
      <c r="Y117" s="45"/>
      <c r="Z117" s="45"/>
      <c r="AA117" s="46"/>
      <c r="AB117" s="5">
        <f t="shared" si="109"/>
        <v>0</v>
      </c>
      <c r="AC117" s="28">
        <f t="shared" si="110"/>
        <v>0</v>
      </c>
    </row>
    <row r="118" spans="1:29" x14ac:dyDescent="0.15">
      <c r="A118" s="4"/>
      <c r="B118" s="44"/>
      <c r="C118" s="45"/>
      <c r="D118" s="45"/>
      <c r="E118" s="88"/>
      <c r="F118" s="89"/>
      <c r="G118" s="5">
        <f t="shared" si="114"/>
        <v>0</v>
      </c>
      <c r="H118" s="65"/>
      <c r="I118" s="66"/>
      <c r="J118" s="92"/>
      <c r="K118" s="92"/>
      <c r="L118" s="93"/>
      <c r="M118" s="5">
        <f t="shared" si="123"/>
        <v>0</v>
      </c>
      <c r="N118" s="28">
        <f t="shared" si="124"/>
        <v>0</v>
      </c>
      <c r="O118" s="69"/>
      <c r="P118" s="4"/>
      <c r="Q118" s="59"/>
      <c r="R118" s="60"/>
      <c r="S118" s="60"/>
      <c r="T118" s="45"/>
      <c r="U118" s="46"/>
      <c r="V118" s="5">
        <f t="shared" si="108"/>
        <v>0</v>
      </c>
      <c r="W118" s="44"/>
      <c r="X118" s="45"/>
      <c r="Y118" s="45"/>
      <c r="Z118" s="45"/>
      <c r="AA118" s="46"/>
      <c r="AB118" s="5">
        <f t="shared" si="109"/>
        <v>0</v>
      </c>
      <c r="AC118" s="28">
        <f t="shared" si="110"/>
        <v>0</v>
      </c>
    </row>
    <row r="119" spans="1:29" x14ac:dyDescent="0.15">
      <c r="A119" s="4"/>
      <c r="B119" s="44"/>
      <c r="C119" s="45"/>
      <c r="D119" s="45"/>
      <c r="E119" s="88"/>
      <c r="F119" s="89"/>
      <c r="G119" s="5">
        <f t="shared" si="114"/>
        <v>0</v>
      </c>
      <c r="H119" s="65"/>
      <c r="I119" s="66"/>
      <c r="J119" s="92"/>
      <c r="K119" s="92"/>
      <c r="L119" s="93"/>
      <c r="M119" s="5">
        <f t="shared" si="123"/>
        <v>0</v>
      </c>
      <c r="N119" s="28">
        <f t="shared" si="124"/>
        <v>0</v>
      </c>
      <c r="O119" s="69"/>
      <c r="P119" s="4"/>
      <c r="Q119" s="59"/>
      <c r="R119" s="60"/>
      <c r="S119" s="60"/>
      <c r="T119" s="45"/>
      <c r="U119" s="46"/>
      <c r="V119" s="5">
        <f t="shared" si="108"/>
        <v>0</v>
      </c>
      <c r="W119" s="44"/>
      <c r="X119" s="45"/>
      <c r="Y119" s="45"/>
      <c r="Z119" s="45"/>
      <c r="AA119" s="46"/>
      <c r="AB119" s="5">
        <f t="shared" si="109"/>
        <v>0</v>
      </c>
      <c r="AC119" s="28">
        <f t="shared" si="110"/>
        <v>0</v>
      </c>
    </row>
    <row r="120" spans="1:29" x14ac:dyDescent="0.15">
      <c r="A120" s="4"/>
      <c r="B120" s="44"/>
      <c r="C120" s="45"/>
      <c r="D120" s="45"/>
      <c r="E120" s="88"/>
      <c r="F120" s="89"/>
      <c r="G120" s="5">
        <f t="shared" si="114"/>
        <v>0</v>
      </c>
      <c r="H120" s="65"/>
      <c r="I120" s="66"/>
      <c r="J120" s="92"/>
      <c r="K120" s="92"/>
      <c r="L120" s="93"/>
      <c r="M120" s="5">
        <f t="shared" si="123"/>
        <v>0</v>
      </c>
      <c r="N120" s="28">
        <f t="shared" si="124"/>
        <v>0</v>
      </c>
      <c r="O120" s="69"/>
      <c r="P120" s="4"/>
      <c r="Q120" s="59"/>
      <c r="R120" s="60"/>
      <c r="S120" s="60"/>
      <c r="T120" s="45"/>
      <c r="U120" s="46"/>
      <c r="V120" s="5">
        <f t="shared" si="108"/>
        <v>0</v>
      </c>
      <c r="W120" s="44"/>
      <c r="X120" s="45"/>
      <c r="Y120" s="45"/>
      <c r="Z120" s="45"/>
      <c r="AA120" s="46"/>
      <c r="AB120" s="5">
        <f t="shared" si="109"/>
        <v>0</v>
      </c>
      <c r="AC120" s="28">
        <f t="shared" si="110"/>
        <v>0</v>
      </c>
    </row>
    <row r="121" spans="1:29" x14ac:dyDescent="0.15">
      <c r="A121" s="4"/>
      <c r="B121" s="44"/>
      <c r="C121" s="45"/>
      <c r="D121" s="45"/>
      <c r="E121" s="88"/>
      <c r="F121" s="89"/>
      <c r="G121" s="5">
        <f t="shared" si="114"/>
        <v>0</v>
      </c>
      <c r="H121" s="65"/>
      <c r="I121" s="66"/>
      <c r="J121" s="92"/>
      <c r="K121" s="92"/>
      <c r="L121" s="93"/>
      <c r="M121" s="5">
        <f t="shared" si="123"/>
        <v>0</v>
      </c>
      <c r="N121" s="28">
        <f t="shared" si="124"/>
        <v>0</v>
      </c>
      <c r="O121" s="69"/>
      <c r="P121" s="4"/>
      <c r="Q121" s="59"/>
      <c r="R121" s="60"/>
      <c r="S121" s="60"/>
      <c r="T121" s="45"/>
      <c r="U121" s="46"/>
      <c r="V121" s="5">
        <f t="shared" ref="V121:V125" si="125">SUM(Q121:U121)</f>
        <v>0</v>
      </c>
      <c r="W121" s="44"/>
      <c r="X121" s="45"/>
      <c r="Y121" s="45"/>
      <c r="Z121" s="45"/>
      <c r="AA121" s="46"/>
      <c r="AB121" s="5">
        <f t="shared" ref="AB121:AB125" si="126">SUM(W121:AA121)</f>
        <v>0</v>
      </c>
      <c r="AC121" s="28">
        <f t="shared" ref="AC121:AC125" si="127">V121+AB121</f>
        <v>0</v>
      </c>
    </row>
    <row r="122" spans="1:29" x14ac:dyDescent="0.15">
      <c r="A122" s="4"/>
      <c r="B122" s="44"/>
      <c r="C122" s="45"/>
      <c r="D122" s="45"/>
      <c r="E122" s="88"/>
      <c r="F122" s="89"/>
      <c r="G122" s="5">
        <f t="shared" si="114"/>
        <v>0</v>
      </c>
      <c r="H122" s="65"/>
      <c r="I122" s="66"/>
      <c r="J122" s="92"/>
      <c r="K122" s="92"/>
      <c r="L122" s="93"/>
      <c r="M122" s="5">
        <f t="shared" si="123"/>
        <v>0</v>
      </c>
      <c r="N122" s="28">
        <f t="shared" si="124"/>
        <v>0</v>
      </c>
      <c r="O122" s="69"/>
      <c r="P122" s="4"/>
      <c r="Q122" s="59"/>
      <c r="R122" s="60"/>
      <c r="S122" s="60"/>
      <c r="T122" s="45"/>
      <c r="U122" s="46"/>
      <c r="V122" s="5">
        <f t="shared" si="125"/>
        <v>0</v>
      </c>
      <c r="W122" s="44"/>
      <c r="X122" s="45"/>
      <c r="Y122" s="45"/>
      <c r="Z122" s="45"/>
      <c r="AA122" s="46"/>
      <c r="AB122" s="5">
        <f t="shared" si="126"/>
        <v>0</v>
      </c>
      <c r="AC122" s="28">
        <f t="shared" si="127"/>
        <v>0</v>
      </c>
    </row>
    <row r="123" spans="1:29" x14ac:dyDescent="0.15">
      <c r="A123" s="4"/>
      <c r="B123" s="44"/>
      <c r="C123" s="45"/>
      <c r="D123" s="45"/>
      <c r="E123" s="88"/>
      <c r="F123" s="89"/>
      <c r="G123" s="5">
        <f t="shared" ref="G123:G126" si="128">SUM(B123:F123)</f>
        <v>0</v>
      </c>
      <c r="H123" s="65"/>
      <c r="I123" s="66"/>
      <c r="J123" s="92"/>
      <c r="K123" s="92"/>
      <c r="L123" s="93"/>
      <c r="M123" s="5">
        <f t="shared" si="115"/>
        <v>0</v>
      </c>
      <c r="N123" s="28">
        <f t="shared" si="107"/>
        <v>0</v>
      </c>
      <c r="O123" s="69"/>
      <c r="P123" s="4"/>
      <c r="Q123" s="59"/>
      <c r="R123" s="60"/>
      <c r="S123" s="60"/>
      <c r="T123" s="45"/>
      <c r="U123" s="46"/>
      <c r="V123" s="5">
        <f t="shared" si="125"/>
        <v>0</v>
      </c>
      <c r="W123" s="44"/>
      <c r="X123" s="45"/>
      <c r="Y123" s="45"/>
      <c r="Z123" s="45"/>
      <c r="AA123" s="46"/>
      <c r="AB123" s="5">
        <f t="shared" si="126"/>
        <v>0</v>
      </c>
      <c r="AC123" s="28">
        <f t="shared" si="127"/>
        <v>0</v>
      </c>
    </row>
    <row r="124" spans="1:29" x14ac:dyDescent="0.15">
      <c r="A124" s="4"/>
      <c r="B124" s="44"/>
      <c r="C124" s="45"/>
      <c r="D124" s="45"/>
      <c r="E124" s="88"/>
      <c r="F124" s="89"/>
      <c r="G124" s="5">
        <f t="shared" si="128"/>
        <v>0</v>
      </c>
      <c r="H124" s="44"/>
      <c r="I124" s="45"/>
      <c r="J124" s="88"/>
      <c r="K124" s="88"/>
      <c r="L124" s="89"/>
      <c r="M124" s="5">
        <f t="shared" si="115"/>
        <v>0</v>
      </c>
      <c r="N124" s="28">
        <f t="shared" si="107"/>
        <v>0</v>
      </c>
      <c r="O124" s="69"/>
      <c r="P124" s="4"/>
      <c r="Q124" s="59"/>
      <c r="R124" s="60"/>
      <c r="S124" s="60"/>
      <c r="T124" s="45"/>
      <c r="U124" s="46"/>
      <c r="V124" s="5">
        <f t="shared" si="125"/>
        <v>0</v>
      </c>
      <c r="W124" s="44"/>
      <c r="X124" s="45"/>
      <c r="Y124" s="45"/>
      <c r="Z124" s="45"/>
      <c r="AA124" s="46"/>
      <c r="AB124" s="5">
        <f t="shared" si="126"/>
        <v>0</v>
      </c>
      <c r="AC124" s="28">
        <f t="shared" si="127"/>
        <v>0</v>
      </c>
    </row>
    <row r="125" spans="1:29" ht="14.25" thickBot="1" x14ac:dyDescent="0.2">
      <c r="A125" s="4"/>
      <c r="B125" s="44"/>
      <c r="C125" s="68"/>
      <c r="D125" s="45"/>
      <c r="E125" s="88"/>
      <c r="F125" s="89"/>
      <c r="G125" s="7">
        <f t="shared" si="128"/>
        <v>0</v>
      </c>
      <c r="H125" s="44"/>
      <c r="I125" s="68"/>
      <c r="J125" s="88"/>
      <c r="K125" s="88"/>
      <c r="L125" s="89"/>
      <c r="M125" s="5">
        <f t="shared" si="115"/>
        <v>0</v>
      </c>
      <c r="N125" s="29">
        <f t="shared" si="107"/>
        <v>0</v>
      </c>
      <c r="O125" s="69"/>
      <c r="P125" s="4"/>
      <c r="Q125" s="59"/>
      <c r="R125" s="60"/>
      <c r="S125" s="60"/>
      <c r="T125" s="45"/>
      <c r="U125" s="46"/>
      <c r="V125" s="5">
        <f t="shared" si="125"/>
        <v>0</v>
      </c>
      <c r="W125" s="44"/>
      <c r="X125" s="45"/>
      <c r="Y125" s="45"/>
      <c r="Z125" s="45"/>
      <c r="AA125" s="46"/>
      <c r="AB125" s="5">
        <f t="shared" si="126"/>
        <v>0</v>
      </c>
      <c r="AC125" s="28">
        <f t="shared" si="127"/>
        <v>0</v>
      </c>
    </row>
    <row r="126" spans="1:29" ht="14.25" thickBot="1" x14ac:dyDescent="0.2">
      <c r="A126" s="2" t="s">
        <v>6</v>
      </c>
      <c r="B126" s="50">
        <f>SUM(B102:B125)</f>
        <v>1</v>
      </c>
      <c r="C126" s="51">
        <f t="shared" ref="C126:F126" si="129">SUM(C102:C125)</f>
        <v>2</v>
      </c>
      <c r="D126" s="51">
        <f t="shared" si="129"/>
        <v>2</v>
      </c>
      <c r="E126" s="90">
        <f t="shared" si="129"/>
        <v>0</v>
      </c>
      <c r="F126" s="91">
        <f t="shared" si="129"/>
        <v>0</v>
      </c>
      <c r="G126" s="9">
        <f t="shared" si="128"/>
        <v>5</v>
      </c>
      <c r="H126" s="50">
        <f>SUM(H102:H125)</f>
        <v>0</v>
      </c>
      <c r="I126" s="51">
        <f t="shared" ref="I126:L126" si="130">SUM(I102:I125)</f>
        <v>1</v>
      </c>
      <c r="J126" s="90">
        <f t="shared" si="130"/>
        <v>0</v>
      </c>
      <c r="K126" s="90">
        <f t="shared" si="130"/>
        <v>0</v>
      </c>
      <c r="L126" s="91">
        <f t="shared" si="130"/>
        <v>0</v>
      </c>
      <c r="M126" s="9">
        <f t="shared" si="115"/>
        <v>1</v>
      </c>
      <c r="N126" s="26">
        <f t="shared" si="107"/>
        <v>6</v>
      </c>
      <c r="P126" s="2" t="s">
        <v>6</v>
      </c>
      <c r="Q126" s="50">
        <f>SUM(Q102:Q125)</f>
        <v>0</v>
      </c>
      <c r="R126" s="51">
        <f t="shared" ref="R126:U126" si="131">SUM(R102:R125)</f>
        <v>0</v>
      </c>
      <c r="S126" s="51">
        <f t="shared" si="131"/>
        <v>0</v>
      </c>
      <c r="T126" s="51">
        <f t="shared" si="131"/>
        <v>0</v>
      </c>
      <c r="U126" s="52">
        <f t="shared" si="131"/>
        <v>0</v>
      </c>
      <c r="V126" s="9">
        <f t="shared" si="108"/>
        <v>0</v>
      </c>
      <c r="W126" s="50">
        <f>SUM(W102:W125)</f>
        <v>0</v>
      </c>
      <c r="X126" s="51">
        <f t="shared" ref="X126:AA126" si="132">SUM(X102:X125)</f>
        <v>0</v>
      </c>
      <c r="Y126" s="51">
        <f t="shared" si="132"/>
        <v>0</v>
      </c>
      <c r="Z126" s="51">
        <f t="shared" si="132"/>
        <v>0</v>
      </c>
      <c r="AA126" s="52">
        <f t="shared" si="132"/>
        <v>0</v>
      </c>
      <c r="AB126" s="9">
        <f t="shared" si="109"/>
        <v>0</v>
      </c>
      <c r="AC126" s="26">
        <f t="shared" si="110"/>
        <v>0</v>
      </c>
    </row>
    <row r="127" spans="1:29" ht="14.25" thickBot="1" x14ac:dyDescent="0.2">
      <c r="A127" s="12" t="s">
        <v>7</v>
      </c>
      <c r="B127" s="62">
        <f>B101-B126</f>
        <v>1</v>
      </c>
      <c r="C127" s="63">
        <f t="shared" ref="C127:G127" si="133">C101-C126</f>
        <v>1</v>
      </c>
      <c r="D127" s="63">
        <f t="shared" si="133"/>
        <v>1</v>
      </c>
      <c r="E127" s="90">
        <f t="shared" si="133"/>
        <v>0</v>
      </c>
      <c r="F127" s="91">
        <f t="shared" si="133"/>
        <v>0</v>
      </c>
      <c r="G127" s="9">
        <f t="shared" si="133"/>
        <v>3</v>
      </c>
      <c r="H127" s="62">
        <f>H101-H126</f>
        <v>1</v>
      </c>
      <c r="I127" s="63">
        <f t="shared" ref="I127:M127" si="134">I101-I126</f>
        <v>2</v>
      </c>
      <c r="J127" s="90">
        <f t="shared" si="134"/>
        <v>0</v>
      </c>
      <c r="K127" s="90">
        <f t="shared" si="134"/>
        <v>0</v>
      </c>
      <c r="L127" s="91">
        <f t="shared" si="134"/>
        <v>0</v>
      </c>
      <c r="M127" s="9">
        <f t="shared" si="134"/>
        <v>3</v>
      </c>
      <c r="N127" s="26">
        <f t="shared" si="107"/>
        <v>6</v>
      </c>
      <c r="P127" s="12" t="s">
        <v>7</v>
      </c>
      <c r="Q127" s="62">
        <f>Q101-Q126</f>
        <v>0</v>
      </c>
      <c r="R127" s="63">
        <f t="shared" ref="R127:V127" si="135">R101-R126</f>
        <v>0</v>
      </c>
      <c r="S127" s="63">
        <f t="shared" si="135"/>
        <v>0</v>
      </c>
      <c r="T127" s="63">
        <f t="shared" si="135"/>
        <v>0</v>
      </c>
      <c r="U127" s="64">
        <f t="shared" si="135"/>
        <v>0</v>
      </c>
      <c r="V127" s="9">
        <f t="shared" si="135"/>
        <v>0</v>
      </c>
      <c r="W127" s="62">
        <f>W101-W126</f>
        <v>0</v>
      </c>
      <c r="X127" s="63">
        <f t="shared" ref="X127:AB127" si="136">X101-X126</f>
        <v>0</v>
      </c>
      <c r="Y127" s="63">
        <f t="shared" si="136"/>
        <v>0</v>
      </c>
      <c r="Z127" s="63">
        <f t="shared" si="136"/>
        <v>0</v>
      </c>
      <c r="AA127" s="64">
        <f t="shared" si="136"/>
        <v>0</v>
      </c>
      <c r="AB127" s="9">
        <f t="shared" si="136"/>
        <v>0</v>
      </c>
      <c r="AC127" s="26">
        <f t="shared" si="110"/>
        <v>0</v>
      </c>
    </row>
    <row r="128" spans="1:29" x14ac:dyDescent="0.15">
      <c r="P128" s="94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</row>
    <row r="129" spans="1:30" s="97" customFormat="1" ht="33.75" customHeight="1" x14ac:dyDescent="0.15">
      <c r="A129" s="108" t="s">
        <v>82</v>
      </c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96"/>
    </row>
    <row r="130" spans="1:30" ht="21.75" thickBot="1" x14ac:dyDescent="0.25">
      <c r="A130" s="21" t="s">
        <v>15</v>
      </c>
      <c r="B130" s="22"/>
      <c r="C130" s="22"/>
      <c r="D130" s="22"/>
      <c r="E130" s="22"/>
      <c r="F130" s="22"/>
      <c r="G130" s="14"/>
      <c r="H130" s="22"/>
      <c r="I130" s="22"/>
      <c r="J130" s="22"/>
      <c r="K130" s="22"/>
      <c r="L130" s="22"/>
      <c r="M130" s="14"/>
      <c r="P130" s="21" t="s">
        <v>19</v>
      </c>
      <c r="Q130" s="22"/>
      <c r="R130" s="22"/>
      <c r="S130" s="22"/>
      <c r="T130" s="22"/>
      <c r="U130" s="22"/>
      <c r="V130" s="14"/>
      <c r="W130" s="22"/>
      <c r="X130" s="22"/>
      <c r="Y130" s="22"/>
      <c r="Z130" s="22"/>
      <c r="AA130" s="22"/>
      <c r="AB130" s="14"/>
    </row>
    <row r="131" spans="1:30" ht="14.25" thickBot="1" x14ac:dyDescent="0.2">
      <c r="A131" s="1" t="s">
        <v>0</v>
      </c>
      <c r="B131" s="102" t="s">
        <v>13</v>
      </c>
      <c r="C131" s="103"/>
      <c r="D131" s="103"/>
      <c r="E131" s="103"/>
      <c r="F131" s="103"/>
      <c r="G131" s="104"/>
      <c r="H131" s="105" t="s">
        <v>14</v>
      </c>
      <c r="I131" s="106"/>
      <c r="J131" s="106"/>
      <c r="K131" s="106"/>
      <c r="L131" s="106"/>
      <c r="M131" s="107"/>
      <c r="N131" s="25"/>
      <c r="P131" s="1" t="s">
        <v>0</v>
      </c>
      <c r="Q131" s="102" t="s">
        <v>13</v>
      </c>
      <c r="R131" s="103"/>
      <c r="S131" s="103"/>
      <c r="T131" s="103"/>
      <c r="U131" s="104"/>
      <c r="V131" s="105" t="s">
        <v>14</v>
      </c>
      <c r="W131" s="106"/>
      <c r="X131" s="106"/>
      <c r="Y131" s="106"/>
      <c r="Z131" s="107"/>
      <c r="AA131" s="25"/>
    </row>
    <row r="132" spans="1:30" ht="14.25" thickBot="1" x14ac:dyDescent="0.2">
      <c r="A132" s="1" t="s">
        <v>1</v>
      </c>
      <c r="B132" s="32" t="s">
        <v>8</v>
      </c>
      <c r="C132" s="33" t="s">
        <v>9</v>
      </c>
      <c r="D132" s="33" t="s">
        <v>10</v>
      </c>
      <c r="E132" s="33" t="s">
        <v>11</v>
      </c>
      <c r="F132" s="33" t="s">
        <v>12</v>
      </c>
      <c r="G132" s="1" t="s">
        <v>2</v>
      </c>
      <c r="H132" s="32" t="s">
        <v>8</v>
      </c>
      <c r="I132" s="33" t="s">
        <v>9</v>
      </c>
      <c r="J132" s="33" t="s">
        <v>10</v>
      </c>
      <c r="K132" s="33" t="s">
        <v>11</v>
      </c>
      <c r="L132" s="33" t="s">
        <v>12</v>
      </c>
      <c r="M132" s="1" t="s">
        <v>2</v>
      </c>
      <c r="N132" s="27" t="s">
        <v>16</v>
      </c>
      <c r="P132" s="1" t="s">
        <v>1</v>
      </c>
      <c r="Q132" s="33" t="s">
        <v>9</v>
      </c>
      <c r="R132" s="33" t="s">
        <v>10</v>
      </c>
      <c r="S132" s="33" t="s">
        <v>11</v>
      </c>
      <c r="T132" s="34" t="s">
        <v>12</v>
      </c>
      <c r="U132" s="1" t="s">
        <v>2</v>
      </c>
      <c r="V132" s="33" t="s">
        <v>9</v>
      </c>
      <c r="W132" s="33" t="s">
        <v>10</v>
      </c>
      <c r="X132" s="33" t="s">
        <v>11</v>
      </c>
      <c r="Y132" s="34" t="s">
        <v>12</v>
      </c>
      <c r="Z132" s="1" t="s">
        <v>2</v>
      </c>
      <c r="AA132" s="27" t="s">
        <v>16</v>
      </c>
    </row>
    <row r="133" spans="1:30" ht="14.25" thickBot="1" x14ac:dyDescent="0.2">
      <c r="A133" s="18" t="s">
        <v>7</v>
      </c>
      <c r="B133" s="35">
        <f>B127</f>
        <v>1</v>
      </c>
      <c r="C133" s="36">
        <f t="shared" ref="C133:F133" si="137">C127</f>
        <v>1</v>
      </c>
      <c r="D133" s="36">
        <f t="shared" si="137"/>
        <v>1</v>
      </c>
      <c r="E133" s="36">
        <f t="shared" si="137"/>
        <v>0</v>
      </c>
      <c r="F133" s="36">
        <f t="shared" si="137"/>
        <v>0</v>
      </c>
      <c r="G133" s="9">
        <f>SUM(B133:F133)</f>
        <v>3</v>
      </c>
      <c r="H133" s="35">
        <f>H127</f>
        <v>1</v>
      </c>
      <c r="I133" s="36">
        <f t="shared" ref="I133:L133" si="138">I127</f>
        <v>2</v>
      </c>
      <c r="J133" s="36">
        <f t="shared" si="138"/>
        <v>0</v>
      </c>
      <c r="K133" s="36">
        <f t="shared" si="138"/>
        <v>0</v>
      </c>
      <c r="L133" s="36">
        <f t="shared" si="138"/>
        <v>0</v>
      </c>
      <c r="M133" s="9">
        <f>SUM(H133:L133)</f>
        <v>3</v>
      </c>
      <c r="N133" s="26">
        <f t="shared" ref="N133:N170" si="139">G133+M133</f>
        <v>6</v>
      </c>
      <c r="P133" s="18" t="s">
        <v>7</v>
      </c>
      <c r="Q133" s="36">
        <f>R127</f>
        <v>0</v>
      </c>
      <c r="R133" s="36">
        <f>S127</f>
        <v>0</v>
      </c>
      <c r="S133" s="36">
        <f>T127</f>
        <v>0</v>
      </c>
      <c r="T133" s="37">
        <f>U127</f>
        <v>0</v>
      </c>
      <c r="U133" s="9">
        <f t="shared" ref="U133:U169" si="140">SUM(Q133:T133)</f>
        <v>0</v>
      </c>
      <c r="V133" s="36">
        <f>X127</f>
        <v>0</v>
      </c>
      <c r="W133" s="36">
        <f>Y127</f>
        <v>0</v>
      </c>
      <c r="X133" s="36">
        <f>Z127</f>
        <v>0</v>
      </c>
      <c r="Y133" s="37">
        <f>AA127</f>
        <v>0</v>
      </c>
      <c r="Z133" s="9">
        <f t="shared" ref="Z133:Z169" si="141">SUM(V133:Y133)</f>
        <v>0</v>
      </c>
      <c r="AA133" s="26">
        <f t="shared" ref="AA133:AA170" si="142">U133+Z133</f>
        <v>0</v>
      </c>
    </row>
    <row r="134" spans="1:30" x14ac:dyDescent="0.15">
      <c r="A134" s="3" t="s">
        <v>4</v>
      </c>
      <c r="B134" s="44"/>
      <c r="C134" s="45"/>
      <c r="D134" s="45"/>
      <c r="E134" s="45">
        <v>1</v>
      </c>
      <c r="F134" s="45">
        <v>1</v>
      </c>
      <c r="G134" s="5">
        <f t="shared" ref="G134:G169" si="143">SUM(B134:F134)</f>
        <v>2</v>
      </c>
      <c r="H134" s="44"/>
      <c r="I134" s="45"/>
      <c r="J134" s="45"/>
      <c r="K134" s="45">
        <v>1</v>
      </c>
      <c r="L134" s="45">
        <v>4</v>
      </c>
      <c r="M134" s="5">
        <f t="shared" ref="M134:M169" si="144">SUM(H134:L134)</f>
        <v>5</v>
      </c>
      <c r="N134" s="28">
        <f t="shared" si="139"/>
        <v>7</v>
      </c>
      <c r="O134" s="31">
        <v>45905</v>
      </c>
      <c r="P134" s="3" t="s">
        <v>4</v>
      </c>
      <c r="Q134" s="42"/>
      <c r="R134" s="42"/>
      <c r="S134" s="42"/>
      <c r="T134" s="43"/>
      <c r="U134" s="5">
        <f t="shared" si="140"/>
        <v>0</v>
      </c>
      <c r="V134" s="42"/>
      <c r="W134" s="42"/>
      <c r="X134" s="42"/>
      <c r="Y134" s="43">
        <v>2</v>
      </c>
      <c r="Z134" s="5">
        <f t="shared" si="141"/>
        <v>2</v>
      </c>
      <c r="AA134" s="28">
        <f t="shared" si="142"/>
        <v>2</v>
      </c>
      <c r="AB134" s="31">
        <v>45902</v>
      </c>
    </row>
    <row r="135" spans="1:30" x14ac:dyDescent="0.15">
      <c r="A135" s="3" t="s">
        <v>4</v>
      </c>
      <c r="B135" s="44"/>
      <c r="C135" s="45"/>
      <c r="D135" s="45">
        <v>1</v>
      </c>
      <c r="E135" s="45"/>
      <c r="F135" s="45"/>
      <c r="G135" s="5">
        <f t="shared" si="143"/>
        <v>1</v>
      </c>
      <c r="H135" s="44"/>
      <c r="I135" s="45"/>
      <c r="J135" s="45"/>
      <c r="K135" s="45"/>
      <c r="L135" s="45"/>
      <c r="M135" s="5">
        <f t="shared" si="144"/>
        <v>0</v>
      </c>
      <c r="N135" s="28">
        <f t="shared" si="139"/>
        <v>1</v>
      </c>
      <c r="O135" s="31">
        <v>45909</v>
      </c>
      <c r="P135" s="3" t="s">
        <v>4</v>
      </c>
      <c r="Q135" s="42"/>
      <c r="R135" s="42"/>
      <c r="S135" s="42">
        <v>1</v>
      </c>
      <c r="T135" s="43">
        <v>1</v>
      </c>
      <c r="U135" s="5">
        <f t="shared" si="140"/>
        <v>2</v>
      </c>
      <c r="V135" s="42"/>
      <c r="W135" s="42"/>
      <c r="X135" s="42">
        <v>1</v>
      </c>
      <c r="Y135" s="43">
        <v>4</v>
      </c>
      <c r="Z135" s="5">
        <f t="shared" si="141"/>
        <v>5</v>
      </c>
      <c r="AA135" s="28">
        <f t="shared" si="142"/>
        <v>7</v>
      </c>
      <c r="AB135" s="31">
        <v>45904</v>
      </c>
    </row>
    <row r="136" spans="1:30" x14ac:dyDescent="0.15">
      <c r="A136" s="3" t="s">
        <v>4</v>
      </c>
      <c r="B136" s="44"/>
      <c r="C136" s="45">
        <v>3</v>
      </c>
      <c r="D136" s="45">
        <v>5</v>
      </c>
      <c r="E136" s="45">
        <v>5</v>
      </c>
      <c r="F136" s="45">
        <v>5</v>
      </c>
      <c r="G136" s="5">
        <f t="shared" si="143"/>
        <v>18</v>
      </c>
      <c r="H136" s="44"/>
      <c r="I136" s="45">
        <v>2</v>
      </c>
      <c r="J136" s="45">
        <v>5</v>
      </c>
      <c r="K136" s="45">
        <v>5</v>
      </c>
      <c r="L136" s="45">
        <v>5</v>
      </c>
      <c r="M136" s="5">
        <f t="shared" si="144"/>
        <v>17</v>
      </c>
      <c r="N136" s="28">
        <f t="shared" si="139"/>
        <v>35</v>
      </c>
      <c r="O136" s="31">
        <v>45920</v>
      </c>
      <c r="P136" s="3" t="s">
        <v>4</v>
      </c>
      <c r="Q136" s="42"/>
      <c r="R136" s="42">
        <v>1</v>
      </c>
      <c r="S136" s="42"/>
      <c r="T136" s="43"/>
      <c r="U136" s="5">
        <f t="shared" si="140"/>
        <v>1</v>
      </c>
      <c r="V136" s="42"/>
      <c r="W136" s="42">
        <v>2</v>
      </c>
      <c r="X136" s="42"/>
      <c r="Y136" s="43">
        <v>2</v>
      </c>
      <c r="Z136" s="5">
        <f t="shared" si="141"/>
        <v>4</v>
      </c>
      <c r="AA136" s="28">
        <f t="shared" si="142"/>
        <v>5</v>
      </c>
      <c r="AB136" s="31">
        <v>45909</v>
      </c>
      <c r="AC136" s="69"/>
      <c r="AD136" s="69"/>
    </row>
    <row r="137" spans="1:30" x14ac:dyDescent="0.15">
      <c r="A137" s="3" t="s">
        <v>4</v>
      </c>
      <c r="B137" s="44"/>
      <c r="C137" s="45">
        <v>5</v>
      </c>
      <c r="D137" s="45">
        <v>5</v>
      </c>
      <c r="E137" s="45"/>
      <c r="F137" s="45"/>
      <c r="G137" s="5">
        <f t="shared" si="143"/>
        <v>10</v>
      </c>
      <c r="H137" s="44"/>
      <c r="I137" s="45">
        <v>5</v>
      </c>
      <c r="J137" s="45"/>
      <c r="K137" s="45"/>
      <c r="L137" s="45"/>
      <c r="M137" s="5">
        <f t="shared" si="144"/>
        <v>5</v>
      </c>
      <c r="N137" s="28">
        <f t="shared" si="139"/>
        <v>15</v>
      </c>
      <c r="O137" s="31">
        <v>45926</v>
      </c>
      <c r="P137" s="3" t="s">
        <v>4</v>
      </c>
      <c r="Q137" s="42"/>
      <c r="R137" s="42"/>
      <c r="S137" s="42"/>
      <c r="T137" s="43">
        <v>1</v>
      </c>
      <c r="U137" s="5">
        <f t="shared" si="140"/>
        <v>1</v>
      </c>
      <c r="V137" s="42"/>
      <c r="W137" s="42">
        <v>3</v>
      </c>
      <c r="X137" s="42">
        <v>1</v>
      </c>
      <c r="Y137" s="43"/>
      <c r="Z137" s="5">
        <f t="shared" si="141"/>
        <v>4</v>
      </c>
      <c r="AA137" s="28">
        <f t="shared" si="142"/>
        <v>5</v>
      </c>
      <c r="AB137" s="31">
        <v>45911</v>
      </c>
      <c r="AC137" s="69"/>
      <c r="AD137" s="69"/>
    </row>
    <row r="138" spans="1:30" x14ac:dyDescent="0.15">
      <c r="A138" s="3" t="s">
        <v>43</v>
      </c>
      <c r="B138" s="44"/>
      <c r="C138" s="45"/>
      <c r="D138" s="45"/>
      <c r="E138" s="45">
        <v>1</v>
      </c>
      <c r="F138" s="45">
        <v>1</v>
      </c>
      <c r="G138" s="5">
        <f t="shared" ref="G138:G143" si="145">SUM(B138:F138)</f>
        <v>2</v>
      </c>
      <c r="H138" s="44"/>
      <c r="I138" s="45"/>
      <c r="J138" s="45">
        <v>1</v>
      </c>
      <c r="K138" s="45"/>
      <c r="L138" s="45"/>
      <c r="M138" s="5">
        <f t="shared" ref="M138:M143" si="146">SUM(H138:L138)</f>
        <v>1</v>
      </c>
      <c r="N138" s="28">
        <f t="shared" ref="N138:N143" si="147">G138+M138</f>
        <v>3</v>
      </c>
      <c r="O138" s="31">
        <v>45924</v>
      </c>
      <c r="P138" s="3" t="s">
        <v>4</v>
      </c>
      <c r="Q138" s="42">
        <v>3</v>
      </c>
      <c r="R138" s="42">
        <v>5</v>
      </c>
      <c r="S138" s="42">
        <v>5</v>
      </c>
      <c r="T138" s="43">
        <v>5</v>
      </c>
      <c r="U138" s="5">
        <f t="shared" si="140"/>
        <v>18</v>
      </c>
      <c r="V138" s="42">
        <v>2</v>
      </c>
      <c r="W138" s="42">
        <v>5</v>
      </c>
      <c r="X138" s="42">
        <v>5</v>
      </c>
      <c r="Y138" s="43">
        <v>5</v>
      </c>
      <c r="Z138" s="5">
        <f t="shared" si="141"/>
        <v>17</v>
      </c>
      <c r="AA138" s="28">
        <f t="shared" si="142"/>
        <v>35</v>
      </c>
      <c r="AB138" s="31">
        <v>45919</v>
      </c>
    </row>
    <row r="139" spans="1:30" x14ac:dyDescent="0.15">
      <c r="A139" s="3" t="s">
        <v>43</v>
      </c>
      <c r="B139" s="44"/>
      <c r="C139" s="45"/>
      <c r="D139" s="45"/>
      <c r="E139" s="45"/>
      <c r="F139" s="45"/>
      <c r="G139" s="5">
        <f t="shared" si="145"/>
        <v>0</v>
      </c>
      <c r="H139" s="44"/>
      <c r="I139" s="45"/>
      <c r="J139" s="45">
        <v>1</v>
      </c>
      <c r="K139" s="45"/>
      <c r="L139" s="45"/>
      <c r="M139" s="5">
        <f t="shared" si="146"/>
        <v>1</v>
      </c>
      <c r="N139" s="28">
        <f t="shared" si="147"/>
        <v>1</v>
      </c>
      <c r="O139" s="31">
        <v>45936</v>
      </c>
      <c r="P139" s="3" t="s">
        <v>4</v>
      </c>
      <c r="Q139" s="45"/>
      <c r="R139" s="45">
        <v>5</v>
      </c>
      <c r="S139" s="45">
        <v>5</v>
      </c>
      <c r="T139" s="46"/>
      <c r="U139" s="5">
        <f t="shared" si="140"/>
        <v>10</v>
      </c>
      <c r="V139" s="45"/>
      <c r="W139" s="45">
        <v>5</v>
      </c>
      <c r="X139" s="77"/>
      <c r="Y139" s="46"/>
      <c r="Z139" s="5">
        <f t="shared" si="141"/>
        <v>5</v>
      </c>
      <c r="AA139" s="28">
        <f t="shared" si="142"/>
        <v>15</v>
      </c>
      <c r="AB139" s="31">
        <v>45924</v>
      </c>
    </row>
    <row r="140" spans="1:30" x14ac:dyDescent="0.15">
      <c r="A140" s="4" t="s">
        <v>87</v>
      </c>
      <c r="B140" s="44"/>
      <c r="C140" s="45"/>
      <c r="D140" s="45">
        <v>1</v>
      </c>
      <c r="E140" s="45"/>
      <c r="F140" s="46"/>
      <c r="G140" s="5">
        <f t="shared" si="145"/>
        <v>1</v>
      </c>
      <c r="H140" s="65"/>
      <c r="I140" s="66"/>
      <c r="J140" s="99"/>
      <c r="K140" s="99"/>
      <c r="L140" s="100"/>
      <c r="M140" s="5">
        <f t="shared" si="146"/>
        <v>0</v>
      </c>
      <c r="N140" s="28">
        <f t="shared" si="147"/>
        <v>1</v>
      </c>
      <c r="O140" s="31">
        <v>45948</v>
      </c>
      <c r="P140" s="3" t="s">
        <v>4</v>
      </c>
      <c r="Q140" s="45"/>
      <c r="R140" s="45"/>
      <c r="S140" s="45"/>
      <c r="T140" s="46"/>
      <c r="U140" s="5">
        <f t="shared" si="140"/>
        <v>0</v>
      </c>
      <c r="V140" s="45">
        <v>5</v>
      </c>
      <c r="W140" s="45"/>
      <c r="X140" s="45"/>
      <c r="Y140" s="46"/>
      <c r="Z140" s="5">
        <f t="shared" si="141"/>
        <v>5</v>
      </c>
      <c r="AA140" s="28">
        <f t="shared" si="142"/>
        <v>5</v>
      </c>
      <c r="AB140" s="31">
        <v>45944</v>
      </c>
    </row>
    <row r="141" spans="1:30" x14ac:dyDescent="0.15">
      <c r="A141" s="3" t="s">
        <v>43</v>
      </c>
      <c r="B141" s="44"/>
      <c r="C141" s="45">
        <v>1</v>
      </c>
      <c r="D141" s="45"/>
      <c r="E141" s="45"/>
      <c r="F141" s="45"/>
      <c r="G141" s="5">
        <f t="shared" si="145"/>
        <v>1</v>
      </c>
      <c r="H141" s="44"/>
      <c r="I141" s="45"/>
      <c r="J141" s="45"/>
      <c r="K141" s="45"/>
      <c r="L141" s="45"/>
      <c r="M141" s="5">
        <f t="shared" si="146"/>
        <v>0</v>
      </c>
      <c r="N141" s="28">
        <f t="shared" si="147"/>
        <v>1</v>
      </c>
      <c r="O141" s="30">
        <v>45960</v>
      </c>
      <c r="P141" s="3" t="s">
        <v>4</v>
      </c>
      <c r="Q141" s="45"/>
      <c r="R141" s="45"/>
      <c r="S141" s="45"/>
      <c r="T141" s="46"/>
      <c r="U141" s="5">
        <f t="shared" si="140"/>
        <v>0</v>
      </c>
      <c r="V141" s="45"/>
      <c r="W141" s="45"/>
      <c r="X141" s="45"/>
      <c r="Y141" s="46"/>
      <c r="Z141" s="5">
        <f t="shared" si="141"/>
        <v>0</v>
      </c>
      <c r="AA141" s="28">
        <f t="shared" si="142"/>
        <v>0</v>
      </c>
    </row>
    <row r="142" spans="1:30" x14ac:dyDescent="0.15">
      <c r="A142" s="3" t="s">
        <v>43</v>
      </c>
      <c r="B142" s="44"/>
      <c r="C142" s="45"/>
      <c r="D142" s="45">
        <v>1</v>
      </c>
      <c r="E142" s="45"/>
      <c r="F142" s="45"/>
      <c r="G142" s="5">
        <f t="shared" si="145"/>
        <v>1</v>
      </c>
      <c r="H142" s="44"/>
      <c r="I142" s="45"/>
      <c r="J142" s="45"/>
      <c r="K142" s="45"/>
      <c r="L142" s="45"/>
      <c r="M142" s="5">
        <f t="shared" si="146"/>
        <v>0</v>
      </c>
      <c r="N142" s="28">
        <f t="shared" si="147"/>
        <v>1</v>
      </c>
      <c r="O142" s="30">
        <v>45966</v>
      </c>
      <c r="P142" s="3" t="s">
        <v>4</v>
      </c>
      <c r="Q142" s="45"/>
      <c r="R142" s="45"/>
      <c r="S142" s="45"/>
      <c r="T142" s="46"/>
      <c r="U142" s="78">
        <f t="shared" si="140"/>
        <v>0</v>
      </c>
      <c r="V142" s="45"/>
      <c r="W142" s="45"/>
      <c r="X142" s="45"/>
      <c r="Y142" s="46"/>
      <c r="Z142" s="78">
        <f t="shared" si="141"/>
        <v>0</v>
      </c>
      <c r="AA142" s="79">
        <f t="shared" si="142"/>
        <v>0</v>
      </c>
    </row>
    <row r="143" spans="1:30" ht="14.25" thickBot="1" x14ac:dyDescent="0.2">
      <c r="A143" s="3" t="s">
        <v>50</v>
      </c>
      <c r="B143" s="44">
        <v>0</v>
      </c>
      <c r="C143" s="45">
        <v>1</v>
      </c>
      <c r="D143" s="45">
        <v>0</v>
      </c>
      <c r="E143" s="45">
        <v>0</v>
      </c>
      <c r="F143" s="45">
        <v>0</v>
      </c>
      <c r="G143" s="5">
        <f t="shared" si="145"/>
        <v>1</v>
      </c>
      <c r="H143" s="44">
        <v>0</v>
      </c>
      <c r="I143" s="45">
        <v>0</v>
      </c>
      <c r="J143" s="45">
        <v>1</v>
      </c>
      <c r="K143" s="45">
        <v>0</v>
      </c>
      <c r="L143" s="45">
        <v>0</v>
      </c>
      <c r="M143" s="5">
        <f t="shared" si="146"/>
        <v>1</v>
      </c>
      <c r="N143" s="28">
        <f t="shared" si="147"/>
        <v>2</v>
      </c>
      <c r="O143" s="30">
        <v>46079</v>
      </c>
      <c r="P143" s="80" t="s">
        <v>4</v>
      </c>
      <c r="Q143" s="82"/>
      <c r="R143" s="82"/>
      <c r="S143" s="82"/>
      <c r="T143" s="83"/>
      <c r="U143" s="7">
        <f t="shared" si="140"/>
        <v>0</v>
      </c>
      <c r="V143" s="82"/>
      <c r="W143" s="82"/>
      <c r="X143" s="82"/>
      <c r="Y143" s="83"/>
      <c r="Z143" s="7">
        <f t="shared" si="141"/>
        <v>0</v>
      </c>
      <c r="AA143" s="29">
        <f t="shared" si="142"/>
        <v>0</v>
      </c>
    </row>
    <row r="144" spans="1:30" ht="14.25" thickBot="1" x14ac:dyDescent="0.2">
      <c r="A144" s="8" t="s">
        <v>5</v>
      </c>
      <c r="B144" s="50">
        <f>SUM(B133:B143)</f>
        <v>1</v>
      </c>
      <c r="C144" s="51">
        <f t="shared" ref="C144:F144" si="148">SUM(C133:C143)</f>
        <v>11</v>
      </c>
      <c r="D144" s="51">
        <f t="shared" si="148"/>
        <v>14</v>
      </c>
      <c r="E144" s="51">
        <f t="shared" si="148"/>
        <v>7</v>
      </c>
      <c r="F144" s="51">
        <f t="shared" si="148"/>
        <v>7</v>
      </c>
      <c r="G144" s="9">
        <f t="shared" si="143"/>
        <v>40</v>
      </c>
      <c r="H144" s="50">
        <f>SUM(H133:H143)</f>
        <v>1</v>
      </c>
      <c r="I144" s="51">
        <f t="shared" ref="I144:L144" si="149">SUM(I133:I143)</f>
        <v>9</v>
      </c>
      <c r="J144" s="51">
        <f t="shared" si="149"/>
        <v>8</v>
      </c>
      <c r="K144" s="51">
        <f t="shared" si="149"/>
        <v>6</v>
      </c>
      <c r="L144" s="51">
        <f t="shared" si="149"/>
        <v>9</v>
      </c>
      <c r="M144" s="17">
        <f t="shared" si="144"/>
        <v>33</v>
      </c>
      <c r="N144" s="26">
        <f t="shared" si="139"/>
        <v>73</v>
      </c>
      <c r="P144" s="8" t="s">
        <v>5</v>
      </c>
      <c r="Q144" s="51">
        <f t="shared" ref="Q144:T144" si="150">SUM(Q133:Q143)</f>
        <v>3</v>
      </c>
      <c r="R144" s="51">
        <f t="shared" si="150"/>
        <v>11</v>
      </c>
      <c r="S144" s="51">
        <f t="shared" si="150"/>
        <v>11</v>
      </c>
      <c r="T144" s="52">
        <f t="shared" si="150"/>
        <v>7</v>
      </c>
      <c r="U144" s="9">
        <f t="shared" si="140"/>
        <v>32</v>
      </c>
      <c r="V144" s="51">
        <f t="shared" ref="V144:Y144" si="151">SUM(V133:V143)</f>
        <v>7</v>
      </c>
      <c r="W144" s="51">
        <f t="shared" si="151"/>
        <v>15</v>
      </c>
      <c r="X144" s="51">
        <f t="shared" si="151"/>
        <v>7</v>
      </c>
      <c r="Y144" s="52">
        <f t="shared" si="151"/>
        <v>13</v>
      </c>
      <c r="Z144" s="17">
        <f t="shared" si="141"/>
        <v>42</v>
      </c>
      <c r="AA144" s="26">
        <f t="shared" si="142"/>
        <v>74</v>
      </c>
    </row>
    <row r="145" spans="1:31" x14ac:dyDescent="0.15">
      <c r="A145" s="4" t="s">
        <v>28</v>
      </c>
      <c r="B145" s="44"/>
      <c r="C145" s="45">
        <v>1</v>
      </c>
      <c r="D145" s="45"/>
      <c r="E145" s="45"/>
      <c r="F145" s="45"/>
      <c r="G145" s="5">
        <f t="shared" ref="G145:G148" si="152">SUM(B145:F145)</f>
        <v>1</v>
      </c>
      <c r="H145" s="65"/>
      <c r="I145" s="66"/>
      <c r="J145" s="66"/>
      <c r="K145" s="66"/>
      <c r="L145" s="66"/>
      <c r="M145" s="5">
        <f t="shared" ref="M145:M148" si="153">SUM(H145:L145)</f>
        <v>0</v>
      </c>
      <c r="N145" s="28">
        <f t="shared" ref="N145:N148" si="154">G145+M145</f>
        <v>1</v>
      </c>
      <c r="O145" s="31">
        <v>45905</v>
      </c>
      <c r="P145" s="4" t="s">
        <v>24</v>
      </c>
      <c r="Q145" s="45"/>
      <c r="R145" s="45"/>
      <c r="S145" s="45"/>
      <c r="T145" s="46"/>
      <c r="U145" s="5">
        <f t="shared" si="140"/>
        <v>0</v>
      </c>
      <c r="V145" s="45"/>
      <c r="W145" s="45"/>
      <c r="X145" s="45"/>
      <c r="Y145" s="46">
        <v>2</v>
      </c>
      <c r="Z145" s="5">
        <f t="shared" si="141"/>
        <v>2</v>
      </c>
      <c r="AA145" s="28">
        <f t="shared" si="142"/>
        <v>2</v>
      </c>
      <c r="AB145" s="31">
        <v>45903</v>
      </c>
    </row>
    <row r="146" spans="1:31" x14ac:dyDescent="0.15">
      <c r="A146" s="4" t="s">
        <v>29</v>
      </c>
      <c r="B146" s="44"/>
      <c r="C146" s="45"/>
      <c r="D146" s="45">
        <v>1</v>
      </c>
      <c r="E146" s="45">
        <v>1</v>
      </c>
      <c r="F146" s="45">
        <v>1</v>
      </c>
      <c r="G146" s="5">
        <f t="shared" si="152"/>
        <v>3</v>
      </c>
      <c r="H146" s="65"/>
      <c r="I146" s="66"/>
      <c r="J146" s="66"/>
      <c r="K146" s="66">
        <v>1</v>
      </c>
      <c r="L146" s="66">
        <v>4</v>
      </c>
      <c r="M146" s="5">
        <f t="shared" si="153"/>
        <v>5</v>
      </c>
      <c r="N146" s="28">
        <f t="shared" si="154"/>
        <v>8</v>
      </c>
      <c r="O146" s="31">
        <v>45908</v>
      </c>
      <c r="P146" s="4" t="s">
        <v>83</v>
      </c>
      <c r="Q146" s="45"/>
      <c r="R146" s="45"/>
      <c r="S146" s="45">
        <v>1</v>
      </c>
      <c r="T146" s="46">
        <v>1</v>
      </c>
      <c r="U146" s="5">
        <f t="shared" si="140"/>
        <v>2</v>
      </c>
      <c r="V146" s="45"/>
      <c r="W146" s="45"/>
      <c r="X146" s="45">
        <v>1</v>
      </c>
      <c r="Y146" s="46">
        <v>4</v>
      </c>
      <c r="Z146" s="5">
        <f t="shared" si="141"/>
        <v>5</v>
      </c>
      <c r="AA146" s="28">
        <f t="shared" si="142"/>
        <v>7</v>
      </c>
      <c r="AB146" s="31">
        <v>45905</v>
      </c>
      <c r="AC146" s="69"/>
    </row>
    <row r="147" spans="1:31" x14ac:dyDescent="0.15">
      <c r="A147" s="10" t="s">
        <v>23</v>
      </c>
      <c r="B147" s="44"/>
      <c r="C147" s="45"/>
      <c r="D147" s="45">
        <v>1</v>
      </c>
      <c r="E147" s="45"/>
      <c r="F147" s="45"/>
      <c r="G147" s="5">
        <f t="shared" ref="G147" si="155">SUM(B147:F147)</f>
        <v>1</v>
      </c>
      <c r="H147" s="65"/>
      <c r="I147" s="66"/>
      <c r="J147" s="66"/>
      <c r="K147" s="66"/>
      <c r="L147" s="66"/>
      <c r="M147" s="5">
        <f t="shared" ref="M147" si="156">SUM(H147:L147)</f>
        <v>0</v>
      </c>
      <c r="N147" s="28">
        <f t="shared" ref="N147" si="157">G147+M147</f>
        <v>1</v>
      </c>
      <c r="O147" s="31">
        <v>45909</v>
      </c>
      <c r="P147" s="4" t="s">
        <v>30</v>
      </c>
      <c r="Q147" s="45"/>
      <c r="R147" s="45"/>
      <c r="S147" s="45"/>
      <c r="T147" s="46"/>
      <c r="U147" s="5">
        <f t="shared" si="140"/>
        <v>0</v>
      </c>
      <c r="V147" s="45"/>
      <c r="W147" s="45">
        <v>2</v>
      </c>
      <c r="X147" s="45"/>
      <c r="Y147" s="46">
        <v>2</v>
      </c>
      <c r="Z147" s="5">
        <f t="shared" si="141"/>
        <v>4</v>
      </c>
      <c r="AA147" s="28">
        <f t="shared" si="142"/>
        <v>4</v>
      </c>
      <c r="AB147" s="31">
        <v>45910</v>
      </c>
      <c r="AC147" s="69"/>
    </row>
    <row r="148" spans="1:31" x14ac:dyDescent="0.15">
      <c r="A148" s="4" t="s">
        <v>32</v>
      </c>
      <c r="B148" s="44"/>
      <c r="C148" s="45"/>
      <c r="D148" s="45"/>
      <c r="E148" s="45"/>
      <c r="F148" s="45"/>
      <c r="G148" s="5">
        <f t="shared" si="152"/>
        <v>0</v>
      </c>
      <c r="H148" s="65"/>
      <c r="I148" s="66">
        <v>1</v>
      </c>
      <c r="J148" s="66"/>
      <c r="K148" s="66"/>
      <c r="L148" s="66"/>
      <c r="M148" s="5">
        <f t="shared" si="153"/>
        <v>1</v>
      </c>
      <c r="N148" s="28">
        <f t="shared" si="154"/>
        <v>1</v>
      </c>
      <c r="O148" s="31">
        <v>45919</v>
      </c>
      <c r="P148" s="4" t="s">
        <v>22</v>
      </c>
      <c r="Q148" s="45"/>
      <c r="R148" s="45">
        <v>1</v>
      </c>
      <c r="S148" s="45"/>
      <c r="T148" s="46"/>
      <c r="U148" s="5">
        <f t="shared" si="140"/>
        <v>1</v>
      </c>
      <c r="V148" s="45"/>
      <c r="W148" s="45"/>
      <c r="X148" s="45"/>
      <c r="Y148" s="46"/>
      <c r="Z148" s="5">
        <f t="shared" si="141"/>
        <v>0</v>
      </c>
      <c r="AA148" s="28">
        <f t="shared" si="142"/>
        <v>1</v>
      </c>
      <c r="AB148" s="31">
        <v>45909</v>
      </c>
      <c r="AC148" s="69"/>
      <c r="AD148" s="69"/>
      <c r="AE148" s="69"/>
    </row>
    <row r="149" spans="1:31" x14ac:dyDescent="0.15">
      <c r="A149" s="4" t="s">
        <v>85</v>
      </c>
      <c r="B149" s="44"/>
      <c r="C149" s="45">
        <v>1</v>
      </c>
      <c r="D149" s="45"/>
      <c r="E149" s="45"/>
      <c r="F149" s="45"/>
      <c r="G149" s="5">
        <f t="shared" si="143"/>
        <v>1</v>
      </c>
      <c r="H149" s="65"/>
      <c r="I149" s="66"/>
      <c r="J149" s="66">
        <v>1</v>
      </c>
      <c r="K149" s="66"/>
      <c r="L149" s="66"/>
      <c r="M149" s="5">
        <f t="shared" si="144"/>
        <v>1</v>
      </c>
      <c r="N149" s="28">
        <f t="shared" si="139"/>
        <v>2</v>
      </c>
      <c r="O149" s="31">
        <v>45917</v>
      </c>
      <c r="P149" s="4" t="s">
        <v>31</v>
      </c>
      <c r="Q149" s="45"/>
      <c r="R149" s="45"/>
      <c r="S149" s="45"/>
      <c r="T149" s="46">
        <v>1</v>
      </c>
      <c r="U149" s="5">
        <f t="shared" si="140"/>
        <v>1</v>
      </c>
      <c r="V149" s="45"/>
      <c r="W149" s="45">
        <v>3</v>
      </c>
      <c r="X149" s="45">
        <v>1</v>
      </c>
      <c r="Y149" s="46"/>
      <c r="Z149" s="5">
        <f t="shared" si="141"/>
        <v>4</v>
      </c>
      <c r="AA149" s="28">
        <f t="shared" si="142"/>
        <v>5</v>
      </c>
      <c r="AB149" s="31">
        <v>45912</v>
      </c>
      <c r="AC149" s="69"/>
      <c r="AD149" s="69"/>
      <c r="AE149" s="69"/>
    </row>
    <row r="150" spans="1:31" x14ac:dyDescent="0.15">
      <c r="A150" s="4" t="s">
        <v>33</v>
      </c>
      <c r="B150" s="44"/>
      <c r="C150" s="45">
        <v>1</v>
      </c>
      <c r="D150" s="45">
        <v>1</v>
      </c>
      <c r="E150" s="45">
        <v>1</v>
      </c>
      <c r="F150" s="45"/>
      <c r="G150" s="5">
        <f t="shared" si="143"/>
        <v>3</v>
      </c>
      <c r="H150" s="65"/>
      <c r="I150" s="66">
        <v>2</v>
      </c>
      <c r="J150" s="66"/>
      <c r="K150" s="66">
        <v>1</v>
      </c>
      <c r="L150" s="66"/>
      <c r="M150" s="5">
        <f t="shared" si="144"/>
        <v>3</v>
      </c>
      <c r="N150" s="28">
        <f t="shared" si="139"/>
        <v>6</v>
      </c>
      <c r="O150" s="31">
        <v>45924</v>
      </c>
      <c r="P150" s="4" t="s">
        <v>84</v>
      </c>
      <c r="Q150" s="45">
        <v>3</v>
      </c>
      <c r="R150" s="45">
        <v>5</v>
      </c>
      <c r="S150" s="45">
        <v>5</v>
      </c>
      <c r="T150" s="46">
        <v>5</v>
      </c>
      <c r="U150" s="5">
        <f t="shared" si="140"/>
        <v>18</v>
      </c>
      <c r="V150" s="45">
        <v>2</v>
      </c>
      <c r="W150" s="45">
        <v>5</v>
      </c>
      <c r="X150" s="45">
        <v>5</v>
      </c>
      <c r="Y150" s="46">
        <v>5</v>
      </c>
      <c r="Z150" s="5">
        <f t="shared" si="141"/>
        <v>17</v>
      </c>
      <c r="AA150" s="28">
        <f t="shared" si="142"/>
        <v>35</v>
      </c>
      <c r="AB150" s="31">
        <v>45920</v>
      </c>
      <c r="AC150" s="69"/>
      <c r="AD150" s="69"/>
      <c r="AE150" s="69"/>
    </row>
    <row r="151" spans="1:31" x14ac:dyDescent="0.15">
      <c r="A151" s="4" t="s">
        <v>36</v>
      </c>
      <c r="B151" s="44"/>
      <c r="C151" s="45"/>
      <c r="D151" s="45">
        <v>4</v>
      </c>
      <c r="E151" s="45"/>
      <c r="F151" s="45">
        <v>1</v>
      </c>
      <c r="G151" s="5">
        <f t="shared" si="143"/>
        <v>5</v>
      </c>
      <c r="H151" s="65"/>
      <c r="I151" s="66"/>
      <c r="J151" s="66"/>
      <c r="K151" s="66"/>
      <c r="L151" s="66"/>
      <c r="M151" s="5">
        <f t="shared" si="144"/>
        <v>0</v>
      </c>
      <c r="N151" s="28">
        <f t="shared" si="139"/>
        <v>5</v>
      </c>
      <c r="O151" s="31">
        <v>45926</v>
      </c>
      <c r="P151" s="4" t="s">
        <v>22</v>
      </c>
      <c r="Q151" s="45"/>
      <c r="R151" s="45">
        <v>5</v>
      </c>
      <c r="S151" s="45">
        <v>5</v>
      </c>
      <c r="T151" s="46"/>
      <c r="U151" s="5">
        <f t="shared" si="140"/>
        <v>10</v>
      </c>
      <c r="V151" s="45"/>
      <c r="W151" s="45">
        <v>5</v>
      </c>
      <c r="X151" s="45"/>
      <c r="Y151" s="46"/>
      <c r="Z151" s="5">
        <f t="shared" si="141"/>
        <v>5</v>
      </c>
      <c r="AA151" s="28">
        <f t="shared" si="142"/>
        <v>15</v>
      </c>
      <c r="AB151" s="31">
        <v>45926</v>
      </c>
      <c r="AC151" s="69"/>
      <c r="AD151" s="69"/>
      <c r="AE151" s="69"/>
    </row>
    <row r="152" spans="1:31" x14ac:dyDescent="0.15">
      <c r="A152" s="4" t="s">
        <v>37</v>
      </c>
      <c r="B152" s="44"/>
      <c r="C152" s="45"/>
      <c r="D152" s="45">
        <v>1</v>
      </c>
      <c r="E152" s="45"/>
      <c r="F152" s="45"/>
      <c r="G152" s="5">
        <f t="shared" si="143"/>
        <v>1</v>
      </c>
      <c r="H152" s="65"/>
      <c r="I152" s="66"/>
      <c r="J152" s="66"/>
      <c r="K152" s="66"/>
      <c r="L152" s="66"/>
      <c r="M152" s="5">
        <f t="shared" si="144"/>
        <v>0</v>
      </c>
      <c r="N152" s="28">
        <f t="shared" si="139"/>
        <v>1</v>
      </c>
      <c r="O152" s="31">
        <v>45931</v>
      </c>
      <c r="P152" s="4" t="s">
        <v>86</v>
      </c>
      <c r="Q152" s="45"/>
      <c r="R152" s="45"/>
      <c r="S152" s="45"/>
      <c r="T152" s="46"/>
      <c r="U152" s="5">
        <f t="shared" si="140"/>
        <v>0</v>
      </c>
      <c r="V152" s="45">
        <v>5</v>
      </c>
      <c r="W152" s="45"/>
      <c r="X152" s="45"/>
      <c r="Y152" s="46"/>
      <c r="Z152" s="5">
        <f t="shared" si="141"/>
        <v>5</v>
      </c>
      <c r="AA152" s="28">
        <f t="shared" si="142"/>
        <v>5</v>
      </c>
      <c r="AB152" s="31">
        <v>45947</v>
      </c>
      <c r="AC152" s="69"/>
      <c r="AD152" s="69"/>
      <c r="AE152" s="69"/>
    </row>
    <row r="153" spans="1:31" x14ac:dyDescent="0.15">
      <c r="A153" s="4" t="s">
        <v>41</v>
      </c>
      <c r="B153" s="44"/>
      <c r="C153" s="45">
        <v>1</v>
      </c>
      <c r="D153" s="45"/>
      <c r="E153" s="45"/>
      <c r="F153" s="45"/>
      <c r="G153" s="5">
        <f t="shared" si="143"/>
        <v>1</v>
      </c>
      <c r="H153" s="65"/>
      <c r="I153" s="66"/>
      <c r="J153" s="66"/>
      <c r="K153" s="66"/>
      <c r="L153" s="66"/>
      <c r="M153" s="5">
        <f t="shared" si="144"/>
        <v>0</v>
      </c>
      <c r="N153" s="28">
        <f t="shared" si="139"/>
        <v>1</v>
      </c>
      <c r="O153" s="31">
        <v>45933</v>
      </c>
      <c r="P153" s="4"/>
      <c r="Q153" s="45"/>
      <c r="R153" s="45"/>
      <c r="S153" s="45"/>
      <c r="T153" s="46"/>
      <c r="U153" s="5">
        <f t="shared" si="140"/>
        <v>0</v>
      </c>
      <c r="V153" s="45"/>
      <c r="W153" s="45"/>
      <c r="X153" s="45"/>
      <c r="Y153" s="46"/>
      <c r="Z153" s="5">
        <f t="shared" si="141"/>
        <v>0</v>
      </c>
      <c r="AA153" s="28">
        <f t="shared" si="142"/>
        <v>0</v>
      </c>
      <c r="AB153" s="69"/>
      <c r="AC153" s="69"/>
      <c r="AD153" s="69"/>
      <c r="AE153" s="69"/>
    </row>
    <row r="154" spans="1:31" x14ac:dyDescent="0.15">
      <c r="A154" s="4" t="s">
        <v>23</v>
      </c>
      <c r="B154" s="44"/>
      <c r="C154" s="45"/>
      <c r="D154" s="45">
        <v>1</v>
      </c>
      <c r="E154" s="45"/>
      <c r="F154" s="45"/>
      <c r="G154" s="5">
        <f t="shared" si="143"/>
        <v>1</v>
      </c>
      <c r="H154" s="65"/>
      <c r="I154" s="66"/>
      <c r="J154" s="66"/>
      <c r="K154" s="66"/>
      <c r="L154" s="66"/>
      <c r="M154" s="5">
        <f t="shared" si="144"/>
        <v>0</v>
      </c>
      <c r="N154" s="28">
        <f t="shared" si="139"/>
        <v>1</v>
      </c>
      <c r="O154" s="31">
        <v>45936</v>
      </c>
      <c r="P154" s="4"/>
      <c r="Q154" s="45"/>
      <c r="R154" s="45"/>
      <c r="S154" s="45"/>
      <c r="T154" s="46"/>
      <c r="U154" s="5">
        <f t="shared" si="140"/>
        <v>0</v>
      </c>
      <c r="V154" s="45"/>
      <c r="W154" s="45"/>
      <c r="X154" s="45"/>
      <c r="Y154" s="46"/>
      <c r="Z154" s="5">
        <f t="shared" si="141"/>
        <v>0</v>
      </c>
      <c r="AA154" s="28">
        <f t="shared" si="142"/>
        <v>0</v>
      </c>
      <c r="AB154" s="69"/>
      <c r="AC154" s="69"/>
      <c r="AD154" s="69"/>
      <c r="AE154" s="69"/>
    </row>
    <row r="155" spans="1:31" x14ac:dyDescent="0.15">
      <c r="A155" s="4" t="s">
        <v>51</v>
      </c>
      <c r="B155" s="44"/>
      <c r="C155" s="45"/>
      <c r="D155" s="45"/>
      <c r="E155" s="45"/>
      <c r="F155" s="45"/>
      <c r="G155" s="5">
        <f t="shared" si="143"/>
        <v>0</v>
      </c>
      <c r="H155" s="65"/>
      <c r="I155" s="66"/>
      <c r="J155" s="66"/>
      <c r="K155" s="66"/>
      <c r="L155" s="66">
        <v>1</v>
      </c>
      <c r="M155" s="5">
        <f t="shared" si="144"/>
        <v>1</v>
      </c>
      <c r="N155" s="28">
        <f t="shared" si="139"/>
        <v>1</v>
      </c>
      <c r="O155" s="31">
        <v>45947</v>
      </c>
      <c r="P155" s="4"/>
      <c r="Q155" s="60"/>
      <c r="R155" s="60"/>
      <c r="S155" s="45"/>
      <c r="T155" s="46"/>
      <c r="U155" s="5">
        <f t="shared" si="140"/>
        <v>0</v>
      </c>
      <c r="V155" s="45"/>
      <c r="W155" s="45"/>
      <c r="X155" s="45"/>
      <c r="Y155" s="46"/>
      <c r="Z155" s="5">
        <f t="shared" si="141"/>
        <v>0</v>
      </c>
      <c r="AA155" s="28">
        <f t="shared" si="142"/>
        <v>0</v>
      </c>
    </row>
    <row r="156" spans="1:31" x14ac:dyDescent="0.15">
      <c r="A156" s="4" t="s">
        <v>52</v>
      </c>
      <c r="B156" s="44"/>
      <c r="C156" s="45"/>
      <c r="D156" s="45"/>
      <c r="E156" s="45"/>
      <c r="F156" s="45"/>
      <c r="G156" s="5">
        <f t="shared" si="143"/>
        <v>0</v>
      </c>
      <c r="H156" s="65"/>
      <c r="I156" s="66">
        <v>1</v>
      </c>
      <c r="J156" s="66"/>
      <c r="K156" s="66"/>
      <c r="L156" s="66"/>
      <c r="M156" s="5">
        <f t="shared" si="144"/>
        <v>1</v>
      </c>
      <c r="N156" s="28">
        <f t="shared" si="139"/>
        <v>1</v>
      </c>
      <c r="O156" s="31">
        <v>45950</v>
      </c>
      <c r="P156" s="4"/>
      <c r="Q156" s="60"/>
      <c r="R156" s="60"/>
      <c r="S156" s="45"/>
      <c r="T156" s="46"/>
      <c r="U156" s="5">
        <f t="shared" si="140"/>
        <v>0</v>
      </c>
      <c r="V156" s="45"/>
      <c r="W156" s="45"/>
      <c r="X156" s="45"/>
      <c r="Y156" s="46"/>
      <c r="Z156" s="5">
        <f t="shared" si="141"/>
        <v>0</v>
      </c>
      <c r="AA156" s="28">
        <f t="shared" si="142"/>
        <v>0</v>
      </c>
    </row>
    <row r="157" spans="1:31" x14ac:dyDescent="0.15">
      <c r="A157" s="4" t="s">
        <v>55</v>
      </c>
      <c r="B157" s="44"/>
      <c r="C157" s="45">
        <v>2</v>
      </c>
      <c r="D157" s="45"/>
      <c r="E157" s="45"/>
      <c r="F157" s="45"/>
      <c r="G157" s="5">
        <f t="shared" si="143"/>
        <v>2</v>
      </c>
      <c r="H157" s="65"/>
      <c r="I157" s="66">
        <v>2</v>
      </c>
      <c r="J157" s="66"/>
      <c r="K157" s="66"/>
      <c r="L157" s="66"/>
      <c r="M157" s="5">
        <f t="shared" si="144"/>
        <v>2</v>
      </c>
      <c r="N157" s="28">
        <f t="shared" si="139"/>
        <v>4</v>
      </c>
      <c r="O157" s="31">
        <v>45961</v>
      </c>
      <c r="P157" s="4"/>
      <c r="Q157" s="60"/>
      <c r="R157" s="60"/>
      <c r="S157" s="45"/>
      <c r="T157" s="46"/>
      <c r="U157" s="5">
        <f t="shared" si="140"/>
        <v>0</v>
      </c>
      <c r="V157" s="45"/>
      <c r="W157" s="45"/>
      <c r="X157" s="45"/>
      <c r="Y157" s="46"/>
      <c r="Z157" s="5">
        <f t="shared" si="141"/>
        <v>0</v>
      </c>
      <c r="AA157" s="28">
        <f t="shared" si="142"/>
        <v>0</v>
      </c>
    </row>
    <row r="158" spans="1:31" x14ac:dyDescent="0.15">
      <c r="A158" s="4" t="s">
        <v>60</v>
      </c>
      <c r="B158" s="44"/>
      <c r="C158" s="45"/>
      <c r="D158" s="45"/>
      <c r="E158" s="45">
        <v>2</v>
      </c>
      <c r="F158" s="45"/>
      <c r="G158" s="5">
        <f t="shared" si="143"/>
        <v>2</v>
      </c>
      <c r="H158" s="65"/>
      <c r="I158" s="66"/>
      <c r="J158" s="66"/>
      <c r="K158" s="66"/>
      <c r="L158" s="66"/>
      <c r="M158" s="5">
        <f t="shared" si="144"/>
        <v>0</v>
      </c>
      <c r="N158" s="28">
        <f t="shared" si="139"/>
        <v>2</v>
      </c>
      <c r="O158" s="31">
        <v>45982</v>
      </c>
      <c r="P158" s="4"/>
      <c r="Q158" s="60"/>
      <c r="R158" s="60"/>
      <c r="S158" s="45"/>
      <c r="T158" s="46"/>
      <c r="U158" s="5">
        <f t="shared" si="140"/>
        <v>0</v>
      </c>
      <c r="V158" s="45"/>
      <c r="W158" s="45"/>
      <c r="X158" s="45"/>
      <c r="Y158" s="46"/>
      <c r="Z158" s="5">
        <f t="shared" si="141"/>
        <v>0</v>
      </c>
      <c r="AA158" s="28">
        <f t="shared" si="142"/>
        <v>0</v>
      </c>
    </row>
    <row r="159" spans="1:31" x14ac:dyDescent="0.15">
      <c r="A159" s="4" t="s">
        <v>23</v>
      </c>
      <c r="B159" s="44"/>
      <c r="C159" s="45"/>
      <c r="D159" s="45"/>
      <c r="E159" s="45"/>
      <c r="F159" s="45"/>
      <c r="G159" s="5">
        <f t="shared" si="143"/>
        <v>0</v>
      </c>
      <c r="H159" s="65"/>
      <c r="I159" s="66"/>
      <c r="J159" s="66"/>
      <c r="K159" s="66"/>
      <c r="L159" s="66">
        <v>1</v>
      </c>
      <c r="M159" s="5">
        <f t="shared" si="144"/>
        <v>1</v>
      </c>
      <c r="N159" s="28">
        <f t="shared" si="139"/>
        <v>1</v>
      </c>
      <c r="O159" s="31">
        <v>45989</v>
      </c>
      <c r="P159" s="4"/>
      <c r="Q159" s="60"/>
      <c r="R159" s="60"/>
      <c r="S159" s="45"/>
      <c r="T159" s="46"/>
      <c r="U159" s="5">
        <f t="shared" si="140"/>
        <v>0</v>
      </c>
      <c r="V159" s="45"/>
      <c r="W159" s="45"/>
      <c r="X159" s="45"/>
      <c r="Y159" s="46"/>
      <c r="Z159" s="5">
        <f t="shared" si="141"/>
        <v>0</v>
      </c>
      <c r="AA159" s="28">
        <f t="shared" si="142"/>
        <v>0</v>
      </c>
    </row>
    <row r="160" spans="1:31" x14ac:dyDescent="0.15">
      <c r="A160" s="4" t="s">
        <v>88</v>
      </c>
      <c r="B160" s="44"/>
      <c r="C160" s="45"/>
      <c r="D160" s="45"/>
      <c r="E160" s="45"/>
      <c r="F160" s="45"/>
      <c r="G160" s="5">
        <f t="shared" si="143"/>
        <v>0</v>
      </c>
      <c r="H160" s="65"/>
      <c r="I160" s="66"/>
      <c r="J160" s="66">
        <v>1</v>
      </c>
      <c r="K160" s="66"/>
      <c r="L160" s="66"/>
      <c r="M160" s="5">
        <f t="shared" si="144"/>
        <v>1</v>
      </c>
      <c r="N160" s="28">
        <f t="shared" si="139"/>
        <v>1</v>
      </c>
      <c r="O160" s="31">
        <v>45995</v>
      </c>
      <c r="P160" s="4"/>
      <c r="Q160" s="60"/>
      <c r="R160" s="60"/>
      <c r="S160" s="45"/>
      <c r="T160" s="46"/>
      <c r="U160" s="5">
        <f t="shared" si="140"/>
        <v>0</v>
      </c>
      <c r="V160" s="45"/>
      <c r="W160" s="45"/>
      <c r="X160" s="45"/>
      <c r="Y160" s="46"/>
      <c r="Z160" s="5">
        <f t="shared" si="141"/>
        <v>0</v>
      </c>
      <c r="AA160" s="28">
        <f t="shared" si="142"/>
        <v>0</v>
      </c>
    </row>
    <row r="161" spans="1:30" x14ac:dyDescent="0.15">
      <c r="A161" s="4" t="s">
        <v>89</v>
      </c>
      <c r="B161" s="44"/>
      <c r="C161" s="45"/>
      <c r="D161" s="45"/>
      <c r="E161" s="45"/>
      <c r="F161" s="45"/>
      <c r="G161" s="5">
        <f t="shared" si="143"/>
        <v>0</v>
      </c>
      <c r="H161" s="65"/>
      <c r="I161" s="66"/>
      <c r="J161" s="66"/>
      <c r="K161" s="66"/>
      <c r="L161" s="66">
        <v>1</v>
      </c>
      <c r="M161" s="5">
        <f t="shared" si="144"/>
        <v>1</v>
      </c>
      <c r="N161" s="28">
        <f t="shared" si="139"/>
        <v>1</v>
      </c>
      <c r="O161" s="31">
        <v>46002</v>
      </c>
      <c r="P161" s="4"/>
      <c r="Q161" s="60"/>
      <c r="R161" s="60"/>
      <c r="S161" s="45"/>
      <c r="T161" s="46"/>
      <c r="U161" s="5">
        <f t="shared" si="140"/>
        <v>0</v>
      </c>
      <c r="V161" s="45"/>
      <c r="W161" s="45"/>
      <c r="X161" s="45"/>
      <c r="Y161" s="46"/>
      <c r="Z161" s="5">
        <f t="shared" si="141"/>
        <v>0</v>
      </c>
      <c r="AA161" s="28">
        <f t="shared" si="142"/>
        <v>0</v>
      </c>
    </row>
    <row r="162" spans="1:30" x14ac:dyDescent="0.15">
      <c r="A162" s="4" t="s">
        <v>23</v>
      </c>
      <c r="B162" s="44"/>
      <c r="C162" s="45">
        <v>1</v>
      </c>
      <c r="D162" s="45"/>
      <c r="E162" s="45"/>
      <c r="F162" s="45"/>
      <c r="G162" s="5">
        <f t="shared" si="143"/>
        <v>1</v>
      </c>
      <c r="H162" s="65"/>
      <c r="I162" s="66"/>
      <c r="J162" s="66"/>
      <c r="K162" s="66"/>
      <c r="L162" s="66"/>
      <c r="M162" s="5">
        <f t="shared" si="144"/>
        <v>0</v>
      </c>
      <c r="N162" s="28">
        <f t="shared" si="139"/>
        <v>1</v>
      </c>
      <c r="O162" s="31">
        <v>46027</v>
      </c>
      <c r="P162" s="4"/>
      <c r="Q162" s="60"/>
      <c r="R162" s="60"/>
      <c r="S162" s="45"/>
      <c r="T162" s="46"/>
      <c r="U162" s="5">
        <f t="shared" si="140"/>
        <v>0</v>
      </c>
      <c r="V162" s="45"/>
      <c r="W162" s="45"/>
      <c r="X162" s="45"/>
      <c r="Y162" s="46"/>
      <c r="Z162" s="5">
        <f t="shared" si="141"/>
        <v>0</v>
      </c>
      <c r="AA162" s="28">
        <f t="shared" si="142"/>
        <v>0</v>
      </c>
    </row>
    <row r="163" spans="1:30" x14ac:dyDescent="0.15">
      <c r="A163" s="4" t="s">
        <v>23</v>
      </c>
      <c r="B163" s="44"/>
      <c r="C163" s="45">
        <v>1</v>
      </c>
      <c r="D163" s="45"/>
      <c r="E163" s="45"/>
      <c r="F163" s="45"/>
      <c r="G163" s="5">
        <f t="shared" si="143"/>
        <v>1</v>
      </c>
      <c r="H163" s="65"/>
      <c r="I163" s="66"/>
      <c r="J163" s="66"/>
      <c r="K163" s="66"/>
      <c r="L163" s="66"/>
      <c r="M163" s="5">
        <f t="shared" si="144"/>
        <v>0</v>
      </c>
      <c r="N163" s="28">
        <f t="shared" si="139"/>
        <v>1</v>
      </c>
      <c r="O163" s="31">
        <v>46044</v>
      </c>
      <c r="P163" s="4"/>
      <c r="Q163" s="60"/>
      <c r="R163" s="60"/>
      <c r="S163" s="45"/>
      <c r="T163" s="46"/>
      <c r="U163" s="5">
        <f t="shared" si="140"/>
        <v>0</v>
      </c>
      <c r="V163" s="45"/>
      <c r="W163" s="45"/>
      <c r="X163" s="45"/>
      <c r="Y163" s="46"/>
      <c r="Z163" s="5">
        <f t="shared" si="141"/>
        <v>0</v>
      </c>
      <c r="AA163" s="28">
        <f t="shared" si="142"/>
        <v>0</v>
      </c>
    </row>
    <row r="164" spans="1:30" x14ac:dyDescent="0.15">
      <c r="A164" s="4" t="s">
        <v>23</v>
      </c>
      <c r="B164" s="44"/>
      <c r="C164" s="45"/>
      <c r="D164" s="45"/>
      <c r="E164" s="45"/>
      <c r="F164" s="45"/>
      <c r="G164" s="5">
        <f t="shared" si="143"/>
        <v>0</v>
      </c>
      <c r="H164" s="65"/>
      <c r="I164" s="66"/>
      <c r="J164" s="66">
        <v>1</v>
      </c>
      <c r="K164" s="66"/>
      <c r="L164" s="66"/>
      <c r="M164" s="5">
        <f t="shared" si="144"/>
        <v>1</v>
      </c>
      <c r="N164" s="28">
        <f t="shared" si="139"/>
        <v>1</v>
      </c>
      <c r="O164" s="31">
        <v>46069</v>
      </c>
      <c r="P164" s="11"/>
      <c r="Q164" s="60"/>
      <c r="R164" s="60"/>
      <c r="S164" s="45"/>
      <c r="T164" s="46"/>
      <c r="U164" s="5">
        <f t="shared" si="140"/>
        <v>0</v>
      </c>
      <c r="V164" s="45"/>
      <c r="W164" s="45"/>
      <c r="X164" s="45"/>
      <c r="Y164" s="46"/>
      <c r="Z164" s="5">
        <f t="shared" si="141"/>
        <v>0</v>
      </c>
      <c r="AA164" s="28">
        <f t="shared" si="142"/>
        <v>0</v>
      </c>
    </row>
    <row r="165" spans="1:30" x14ac:dyDescent="0.15">
      <c r="A165" s="4" t="s">
        <v>23</v>
      </c>
      <c r="B165" s="44">
        <v>1</v>
      </c>
      <c r="C165" s="45"/>
      <c r="D165" s="45"/>
      <c r="E165" s="45"/>
      <c r="F165" s="45"/>
      <c r="G165" s="5">
        <f t="shared" si="143"/>
        <v>1</v>
      </c>
      <c r="H165" s="65"/>
      <c r="I165" s="66"/>
      <c r="J165" s="66"/>
      <c r="K165" s="66"/>
      <c r="L165" s="66"/>
      <c r="M165" s="5">
        <f t="shared" si="144"/>
        <v>0</v>
      </c>
      <c r="N165" s="28">
        <f t="shared" si="139"/>
        <v>1</v>
      </c>
      <c r="O165" s="31">
        <v>46086</v>
      </c>
      <c r="P165" s="4"/>
      <c r="Q165" s="60"/>
      <c r="R165" s="60"/>
      <c r="S165" s="45"/>
      <c r="T165" s="46"/>
      <c r="U165" s="5">
        <f t="shared" si="140"/>
        <v>0</v>
      </c>
      <c r="V165" s="54"/>
      <c r="W165" s="54"/>
      <c r="X165" s="54"/>
      <c r="Y165" s="55"/>
      <c r="Z165" s="5">
        <f t="shared" si="141"/>
        <v>0</v>
      </c>
      <c r="AA165" s="28">
        <f t="shared" si="142"/>
        <v>0</v>
      </c>
    </row>
    <row r="166" spans="1:30" x14ac:dyDescent="0.15">
      <c r="A166" s="4" t="s">
        <v>23</v>
      </c>
      <c r="B166" s="44"/>
      <c r="C166" s="45"/>
      <c r="D166" s="45"/>
      <c r="E166" s="45"/>
      <c r="F166" s="45"/>
      <c r="G166" s="5">
        <f t="shared" si="143"/>
        <v>0</v>
      </c>
      <c r="H166" s="65"/>
      <c r="I166" s="66">
        <v>1</v>
      </c>
      <c r="J166" s="66"/>
      <c r="K166" s="66"/>
      <c r="L166" s="66"/>
      <c r="M166" s="5">
        <f t="shared" si="144"/>
        <v>1</v>
      </c>
      <c r="N166" s="28">
        <f t="shared" si="139"/>
        <v>1</v>
      </c>
      <c r="O166" s="31">
        <v>46090</v>
      </c>
      <c r="P166" s="4"/>
      <c r="Q166" s="60"/>
      <c r="R166" s="60"/>
      <c r="S166" s="45"/>
      <c r="T166" s="46"/>
      <c r="U166" s="5">
        <f t="shared" si="140"/>
        <v>0</v>
      </c>
      <c r="V166" s="66"/>
      <c r="W166" s="66"/>
      <c r="X166" s="66"/>
      <c r="Y166" s="67"/>
      <c r="Z166" s="5">
        <f t="shared" si="141"/>
        <v>0</v>
      </c>
      <c r="AA166" s="28">
        <f t="shared" si="142"/>
        <v>0</v>
      </c>
    </row>
    <row r="167" spans="1:30" x14ac:dyDescent="0.15">
      <c r="A167" s="4" t="s">
        <v>23</v>
      </c>
      <c r="B167" s="44"/>
      <c r="C167" s="45"/>
      <c r="D167" s="45"/>
      <c r="E167" s="45">
        <v>1</v>
      </c>
      <c r="F167" s="45"/>
      <c r="G167" s="5">
        <f t="shared" si="143"/>
        <v>1</v>
      </c>
      <c r="H167" s="44"/>
      <c r="I167" s="45"/>
      <c r="J167" s="45"/>
      <c r="K167" s="45"/>
      <c r="L167" s="45"/>
      <c r="M167" s="5">
        <f t="shared" si="144"/>
        <v>0</v>
      </c>
      <c r="N167" s="28">
        <f t="shared" si="139"/>
        <v>1</v>
      </c>
      <c r="O167" s="31">
        <v>46092</v>
      </c>
      <c r="P167" s="4"/>
      <c r="Q167" s="60"/>
      <c r="R167" s="60"/>
      <c r="S167" s="45"/>
      <c r="T167" s="46"/>
      <c r="U167" s="5">
        <f t="shared" si="140"/>
        <v>0</v>
      </c>
      <c r="V167" s="45"/>
      <c r="W167" s="45"/>
      <c r="X167" s="45"/>
      <c r="Y167" s="46"/>
      <c r="Z167" s="5">
        <f t="shared" si="141"/>
        <v>0</v>
      </c>
      <c r="AA167" s="28">
        <f t="shared" si="142"/>
        <v>0</v>
      </c>
    </row>
    <row r="168" spans="1:30" ht="14.25" thickBot="1" x14ac:dyDescent="0.2">
      <c r="A168" s="4" t="s">
        <v>23</v>
      </c>
      <c r="B168" s="44"/>
      <c r="C168" s="68"/>
      <c r="D168" s="45"/>
      <c r="E168" s="45">
        <v>1</v>
      </c>
      <c r="F168" s="45"/>
      <c r="G168" s="7">
        <f t="shared" si="143"/>
        <v>1</v>
      </c>
      <c r="H168" s="44"/>
      <c r="I168" s="68"/>
      <c r="J168" s="68"/>
      <c r="K168" s="68"/>
      <c r="L168" s="68"/>
      <c r="M168" s="5">
        <f t="shared" si="144"/>
        <v>0</v>
      </c>
      <c r="N168" s="29">
        <f t="shared" si="139"/>
        <v>1</v>
      </c>
      <c r="O168" s="31">
        <v>46106</v>
      </c>
      <c r="P168" s="4" t="s">
        <v>80</v>
      </c>
      <c r="Q168" s="68"/>
      <c r="R168" s="45"/>
      <c r="S168" s="45"/>
      <c r="T168" s="46"/>
      <c r="U168" s="7">
        <f t="shared" si="140"/>
        <v>0</v>
      </c>
      <c r="V168" s="68"/>
      <c r="W168" s="45"/>
      <c r="X168" s="45"/>
      <c r="Y168" s="46"/>
      <c r="Z168" s="5">
        <f t="shared" si="141"/>
        <v>0</v>
      </c>
      <c r="AA168" s="29">
        <f t="shared" si="142"/>
        <v>0</v>
      </c>
      <c r="AB168" s="69" t="s">
        <v>81</v>
      </c>
      <c r="AC168" s="69"/>
      <c r="AD168" s="69"/>
    </row>
    <row r="169" spans="1:30" ht="14.25" thickBot="1" x14ac:dyDescent="0.2">
      <c r="A169" s="2" t="s">
        <v>6</v>
      </c>
      <c r="B169" s="50">
        <f>SUM(B145:B168)</f>
        <v>1</v>
      </c>
      <c r="C169" s="51">
        <f t="shared" ref="C169:F169" si="158">SUM(C145:C168)</f>
        <v>8</v>
      </c>
      <c r="D169" s="51">
        <f t="shared" si="158"/>
        <v>9</v>
      </c>
      <c r="E169" s="51">
        <f t="shared" si="158"/>
        <v>6</v>
      </c>
      <c r="F169" s="51">
        <f t="shared" si="158"/>
        <v>2</v>
      </c>
      <c r="G169" s="9">
        <f t="shared" si="143"/>
        <v>26</v>
      </c>
      <c r="H169" s="50">
        <f>SUM(H145:H168)</f>
        <v>0</v>
      </c>
      <c r="I169" s="51">
        <f t="shared" ref="I169:L169" si="159">SUM(I145:I168)</f>
        <v>7</v>
      </c>
      <c r="J169" s="51">
        <f t="shared" si="159"/>
        <v>3</v>
      </c>
      <c r="K169" s="51">
        <f t="shared" si="159"/>
        <v>2</v>
      </c>
      <c r="L169" s="51">
        <f t="shared" si="159"/>
        <v>7</v>
      </c>
      <c r="M169" s="9">
        <f t="shared" si="144"/>
        <v>19</v>
      </c>
      <c r="N169" s="26">
        <f t="shared" si="139"/>
        <v>45</v>
      </c>
      <c r="P169" s="2" t="s">
        <v>6</v>
      </c>
      <c r="Q169" s="51">
        <f t="shared" ref="Q169:T169" si="160">SUM(Q145:Q168)</f>
        <v>3</v>
      </c>
      <c r="R169" s="51">
        <f t="shared" si="160"/>
        <v>11</v>
      </c>
      <c r="S169" s="51">
        <f t="shared" si="160"/>
        <v>11</v>
      </c>
      <c r="T169" s="52">
        <f t="shared" si="160"/>
        <v>7</v>
      </c>
      <c r="U169" s="9">
        <f t="shared" si="140"/>
        <v>32</v>
      </c>
      <c r="V169" s="51">
        <f t="shared" ref="V169:Y169" si="161">SUM(V145:V168)</f>
        <v>7</v>
      </c>
      <c r="W169" s="51">
        <f t="shared" si="161"/>
        <v>15</v>
      </c>
      <c r="X169" s="51">
        <f t="shared" si="161"/>
        <v>7</v>
      </c>
      <c r="Y169" s="52">
        <f t="shared" si="161"/>
        <v>13</v>
      </c>
      <c r="Z169" s="9">
        <f t="shared" si="141"/>
        <v>42</v>
      </c>
      <c r="AA169" s="26">
        <f t="shared" si="142"/>
        <v>74</v>
      </c>
    </row>
    <row r="170" spans="1:30" ht="14.25" thickBot="1" x14ac:dyDescent="0.2">
      <c r="A170" s="12" t="s">
        <v>7</v>
      </c>
      <c r="B170" s="62">
        <f>B144-B169</f>
        <v>0</v>
      </c>
      <c r="C170" s="63">
        <f t="shared" ref="C170:G170" si="162">C144-C169</f>
        <v>3</v>
      </c>
      <c r="D170" s="63">
        <f t="shared" si="162"/>
        <v>5</v>
      </c>
      <c r="E170" s="63">
        <f t="shared" si="162"/>
        <v>1</v>
      </c>
      <c r="F170" s="63">
        <f t="shared" si="162"/>
        <v>5</v>
      </c>
      <c r="G170" s="9">
        <f t="shared" si="162"/>
        <v>14</v>
      </c>
      <c r="H170" s="62">
        <f>H144-H169</f>
        <v>1</v>
      </c>
      <c r="I170" s="63">
        <f t="shared" ref="I170:M170" si="163">I144-I169</f>
        <v>2</v>
      </c>
      <c r="J170" s="63">
        <f t="shared" si="163"/>
        <v>5</v>
      </c>
      <c r="K170" s="63">
        <f t="shared" si="163"/>
        <v>4</v>
      </c>
      <c r="L170" s="63">
        <f t="shared" si="163"/>
        <v>2</v>
      </c>
      <c r="M170" s="9">
        <f t="shared" si="163"/>
        <v>14</v>
      </c>
      <c r="N170" s="26">
        <f t="shared" si="139"/>
        <v>28</v>
      </c>
      <c r="P170" s="12" t="s">
        <v>7</v>
      </c>
      <c r="Q170" s="63">
        <f t="shared" ref="Q170:U170" si="164">Q144-Q169</f>
        <v>0</v>
      </c>
      <c r="R170" s="63">
        <f t="shared" si="164"/>
        <v>0</v>
      </c>
      <c r="S170" s="63">
        <f t="shared" si="164"/>
        <v>0</v>
      </c>
      <c r="T170" s="64">
        <f t="shared" si="164"/>
        <v>0</v>
      </c>
      <c r="U170" s="9">
        <f t="shared" si="164"/>
        <v>0</v>
      </c>
      <c r="V170" s="63">
        <f t="shared" ref="V170:Z170" si="165">V144-V169</f>
        <v>0</v>
      </c>
      <c r="W170" s="63">
        <f t="shared" si="165"/>
        <v>0</v>
      </c>
      <c r="X170" s="63">
        <f t="shared" si="165"/>
        <v>0</v>
      </c>
      <c r="Y170" s="64">
        <f t="shared" si="165"/>
        <v>0</v>
      </c>
      <c r="Z170" s="9">
        <f t="shared" si="165"/>
        <v>0</v>
      </c>
      <c r="AA170" s="26">
        <f t="shared" si="142"/>
        <v>0</v>
      </c>
    </row>
    <row r="171" spans="1:30" x14ac:dyDescent="0.15">
      <c r="P171" s="94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</row>
    <row r="172" spans="1:30" ht="30.75" x14ac:dyDescent="0.1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</row>
    <row r="173" spans="1:30" ht="21.75" thickBot="1" x14ac:dyDescent="0.25">
      <c r="A173" s="21" t="s">
        <v>15</v>
      </c>
      <c r="B173" s="22"/>
      <c r="C173" s="22"/>
      <c r="D173" s="22"/>
      <c r="E173" s="22"/>
      <c r="F173" s="22"/>
      <c r="G173" s="14"/>
      <c r="H173" s="22"/>
      <c r="I173" s="22"/>
      <c r="J173" s="22"/>
      <c r="K173" s="22"/>
      <c r="L173" s="22"/>
      <c r="M173" s="14"/>
      <c r="P173" s="21" t="s">
        <v>19</v>
      </c>
      <c r="Q173" s="22"/>
      <c r="R173" s="22"/>
      <c r="S173" s="22"/>
      <c r="T173" s="22"/>
      <c r="U173" s="22"/>
      <c r="V173" s="14"/>
      <c r="W173" s="22"/>
      <c r="X173" s="22"/>
      <c r="Y173" s="22"/>
      <c r="Z173" s="22"/>
      <c r="AA173" s="22"/>
    </row>
    <row r="174" spans="1:30" ht="14.25" thickBot="1" x14ac:dyDescent="0.2">
      <c r="A174" s="1" t="s">
        <v>0</v>
      </c>
      <c r="B174" s="102" t="s">
        <v>13</v>
      </c>
      <c r="C174" s="103"/>
      <c r="D174" s="103"/>
      <c r="E174" s="103"/>
      <c r="F174" s="103"/>
      <c r="G174" s="104"/>
      <c r="H174" s="105" t="s">
        <v>14</v>
      </c>
      <c r="I174" s="106"/>
      <c r="J174" s="106"/>
      <c r="K174" s="106"/>
      <c r="L174" s="106"/>
      <c r="M174" s="107"/>
      <c r="N174" s="25"/>
      <c r="P174" s="1" t="s">
        <v>0</v>
      </c>
      <c r="Q174" s="102" t="s">
        <v>13</v>
      </c>
      <c r="R174" s="103"/>
      <c r="S174" s="103"/>
      <c r="T174" s="103"/>
      <c r="U174" s="104"/>
      <c r="V174" s="105" t="s">
        <v>14</v>
      </c>
      <c r="W174" s="106"/>
      <c r="X174" s="106"/>
      <c r="Y174" s="106"/>
      <c r="Z174" s="107"/>
      <c r="AA174" s="25"/>
    </row>
    <row r="175" spans="1:30" ht="14.25" thickBot="1" x14ac:dyDescent="0.2">
      <c r="A175" s="1" t="s">
        <v>1</v>
      </c>
      <c r="B175" s="32" t="s">
        <v>8</v>
      </c>
      <c r="C175" s="33" t="s">
        <v>9</v>
      </c>
      <c r="D175" s="33" t="s">
        <v>10</v>
      </c>
      <c r="E175" s="33" t="s">
        <v>11</v>
      </c>
      <c r="F175" s="33" t="s">
        <v>12</v>
      </c>
      <c r="G175" s="1" t="s">
        <v>2</v>
      </c>
      <c r="H175" s="32" t="s">
        <v>8</v>
      </c>
      <c r="I175" s="33" t="s">
        <v>9</v>
      </c>
      <c r="J175" s="33" t="s">
        <v>10</v>
      </c>
      <c r="K175" s="33" t="s">
        <v>11</v>
      </c>
      <c r="L175" s="33" t="s">
        <v>12</v>
      </c>
      <c r="M175" s="1" t="s">
        <v>2</v>
      </c>
      <c r="N175" s="27" t="s">
        <v>16</v>
      </c>
      <c r="P175" s="1" t="s">
        <v>1</v>
      </c>
      <c r="Q175" s="33" t="s">
        <v>9</v>
      </c>
      <c r="R175" s="33" t="s">
        <v>10</v>
      </c>
      <c r="S175" s="33" t="s">
        <v>11</v>
      </c>
      <c r="T175" s="34" t="s">
        <v>12</v>
      </c>
      <c r="U175" s="1" t="s">
        <v>2</v>
      </c>
      <c r="V175" s="33" t="s">
        <v>9</v>
      </c>
      <c r="W175" s="33" t="s">
        <v>10</v>
      </c>
      <c r="X175" s="33" t="s">
        <v>11</v>
      </c>
      <c r="Y175" s="34" t="s">
        <v>12</v>
      </c>
      <c r="Z175" s="1" t="s">
        <v>2</v>
      </c>
      <c r="AA175" s="27" t="s">
        <v>16</v>
      </c>
    </row>
    <row r="176" spans="1:30" ht="14.25" thickBot="1" x14ac:dyDescent="0.2">
      <c r="A176" s="18" t="s">
        <v>7</v>
      </c>
      <c r="B176" s="35">
        <f>B170</f>
        <v>0</v>
      </c>
      <c r="C176" s="36">
        <f t="shared" ref="C176:F176" si="166">C170</f>
        <v>3</v>
      </c>
      <c r="D176" s="36">
        <f t="shared" si="166"/>
        <v>5</v>
      </c>
      <c r="E176" s="36">
        <f t="shared" si="166"/>
        <v>1</v>
      </c>
      <c r="F176" s="36">
        <f t="shared" si="166"/>
        <v>5</v>
      </c>
      <c r="G176" s="9">
        <f>SUM(B176:F176)</f>
        <v>14</v>
      </c>
      <c r="H176" s="35">
        <f>H170</f>
        <v>1</v>
      </c>
      <c r="I176" s="36">
        <f t="shared" ref="I176:L176" si="167">I170</f>
        <v>2</v>
      </c>
      <c r="J176" s="36">
        <f t="shared" si="167"/>
        <v>5</v>
      </c>
      <c r="K176" s="36">
        <f t="shared" si="167"/>
        <v>4</v>
      </c>
      <c r="L176" s="36">
        <f t="shared" si="167"/>
        <v>2</v>
      </c>
      <c r="M176" s="9">
        <f>SUM(H176:L176)</f>
        <v>14</v>
      </c>
      <c r="N176" s="26">
        <f t="shared" ref="N176:N213" si="168">G176+M176</f>
        <v>28</v>
      </c>
      <c r="P176" s="18" t="s">
        <v>7</v>
      </c>
      <c r="Q176" s="36">
        <f>R170</f>
        <v>0</v>
      </c>
      <c r="R176" s="36">
        <f>S170</f>
        <v>0</v>
      </c>
      <c r="S176" s="36">
        <f>T170</f>
        <v>0</v>
      </c>
      <c r="T176" s="37">
        <f>U170</f>
        <v>0</v>
      </c>
      <c r="U176" s="9">
        <f t="shared" ref="U176:U212" si="169">SUM(Q176:T176)</f>
        <v>0</v>
      </c>
      <c r="V176" s="36">
        <f>X170</f>
        <v>0</v>
      </c>
      <c r="W176" s="36">
        <f>Y170</f>
        <v>0</v>
      </c>
      <c r="X176" s="36">
        <f>Z170</f>
        <v>0</v>
      </c>
      <c r="Y176" s="37">
        <f>AA170</f>
        <v>0</v>
      </c>
      <c r="Z176" s="9">
        <f t="shared" ref="Z176:Z212" si="170">SUM(V176:Y176)</f>
        <v>0</v>
      </c>
      <c r="AA176" s="26">
        <f t="shared" ref="AA176:AA213" si="171">U176+Z176</f>
        <v>0</v>
      </c>
    </row>
    <row r="177" spans="1:27" x14ac:dyDescent="0.15">
      <c r="A177" s="3" t="s">
        <v>4</v>
      </c>
      <c r="B177" s="44"/>
      <c r="C177" s="45"/>
      <c r="D177" s="45"/>
      <c r="E177" s="45"/>
      <c r="F177" s="45"/>
      <c r="G177" s="5"/>
      <c r="H177" s="44"/>
      <c r="I177" s="45"/>
      <c r="J177" s="45"/>
      <c r="K177" s="45"/>
      <c r="L177" s="45"/>
      <c r="M177" s="5">
        <f t="shared" ref="M177:M212" si="172">SUM(H177:L177)</f>
        <v>0</v>
      </c>
      <c r="N177" s="28">
        <f t="shared" si="168"/>
        <v>0</v>
      </c>
      <c r="O177" s="31"/>
      <c r="P177" s="3" t="s">
        <v>4</v>
      </c>
      <c r="Q177" s="42"/>
      <c r="R177" s="42"/>
      <c r="S177" s="42"/>
      <c r="T177" s="43"/>
      <c r="U177" s="5"/>
      <c r="V177" s="42"/>
      <c r="W177" s="42"/>
      <c r="X177" s="42"/>
      <c r="Y177" s="43"/>
      <c r="Z177" s="5">
        <f t="shared" si="170"/>
        <v>0</v>
      </c>
      <c r="AA177" s="28">
        <f t="shared" si="171"/>
        <v>0</v>
      </c>
    </row>
    <row r="178" spans="1:27" x14ac:dyDescent="0.15">
      <c r="A178" s="3" t="s">
        <v>4</v>
      </c>
      <c r="B178" s="44"/>
      <c r="C178" s="45"/>
      <c r="D178" s="45"/>
      <c r="E178" s="45"/>
      <c r="F178" s="45"/>
      <c r="G178" s="5"/>
      <c r="H178" s="44"/>
      <c r="I178" s="45"/>
      <c r="J178" s="45"/>
      <c r="K178" s="45"/>
      <c r="L178" s="45"/>
      <c r="M178" s="5">
        <f t="shared" si="172"/>
        <v>0</v>
      </c>
      <c r="N178" s="28">
        <f t="shared" si="168"/>
        <v>0</v>
      </c>
      <c r="O178" s="31"/>
      <c r="P178" s="3" t="s">
        <v>4</v>
      </c>
      <c r="Q178" s="42"/>
      <c r="R178" s="42"/>
      <c r="S178" s="42"/>
      <c r="T178" s="43"/>
      <c r="U178" s="5"/>
      <c r="V178" s="42"/>
      <c r="W178" s="42"/>
      <c r="X178" s="42"/>
      <c r="Y178" s="43"/>
      <c r="Z178" s="5">
        <f t="shared" si="170"/>
        <v>0</v>
      </c>
      <c r="AA178" s="28">
        <f t="shared" si="171"/>
        <v>0</v>
      </c>
    </row>
    <row r="179" spans="1:27" x14ac:dyDescent="0.15">
      <c r="A179" s="3" t="s">
        <v>4</v>
      </c>
      <c r="B179" s="44"/>
      <c r="C179" s="45"/>
      <c r="D179" s="45"/>
      <c r="E179" s="45"/>
      <c r="F179" s="45"/>
      <c r="G179" s="5"/>
      <c r="H179" s="44"/>
      <c r="I179" s="45"/>
      <c r="J179" s="45"/>
      <c r="K179" s="45"/>
      <c r="L179" s="45"/>
      <c r="M179" s="5">
        <f t="shared" si="172"/>
        <v>0</v>
      </c>
      <c r="N179" s="28">
        <f t="shared" si="168"/>
        <v>0</v>
      </c>
      <c r="O179" s="31"/>
      <c r="P179" s="3" t="s">
        <v>4</v>
      </c>
      <c r="Q179" s="42"/>
      <c r="R179" s="42"/>
      <c r="S179" s="42"/>
      <c r="T179" s="43"/>
      <c r="U179" s="5"/>
      <c r="V179" s="42"/>
      <c r="W179" s="42"/>
      <c r="X179" s="42"/>
      <c r="Y179" s="43"/>
      <c r="Z179" s="5">
        <f t="shared" si="170"/>
        <v>0</v>
      </c>
      <c r="AA179" s="28">
        <f t="shared" si="171"/>
        <v>0</v>
      </c>
    </row>
    <row r="180" spans="1:27" x14ac:dyDescent="0.15">
      <c r="A180" s="3" t="s">
        <v>4</v>
      </c>
      <c r="B180" s="44"/>
      <c r="C180" s="45"/>
      <c r="D180" s="45"/>
      <c r="E180" s="45"/>
      <c r="F180" s="45"/>
      <c r="G180" s="5"/>
      <c r="H180" s="44"/>
      <c r="I180" s="45"/>
      <c r="J180" s="45"/>
      <c r="K180" s="45"/>
      <c r="L180" s="45"/>
      <c r="M180" s="5">
        <f t="shared" si="172"/>
        <v>0</v>
      </c>
      <c r="N180" s="28">
        <f t="shared" si="168"/>
        <v>0</v>
      </c>
      <c r="O180" s="31"/>
      <c r="P180" s="3" t="s">
        <v>4</v>
      </c>
      <c r="Q180" s="42"/>
      <c r="R180" s="42"/>
      <c r="S180" s="42"/>
      <c r="T180" s="43"/>
      <c r="U180" s="5"/>
      <c r="V180" s="42"/>
      <c r="W180" s="42"/>
      <c r="X180" s="42"/>
      <c r="Y180" s="43"/>
      <c r="Z180" s="5">
        <f t="shared" si="170"/>
        <v>0</v>
      </c>
      <c r="AA180" s="28">
        <f t="shared" si="171"/>
        <v>0</v>
      </c>
    </row>
    <row r="181" spans="1:27" x14ac:dyDescent="0.15">
      <c r="A181" s="3" t="s">
        <v>4</v>
      </c>
      <c r="B181" s="44"/>
      <c r="C181" s="45"/>
      <c r="D181" s="45"/>
      <c r="E181" s="45"/>
      <c r="F181" s="45"/>
      <c r="G181" s="5"/>
      <c r="H181" s="44"/>
      <c r="I181" s="45"/>
      <c r="J181" s="45"/>
      <c r="K181" s="45"/>
      <c r="L181" s="45"/>
      <c r="M181" s="5">
        <f t="shared" si="172"/>
        <v>0</v>
      </c>
      <c r="N181" s="28">
        <f t="shared" si="168"/>
        <v>0</v>
      </c>
      <c r="O181" s="31"/>
      <c r="P181" s="3" t="s">
        <v>4</v>
      </c>
      <c r="Q181" s="42"/>
      <c r="R181" s="42"/>
      <c r="S181" s="42"/>
      <c r="T181" s="43"/>
      <c r="U181" s="5"/>
      <c r="V181" s="42"/>
      <c r="W181" s="42"/>
      <c r="X181" s="42"/>
      <c r="Y181" s="43"/>
      <c r="Z181" s="5">
        <f t="shared" si="170"/>
        <v>0</v>
      </c>
      <c r="AA181" s="28">
        <f t="shared" si="171"/>
        <v>0</v>
      </c>
    </row>
    <row r="182" spans="1:27" x14ac:dyDescent="0.15">
      <c r="A182" s="3" t="s">
        <v>4</v>
      </c>
      <c r="B182" s="44"/>
      <c r="C182" s="45"/>
      <c r="D182" s="45"/>
      <c r="E182" s="45"/>
      <c r="F182" s="45"/>
      <c r="G182" s="5"/>
      <c r="H182" s="44"/>
      <c r="I182" s="45"/>
      <c r="J182" s="45"/>
      <c r="K182" s="45"/>
      <c r="L182" s="45"/>
      <c r="M182" s="5">
        <f t="shared" si="172"/>
        <v>0</v>
      </c>
      <c r="N182" s="28">
        <f t="shared" si="168"/>
        <v>0</v>
      </c>
      <c r="O182" s="31"/>
      <c r="P182" s="3" t="s">
        <v>4</v>
      </c>
      <c r="Q182" s="45"/>
      <c r="R182" s="45"/>
      <c r="S182" s="45"/>
      <c r="T182" s="46"/>
      <c r="U182" s="5"/>
      <c r="V182" s="45"/>
      <c r="W182" s="45"/>
      <c r="X182" s="77"/>
      <c r="Y182" s="46"/>
      <c r="Z182" s="5">
        <f t="shared" si="170"/>
        <v>0</v>
      </c>
      <c r="AA182" s="28">
        <f t="shared" si="171"/>
        <v>0</v>
      </c>
    </row>
    <row r="183" spans="1:27" x14ac:dyDescent="0.15">
      <c r="A183" s="3" t="s">
        <v>4</v>
      </c>
      <c r="B183" s="44"/>
      <c r="C183" s="45"/>
      <c r="D183" s="45"/>
      <c r="E183" s="45"/>
      <c r="F183" s="46"/>
      <c r="G183" s="5"/>
      <c r="H183" s="65"/>
      <c r="I183" s="66"/>
      <c r="J183" s="99"/>
      <c r="K183" s="99"/>
      <c r="L183" s="100"/>
      <c r="M183" s="5">
        <f t="shared" si="172"/>
        <v>0</v>
      </c>
      <c r="N183" s="28">
        <f t="shared" si="168"/>
        <v>0</v>
      </c>
      <c r="O183" s="31"/>
      <c r="P183" s="3" t="s">
        <v>4</v>
      </c>
      <c r="Q183" s="45"/>
      <c r="R183" s="45"/>
      <c r="S183" s="45"/>
      <c r="T183" s="46"/>
      <c r="U183" s="5"/>
      <c r="V183" s="45"/>
      <c r="W183" s="45"/>
      <c r="X183" s="45"/>
      <c r="Y183" s="46"/>
      <c r="Z183" s="5">
        <f t="shared" si="170"/>
        <v>0</v>
      </c>
      <c r="AA183" s="28">
        <f t="shared" si="171"/>
        <v>0</v>
      </c>
    </row>
    <row r="184" spans="1:27" x14ac:dyDescent="0.15">
      <c r="A184" s="3" t="s">
        <v>4</v>
      </c>
      <c r="B184" s="44"/>
      <c r="C184" s="45"/>
      <c r="D184" s="45"/>
      <c r="E184" s="45"/>
      <c r="F184" s="45"/>
      <c r="G184" s="5"/>
      <c r="H184" s="44"/>
      <c r="I184" s="45"/>
      <c r="J184" s="45"/>
      <c r="K184" s="45"/>
      <c r="L184" s="45"/>
      <c r="M184" s="5">
        <f t="shared" si="172"/>
        <v>0</v>
      </c>
      <c r="N184" s="28">
        <f t="shared" si="168"/>
        <v>0</v>
      </c>
      <c r="O184" s="30"/>
      <c r="P184" s="3" t="s">
        <v>4</v>
      </c>
      <c r="Q184" s="45"/>
      <c r="R184" s="45"/>
      <c r="S184" s="45"/>
      <c r="T184" s="46"/>
      <c r="U184" s="5"/>
      <c r="V184" s="45"/>
      <c r="W184" s="45"/>
      <c r="X184" s="45"/>
      <c r="Y184" s="46"/>
      <c r="Z184" s="5">
        <f t="shared" si="170"/>
        <v>0</v>
      </c>
      <c r="AA184" s="28">
        <f t="shared" si="171"/>
        <v>0</v>
      </c>
    </row>
    <row r="185" spans="1:27" x14ac:dyDescent="0.15">
      <c r="A185" s="3" t="s">
        <v>4</v>
      </c>
      <c r="B185" s="44"/>
      <c r="C185" s="45"/>
      <c r="D185" s="45"/>
      <c r="E185" s="45"/>
      <c r="F185" s="45"/>
      <c r="G185" s="5"/>
      <c r="H185" s="44"/>
      <c r="I185" s="45"/>
      <c r="J185" s="45"/>
      <c r="K185" s="45"/>
      <c r="L185" s="45"/>
      <c r="M185" s="5">
        <f t="shared" si="172"/>
        <v>0</v>
      </c>
      <c r="N185" s="28">
        <f t="shared" si="168"/>
        <v>0</v>
      </c>
      <c r="O185" s="30"/>
      <c r="P185" s="3" t="s">
        <v>4</v>
      </c>
      <c r="Q185" s="45"/>
      <c r="R185" s="45"/>
      <c r="S185" s="45"/>
      <c r="T185" s="46"/>
      <c r="U185" s="78"/>
      <c r="V185" s="45"/>
      <c r="W185" s="45"/>
      <c r="X185" s="45"/>
      <c r="Y185" s="46"/>
      <c r="Z185" s="78">
        <f t="shared" si="170"/>
        <v>0</v>
      </c>
      <c r="AA185" s="79">
        <f t="shared" si="171"/>
        <v>0</v>
      </c>
    </row>
    <row r="186" spans="1:27" ht="14.25" thickBot="1" x14ac:dyDescent="0.2">
      <c r="A186" s="3" t="s">
        <v>4</v>
      </c>
      <c r="B186" s="44"/>
      <c r="C186" s="45"/>
      <c r="D186" s="45"/>
      <c r="E186" s="45"/>
      <c r="F186" s="45"/>
      <c r="G186" s="5"/>
      <c r="H186" s="44"/>
      <c r="I186" s="45"/>
      <c r="J186" s="45"/>
      <c r="K186" s="45"/>
      <c r="L186" s="45"/>
      <c r="M186" s="5">
        <f t="shared" si="172"/>
        <v>0</v>
      </c>
      <c r="N186" s="28">
        <f t="shared" si="168"/>
        <v>0</v>
      </c>
      <c r="O186" s="30"/>
      <c r="P186" s="80" t="s">
        <v>4</v>
      </c>
      <c r="Q186" s="82"/>
      <c r="R186" s="82"/>
      <c r="S186" s="82"/>
      <c r="T186" s="83"/>
      <c r="U186" s="7"/>
      <c r="V186" s="82"/>
      <c r="W186" s="82"/>
      <c r="X186" s="82"/>
      <c r="Y186" s="83"/>
      <c r="Z186" s="7">
        <f t="shared" si="170"/>
        <v>0</v>
      </c>
      <c r="AA186" s="29">
        <f t="shared" si="171"/>
        <v>0</v>
      </c>
    </row>
    <row r="187" spans="1:27" ht="14.25" thickBot="1" x14ac:dyDescent="0.2">
      <c r="A187" s="8" t="s">
        <v>5</v>
      </c>
      <c r="B187" s="50">
        <f>SUM(B176:B186)</f>
        <v>0</v>
      </c>
      <c r="C187" s="51">
        <f t="shared" ref="C187:F187" si="173">SUM(C176:C186)</f>
        <v>3</v>
      </c>
      <c r="D187" s="51">
        <f t="shared" si="173"/>
        <v>5</v>
      </c>
      <c r="E187" s="51">
        <f t="shared" si="173"/>
        <v>1</v>
      </c>
      <c r="F187" s="51">
        <f t="shared" si="173"/>
        <v>5</v>
      </c>
      <c r="G187" s="9">
        <f t="shared" ref="G187:G212" si="174">SUM(B187:F187)</f>
        <v>14</v>
      </c>
      <c r="H187" s="50">
        <f>SUM(H176:H186)</f>
        <v>1</v>
      </c>
      <c r="I187" s="51">
        <f t="shared" ref="I187:L187" si="175">SUM(I176:I186)</f>
        <v>2</v>
      </c>
      <c r="J187" s="51">
        <f t="shared" si="175"/>
        <v>5</v>
      </c>
      <c r="K187" s="51">
        <f t="shared" si="175"/>
        <v>4</v>
      </c>
      <c r="L187" s="51">
        <f t="shared" si="175"/>
        <v>2</v>
      </c>
      <c r="M187" s="17">
        <f t="shared" si="172"/>
        <v>14</v>
      </c>
      <c r="N187" s="26">
        <f t="shared" si="168"/>
        <v>28</v>
      </c>
      <c r="P187" s="8" t="s">
        <v>5</v>
      </c>
      <c r="Q187" s="51">
        <f t="shared" ref="Q187:T187" si="176">SUM(Q176:Q186)</f>
        <v>0</v>
      </c>
      <c r="R187" s="51">
        <f t="shared" si="176"/>
        <v>0</v>
      </c>
      <c r="S187" s="51">
        <f t="shared" si="176"/>
        <v>0</v>
      </c>
      <c r="T187" s="52">
        <f t="shared" si="176"/>
        <v>0</v>
      </c>
      <c r="U187" s="9">
        <f t="shared" si="169"/>
        <v>0</v>
      </c>
      <c r="V187" s="51">
        <f t="shared" ref="V187:Y187" si="177">SUM(V176:V186)</f>
        <v>0</v>
      </c>
      <c r="W187" s="51">
        <f t="shared" si="177"/>
        <v>0</v>
      </c>
      <c r="X187" s="51">
        <f t="shared" si="177"/>
        <v>0</v>
      </c>
      <c r="Y187" s="52">
        <f t="shared" si="177"/>
        <v>0</v>
      </c>
      <c r="Z187" s="17">
        <f t="shared" si="170"/>
        <v>0</v>
      </c>
      <c r="AA187" s="26">
        <f t="shared" si="171"/>
        <v>0</v>
      </c>
    </row>
    <row r="188" spans="1:27" x14ac:dyDescent="0.15">
      <c r="A188" s="4" t="s">
        <v>23</v>
      </c>
      <c r="B188" s="44"/>
      <c r="C188" s="45">
        <v>1</v>
      </c>
      <c r="D188" s="45"/>
      <c r="E188" s="45"/>
      <c r="F188" s="45"/>
      <c r="G188" s="5"/>
      <c r="H188" s="65"/>
      <c r="I188" s="66"/>
      <c r="J188" s="66"/>
      <c r="K188" s="66"/>
      <c r="L188" s="66"/>
      <c r="M188" s="5">
        <f t="shared" si="172"/>
        <v>0</v>
      </c>
      <c r="N188" s="28">
        <f t="shared" si="168"/>
        <v>0</v>
      </c>
      <c r="O188" s="31">
        <v>46114</v>
      </c>
      <c r="P188" s="4"/>
      <c r="Q188" s="45"/>
      <c r="R188" s="45"/>
      <c r="S188" s="45"/>
      <c r="T188" s="46"/>
      <c r="U188" s="5"/>
      <c r="V188" s="45"/>
      <c r="W188" s="45"/>
      <c r="X188" s="45"/>
      <c r="Y188" s="46"/>
      <c r="Z188" s="5">
        <f t="shared" si="170"/>
        <v>0</v>
      </c>
      <c r="AA188" s="28">
        <f t="shared" si="171"/>
        <v>0</v>
      </c>
    </row>
    <row r="189" spans="1:27" x14ac:dyDescent="0.15">
      <c r="A189" s="4" t="s">
        <v>23</v>
      </c>
      <c r="B189" s="44"/>
      <c r="C189" s="45"/>
      <c r="D189" s="45"/>
      <c r="E189" s="45"/>
      <c r="F189" s="45"/>
      <c r="G189" s="5"/>
      <c r="H189" s="65"/>
      <c r="I189" s="66"/>
      <c r="J189" s="66"/>
      <c r="K189" s="66">
        <v>1</v>
      </c>
      <c r="L189" s="66"/>
      <c r="M189" s="5">
        <f t="shared" si="172"/>
        <v>1</v>
      </c>
      <c r="N189" s="28">
        <f t="shared" si="168"/>
        <v>1</v>
      </c>
      <c r="O189" s="31">
        <v>46118</v>
      </c>
      <c r="P189" s="4"/>
      <c r="Q189" s="45"/>
      <c r="R189" s="45"/>
      <c r="S189" s="45"/>
      <c r="T189" s="46"/>
      <c r="U189" s="5"/>
      <c r="V189" s="45"/>
      <c r="W189" s="45"/>
      <c r="X189" s="45"/>
      <c r="Y189" s="46"/>
      <c r="Z189" s="5">
        <f t="shared" si="170"/>
        <v>0</v>
      </c>
      <c r="AA189" s="28">
        <f t="shared" si="171"/>
        <v>0</v>
      </c>
    </row>
    <row r="190" spans="1:27" x14ac:dyDescent="0.15">
      <c r="A190" s="4" t="s">
        <v>23</v>
      </c>
      <c r="B190" s="44"/>
      <c r="C190" s="45"/>
      <c r="D190" s="45"/>
      <c r="E190" s="45"/>
      <c r="F190" s="45"/>
      <c r="G190" s="5"/>
      <c r="H190" s="65"/>
      <c r="I190" s="66"/>
      <c r="J190" s="66"/>
      <c r="K190" s="66"/>
      <c r="L190" s="66">
        <v>1</v>
      </c>
      <c r="M190" s="5">
        <f t="shared" si="172"/>
        <v>1</v>
      </c>
      <c r="N190" s="28">
        <f t="shared" si="168"/>
        <v>1</v>
      </c>
      <c r="O190" s="31">
        <v>46140</v>
      </c>
      <c r="P190" s="4"/>
      <c r="Q190" s="45"/>
      <c r="R190" s="45"/>
      <c r="S190" s="45"/>
      <c r="T190" s="46"/>
      <c r="U190" s="5"/>
      <c r="V190" s="45"/>
      <c r="W190" s="45"/>
      <c r="X190" s="45"/>
      <c r="Y190" s="46"/>
      <c r="Z190" s="5">
        <f t="shared" si="170"/>
        <v>0</v>
      </c>
      <c r="AA190" s="28">
        <f t="shared" si="171"/>
        <v>0</v>
      </c>
    </row>
    <row r="191" spans="1:27" x14ac:dyDescent="0.15">
      <c r="A191" s="4" t="s">
        <v>23</v>
      </c>
      <c r="B191" s="44"/>
      <c r="C191" s="45"/>
      <c r="D191" s="45"/>
      <c r="E191" s="45"/>
      <c r="F191" s="45"/>
      <c r="G191" s="5"/>
      <c r="H191" s="65">
        <v>1</v>
      </c>
      <c r="I191" s="66"/>
      <c r="J191" s="66"/>
      <c r="K191" s="66"/>
      <c r="L191" s="66"/>
      <c r="M191" s="5">
        <f t="shared" si="172"/>
        <v>1</v>
      </c>
      <c r="N191" s="28">
        <f t="shared" si="168"/>
        <v>1</v>
      </c>
      <c r="O191" s="31">
        <v>46153</v>
      </c>
      <c r="P191" s="4"/>
      <c r="Q191" s="45"/>
      <c r="R191" s="45"/>
      <c r="S191" s="45"/>
      <c r="T191" s="46"/>
      <c r="U191" s="5"/>
      <c r="V191" s="45"/>
      <c r="W191" s="45"/>
      <c r="X191" s="45"/>
      <c r="Y191" s="46"/>
      <c r="Z191" s="5">
        <f t="shared" si="170"/>
        <v>0</v>
      </c>
      <c r="AA191" s="28">
        <f t="shared" si="171"/>
        <v>0</v>
      </c>
    </row>
    <row r="192" spans="1:27" x14ac:dyDescent="0.15">
      <c r="A192" s="4" t="s">
        <v>23</v>
      </c>
      <c r="B192" s="44"/>
      <c r="C192" s="45">
        <v>1</v>
      </c>
      <c r="D192" s="45"/>
      <c r="E192" s="45"/>
      <c r="F192" s="45"/>
      <c r="G192" s="5"/>
      <c r="H192" s="65"/>
      <c r="I192" s="66"/>
      <c r="J192" s="66"/>
      <c r="K192" s="66"/>
      <c r="L192" s="66"/>
      <c r="M192" s="5">
        <f t="shared" si="172"/>
        <v>0</v>
      </c>
      <c r="N192" s="28">
        <f t="shared" si="168"/>
        <v>0</v>
      </c>
      <c r="O192" s="31">
        <v>46160</v>
      </c>
      <c r="P192" s="4"/>
      <c r="Q192" s="45"/>
      <c r="R192" s="45"/>
      <c r="S192" s="45"/>
      <c r="T192" s="46"/>
      <c r="U192" s="5"/>
      <c r="V192" s="45"/>
      <c r="W192" s="45"/>
      <c r="X192" s="45"/>
      <c r="Y192" s="46"/>
      <c r="Z192" s="5">
        <f t="shared" si="170"/>
        <v>0</v>
      </c>
      <c r="AA192" s="28">
        <f t="shared" si="171"/>
        <v>0</v>
      </c>
    </row>
    <row r="193" spans="1:27" x14ac:dyDescent="0.15">
      <c r="A193" s="4" t="s">
        <v>23</v>
      </c>
      <c r="B193" s="44"/>
      <c r="C193" s="45"/>
      <c r="D193" s="45"/>
      <c r="E193" s="45"/>
      <c r="F193" s="45"/>
      <c r="G193" s="5"/>
      <c r="H193" s="65"/>
      <c r="I193" s="66"/>
      <c r="J193" s="66"/>
      <c r="K193" s="66"/>
      <c r="L193" s="66">
        <v>1</v>
      </c>
      <c r="M193" s="5">
        <f t="shared" si="172"/>
        <v>1</v>
      </c>
      <c r="N193" s="28">
        <f t="shared" si="168"/>
        <v>1</v>
      </c>
      <c r="O193" s="31">
        <v>46174</v>
      </c>
      <c r="P193" s="4"/>
      <c r="Q193" s="45"/>
      <c r="R193" s="45"/>
      <c r="S193" s="45"/>
      <c r="T193" s="46"/>
      <c r="U193" s="5"/>
      <c r="V193" s="45"/>
      <c r="W193" s="45"/>
      <c r="X193" s="45"/>
      <c r="Y193" s="46"/>
      <c r="Z193" s="5">
        <f t="shared" si="170"/>
        <v>0</v>
      </c>
      <c r="AA193" s="28">
        <f t="shared" si="171"/>
        <v>0</v>
      </c>
    </row>
    <row r="194" spans="1:27" x14ac:dyDescent="0.15">
      <c r="A194" s="4" t="s">
        <v>23</v>
      </c>
      <c r="B194" s="44"/>
      <c r="C194" s="45"/>
      <c r="D194" s="45"/>
      <c r="E194" s="45"/>
      <c r="F194" s="45"/>
      <c r="G194" s="5"/>
      <c r="H194" s="65"/>
      <c r="I194" s="66">
        <v>2</v>
      </c>
      <c r="J194" s="66">
        <v>2</v>
      </c>
      <c r="K194" s="66"/>
      <c r="L194" s="66"/>
      <c r="M194" s="5">
        <f t="shared" si="172"/>
        <v>4</v>
      </c>
      <c r="N194" s="28">
        <f t="shared" si="168"/>
        <v>4</v>
      </c>
      <c r="O194" s="31">
        <v>46181</v>
      </c>
      <c r="P194" s="4"/>
      <c r="Q194" s="45"/>
      <c r="R194" s="45"/>
      <c r="S194" s="45"/>
      <c r="T194" s="46"/>
      <c r="U194" s="5"/>
      <c r="V194" s="45"/>
      <c r="W194" s="45"/>
      <c r="X194" s="45"/>
      <c r="Y194" s="46"/>
      <c r="Z194" s="5">
        <f t="shared" si="170"/>
        <v>0</v>
      </c>
      <c r="AA194" s="28">
        <f t="shared" si="171"/>
        <v>0</v>
      </c>
    </row>
    <row r="195" spans="1:27" x14ac:dyDescent="0.15">
      <c r="A195" s="4" t="s">
        <v>23</v>
      </c>
      <c r="B195" s="44"/>
      <c r="C195" s="45"/>
      <c r="D195" s="45"/>
      <c r="E195" s="45"/>
      <c r="F195" s="45"/>
      <c r="G195" s="5"/>
      <c r="H195" s="65"/>
      <c r="I195" s="66"/>
      <c r="J195" s="66"/>
      <c r="K195" s="66">
        <v>1</v>
      </c>
      <c r="L195" s="66"/>
      <c r="M195" s="5">
        <f t="shared" si="172"/>
        <v>1</v>
      </c>
      <c r="N195" s="28">
        <f t="shared" si="168"/>
        <v>1</v>
      </c>
      <c r="O195" s="31">
        <v>46183</v>
      </c>
      <c r="P195" s="4"/>
      <c r="Q195" s="45"/>
      <c r="R195" s="45"/>
      <c r="S195" s="45"/>
      <c r="T195" s="46"/>
      <c r="U195" s="5"/>
      <c r="V195" s="45"/>
      <c r="W195" s="45"/>
      <c r="X195" s="45"/>
      <c r="Y195" s="46"/>
      <c r="Z195" s="5">
        <f t="shared" si="170"/>
        <v>0</v>
      </c>
      <c r="AA195" s="28">
        <f t="shared" si="171"/>
        <v>0</v>
      </c>
    </row>
    <row r="196" spans="1:27" x14ac:dyDescent="0.15">
      <c r="A196" s="4" t="s">
        <v>23</v>
      </c>
      <c r="B196" s="44"/>
      <c r="C196" s="45">
        <v>1</v>
      </c>
      <c r="D196" s="45"/>
      <c r="E196" s="45"/>
      <c r="F196" s="45">
        <v>1</v>
      </c>
      <c r="G196" s="5"/>
      <c r="H196" s="65"/>
      <c r="I196" s="66"/>
      <c r="J196" s="66"/>
      <c r="K196" s="66"/>
      <c r="L196" s="66"/>
      <c r="M196" s="5">
        <f t="shared" si="172"/>
        <v>0</v>
      </c>
      <c r="N196" s="28">
        <f t="shared" si="168"/>
        <v>0</v>
      </c>
      <c r="O196" s="31">
        <v>46184</v>
      </c>
      <c r="P196" s="4"/>
      <c r="Q196" s="45"/>
      <c r="R196" s="45"/>
      <c r="S196" s="45"/>
      <c r="T196" s="46"/>
      <c r="U196" s="5"/>
      <c r="V196" s="45"/>
      <c r="W196" s="45"/>
      <c r="X196" s="45"/>
      <c r="Y196" s="46"/>
      <c r="Z196" s="5">
        <f t="shared" si="170"/>
        <v>0</v>
      </c>
      <c r="AA196" s="28">
        <f t="shared" si="171"/>
        <v>0</v>
      </c>
    </row>
    <row r="197" spans="1:27" x14ac:dyDescent="0.15">
      <c r="A197" s="4" t="s">
        <v>23</v>
      </c>
      <c r="B197" s="44"/>
      <c r="C197" s="45"/>
      <c r="D197" s="45">
        <v>1</v>
      </c>
      <c r="E197" s="45"/>
      <c r="F197" s="45"/>
      <c r="G197" s="5"/>
      <c r="H197" s="65"/>
      <c r="I197" s="66"/>
      <c r="J197" s="66"/>
      <c r="K197" s="66"/>
      <c r="L197" s="66"/>
      <c r="M197" s="5">
        <f t="shared" si="172"/>
        <v>0</v>
      </c>
      <c r="N197" s="28">
        <f t="shared" si="168"/>
        <v>0</v>
      </c>
      <c r="O197" s="31">
        <v>46188</v>
      </c>
      <c r="P197" s="4"/>
      <c r="Q197" s="45"/>
      <c r="R197" s="45"/>
      <c r="S197" s="45"/>
      <c r="T197" s="46"/>
      <c r="U197" s="5"/>
      <c r="V197" s="45"/>
      <c r="W197" s="45"/>
      <c r="X197" s="45"/>
      <c r="Y197" s="46"/>
      <c r="Z197" s="5">
        <f t="shared" si="170"/>
        <v>0</v>
      </c>
      <c r="AA197" s="28">
        <f t="shared" si="171"/>
        <v>0</v>
      </c>
    </row>
    <row r="198" spans="1:27" x14ac:dyDescent="0.15">
      <c r="A198" s="4"/>
      <c r="B198" s="44"/>
      <c r="C198" s="45"/>
      <c r="D198" s="45"/>
      <c r="E198" s="45"/>
      <c r="F198" s="45"/>
      <c r="G198" s="5"/>
      <c r="H198" s="65"/>
      <c r="I198" s="66"/>
      <c r="J198" s="66"/>
      <c r="K198" s="66"/>
      <c r="L198" s="66"/>
      <c r="M198" s="5">
        <f t="shared" si="172"/>
        <v>0</v>
      </c>
      <c r="N198" s="28">
        <f t="shared" si="168"/>
        <v>0</v>
      </c>
      <c r="O198" s="31"/>
      <c r="P198" s="4"/>
      <c r="Q198" s="60"/>
      <c r="R198" s="60"/>
      <c r="S198" s="45"/>
      <c r="T198" s="46"/>
      <c r="U198" s="5"/>
      <c r="V198" s="45"/>
      <c r="W198" s="45"/>
      <c r="X198" s="45"/>
      <c r="Y198" s="46"/>
      <c r="Z198" s="5">
        <f t="shared" si="170"/>
        <v>0</v>
      </c>
      <c r="AA198" s="28">
        <f t="shared" si="171"/>
        <v>0</v>
      </c>
    </row>
    <row r="199" spans="1:27" x14ac:dyDescent="0.15">
      <c r="A199" s="4"/>
      <c r="B199" s="44"/>
      <c r="C199" s="45"/>
      <c r="D199" s="45"/>
      <c r="E199" s="45"/>
      <c r="F199" s="45"/>
      <c r="G199" s="5"/>
      <c r="H199" s="65"/>
      <c r="I199" s="66"/>
      <c r="J199" s="66"/>
      <c r="K199" s="66"/>
      <c r="L199" s="66"/>
      <c r="M199" s="5">
        <f t="shared" si="172"/>
        <v>0</v>
      </c>
      <c r="N199" s="28">
        <f t="shared" si="168"/>
        <v>0</v>
      </c>
      <c r="O199" s="31"/>
      <c r="P199" s="4"/>
      <c r="Q199" s="60"/>
      <c r="R199" s="60"/>
      <c r="S199" s="45"/>
      <c r="T199" s="46"/>
      <c r="U199" s="5"/>
      <c r="V199" s="45"/>
      <c r="W199" s="45"/>
      <c r="X199" s="45"/>
      <c r="Y199" s="46"/>
      <c r="Z199" s="5">
        <f t="shared" si="170"/>
        <v>0</v>
      </c>
      <c r="AA199" s="28">
        <f t="shared" si="171"/>
        <v>0</v>
      </c>
    </row>
    <row r="200" spans="1:27" x14ac:dyDescent="0.15">
      <c r="A200" s="4"/>
      <c r="B200" s="44"/>
      <c r="C200" s="45"/>
      <c r="D200" s="45"/>
      <c r="E200" s="45"/>
      <c r="F200" s="45"/>
      <c r="G200" s="5"/>
      <c r="H200" s="65"/>
      <c r="I200" s="66"/>
      <c r="J200" s="66"/>
      <c r="K200" s="66"/>
      <c r="L200" s="66"/>
      <c r="M200" s="5">
        <f t="shared" si="172"/>
        <v>0</v>
      </c>
      <c r="N200" s="28">
        <f t="shared" si="168"/>
        <v>0</v>
      </c>
      <c r="O200" s="31"/>
      <c r="P200" s="4"/>
      <c r="Q200" s="60"/>
      <c r="R200" s="60"/>
      <c r="S200" s="45"/>
      <c r="T200" s="46"/>
      <c r="U200" s="5"/>
      <c r="V200" s="45"/>
      <c r="W200" s="45"/>
      <c r="X200" s="45"/>
      <c r="Y200" s="46"/>
      <c r="Z200" s="5">
        <f t="shared" si="170"/>
        <v>0</v>
      </c>
      <c r="AA200" s="28">
        <f t="shared" si="171"/>
        <v>0</v>
      </c>
    </row>
    <row r="201" spans="1:27" x14ac:dyDescent="0.15">
      <c r="A201" s="4"/>
      <c r="B201" s="44"/>
      <c r="C201" s="45"/>
      <c r="D201" s="45"/>
      <c r="E201" s="45"/>
      <c r="F201" s="45"/>
      <c r="G201" s="5"/>
      <c r="H201" s="65"/>
      <c r="I201" s="66"/>
      <c r="J201" s="66"/>
      <c r="K201" s="66"/>
      <c r="L201" s="66"/>
      <c r="M201" s="5">
        <f t="shared" si="172"/>
        <v>0</v>
      </c>
      <c r="N201" s="28">
        <f t="shared" si="168"/>
        <v>0</v>
      </c>
      <c r="O201" s="31"/>
      <c r="P201" s="4"/>
      <c r="Q201" s="60"/>
      <c r="R201" s="60"/>
      <c r="S201" s="45"/>
      <c r="T201" s="46"/>
      <c r="U201" s="5"/>
      <c r="V201" s="45"/>
      <c r="W201" s="45"/>
      <c r="X201" s="45"/>
      <c r="Y201" s="46"/>
      <c r="Z201" s="5">
        <f t="shared" si="170"/>
        <v>0</v>
      </c>
      <c r="AA201" s="28">
        <f t="shared" si="171"/>
        <v>0</v>
      </c>
    </row>
    <row r="202" spans="1:27" x14ac:dyDescent="0.15">
      <c r="A202" s="4"/>
      <c r="B202" s="44"/>
      <c r="C202" s="45"/>
      <c r="D202" s="45"/>
      <c r="E202" s="45"/>
      <c r="F202" s="45"/>
      <c r="G202" s="5"/>
      <c r="H202" s="65"/>
      <c r="I202" s="66"/>
      <c r="J202" s="66"/>
      <c r="K202" s="66"/>
      <c r="L202" s="66"/>
      <c r="M202" s="5">
        <f t="shared" si="172"/>
        <v>0</v>
      </c>
      <c r="N202" s="28">
        <f t="shared" si="168"/>
        <v>0</v>
      </c>
      <c r="O202" s="31"/>
      <c r="P202" s="4"/>
      <c r="Q202" s="60"/>
      <c r="R202" s="60"/>
      <c r="S202" s="45"/>
      <c r="T202" s="46"/>
      <c r="U202" s="5"/>
      <c r="V202" s="45"/>
      <c r="W202" s="45"/>
      <c r="X202" s="45"/>
      <c r="Y202" s="46"/>
      <c r="Z202" s="5">
        <f t="shared" si="170"/>
        <v>0</v>
      </c>
      <c r="AA202" s="28">
        <f t="shared" si="171"/>
        <v>0</v>
      </c>
    </row>
    <row r="203" spans="1:27" x14ac:dyDescent="0.15">
      <c r="A203" s="4"/>
      <c r="B203" s="44"/>
      <c r="C203" s="45"/>
      <c r="D203" s="45"/>
      <c r="E203" s="45"/>
      <c r="F203" s="45"/>
      <c r="G203" s="5"/>
      <c r="H203" s="65"/>
      <c r="I203" s="66"/>
      <c r="J203" s="66"/>
      <c r="K203" s="66"/>
      <c r="L203" s="66"/>
      <c r="M203" s="5">
        <f t="shared" si="172"/>
        <v>0</v>
      </c>
      <c r="N203" s="28">
        <f t="shared" si="168"/>
        <v>0</v>
      </c>
      <c r="O203" s="31"/>
      <c r="P203" s="4"/>
      <c r="Q203" s="60"/>
      <c r="R203" s="60"/>
      <c r="S203" s="45"/>
      <c r="T203" s="46"/>
      <c r="U203" s="5"/>
      <c r="V203" s="45"/>
      <c r="W203" s="45"/>
      <c r="X203" s="45"/>
      <c r="Y203" s="46"/>
      <c r="Z203" s="5">
        <f t="shared" si="170"/>
        <v>0</v>
      </c>
      <c r="AA203" s="28">
        <f t="shared" si="171"/>
        <v>0</v>
      </c>
    </row>
    <row r="204" spans="1:27" x14ac:dyDescent="0.15">
      <c r="A204" s="4"/>
      <c r="B204" s="44"/>
      <c r="C204" s="45"/>
      <c r="D204" s="45"/>
      <c r="E204" s="45"/>
      <c r="F204" s="45"/>
      <c r="G204" s="5"/>
      <c r="H204" s="65"/>
      <c r="I204" s="66"/>
      <c r="J204" s="66"/>
      <c r="K204" s="66"/>
      <c r="L204" s="66"/>
      <c r="M204" s="5">
        <f t="shared" si="172"/>
        <v>0</v>
      </c>
      <c r="N204" s="28">
        <f t="shared" si="168"/>
        <v>0</v>
      </c>
      <c r="O204" s="31"/>
      <c r="P204" s="4"/>
      <c r="Q204" s="60"/>
      <c r="R204" s="60"/>
      <c r="S204" s="45"/>
      <c r="T204" s="46"/>
      <c r="U204" s="5"/>
      <c r="V204" s="45"/>
      <c r="W204" s="45"/>
      <c r="X204" s="45"/>
      <c r="Y204" s="46"/>
      <c r="Z204" s="5">
        <f t="shared" si="170"/>
        <v>0</v>
      </c>
      <c r="AA204" s="28">
        <f t="shared" si="171"/>
        <v>0</v>
      </c>
    </row>
    <row r="205" spans="1:27" x14ac:dyDescent="0.15">
      <c r="A205" s="4"/>
      <c r="B205" s="44"/>
      <c r="C205" s="45"/>
      <c r="D205" s="45"/>
      <c r="E205" s="45"/>
      <c r="F205" s="45"/>
      <c r="G205" s="5"/>
      <c r="H205" s="65"/>
      <c r="I205" s="66"/>
      <c r="J205" s="66"/>
      <c r="K205" s="66"/>
      <c r="L205" s="66"/>
      <c r="M205" s="5">
        <f t="shared" si="172"/>
        <v>0</v>
      </c>
      <c r="N205" s="28">
        <f t="shared" si="168"/>
        <v>0</v>
      </c>
      <c r="O205" s="31"/>
      <c r="P205" s="4"/>
      <c r="Q205" s="60"/>
      <c r="R205" s="60"/>
      <c r="S205" s="45"/>
      <c r="T205" s="46"/>
      <c r="U205" s="5"/>
      <c r="V205" s="45"/>
      <c r="W205" s="45"/>
      <c r="X205" s="45"/>
      <c r="Y205" s="46"/>
      <c r="Z205" s="5">
        <f t="shared" si="170"/>
        <v>0</v>
      </c>
      <c r="AA205" s="28">
        <f t="shared" si="171"/>
        <v>0</v>
      </c>
    </row>
    <row r="206" spans="1:27" x14ac:dyDescent="0.15">
      <c r="A206" s="4"/>
      <c r="B206" s="44"/>
      <c r="C206" s="45"/>
      <c r="D206" s="45"/>
      <c r="E206" s="45"/>
      <c r="F206" s="45"/>
      <c r="G206" s="5"/>
      <c r="H206" s="65"/>
      <c r="I206" s="66"/>
      <c r="J206" s="66"/>
      <c r="K206" s="66"/>
      <c r="L206" s="66"/>
      <c r="M206" s="5">
        <f t="shared" si="172"/>
        <v>0</v>
      </c>
      <c r="N206" s="28">
        <f t="shared" si="168"/>
        <v>0</v>
      </c>
      <c r="O206" s="31"/>
      <c r="P206" s="4"/>
      <c r="Q206" s="60"/>
      <c r="R206" s="60"/>
      <c r="S206" s="45"/>
      <c r="T206" s="46"/>
      <c r="U206" s="5"/>
      <c r="V206" s="45"/>
      <c r="W206" s="45"/>
      <c r="X206" s="45"/>
      <c r="Y206" s="46"/>
      <c r="Z206" s="5">
        <f t="shared" si="170"/>
        <v>0</v>
      </c>
      <c r="AA206" s="28">
        <f t="shared" si="171"/>
        <v>0</v>
      </c>
    </row>
    <row r="207" spans="1:27" x14ac:dyDescent="0.15">
      <c r="A207" s="4"/>
      <c r="B207" s="44"/>
      <c r="C207" s="45"/>
      <c r="D207" s="45"/>
      <c r="E207" s="45"/>
      <c r="F207" s="45"/>
      <c r="G207" s="5"/>
      <c r="H207" s="65"/>
      <c r="I207" s="66"/>
      <c r="J207" s="66"/>
      <c r="K207" s="66"/>
      <c r="L207" s="66"/>
      <c r="M207" s="5">
        <f t="shared" si="172"/>
        <v>0</v>
      </c>
      <c r="N207" s="28">
        <f t="shared" si="168"/>
        <v>0</v>
      </c>
      <c r="O207" s="31"/>
      <c r="P207" s="11"/>
      <c r="Q207" s="60"/>
      <c r="R207" s="60"/>
      <c r="S207" s="45"/>
      <c r="T207" s="46"/>
      <c r="U207" s="5"/>
      <c r="V207" s="45"/>
      <c r="W207" s="45"/>
      <c r="X207" s="45"/>
      <c r="Y207" s="46"/>
      <c r="Z207" s="5">
        <f t="shared" si="170"/>
        <v>0</v>
      </c>
      <c r="AA207" s="28">
        <f t="shared" si="171"/>
        <v>0</v>
      </c>
    </row>
    <row r="208" spans="1:27" x14ac:dyDescent="0.15">
      <c r="A208" s="4"/>
      <c r="B208" s="44"/>
      <c r="C208" s="45"/>
      <c r="D208" s="45"/>
      <c r="E208" s="45"/>
      <c r="F208" s="45"/>
      <c r="G208" s="5"/>
      <c r="H208" s="65"/>
      <c r="I208" s="66"/>
      <c r="J208" s="66"/>
      <c r="K208" s="66"/>
      <c r="L208" s="66"/>
      <c r="M208" s="5">
        <f t="shared" si="172"/>
        <v>0</v>
      </c>
      <c r="N208" s="28">
        <f t="shared" si="168"/>
        <v>0</v>
      </c>
      <c r="O208" s="31"/>
      <c r="P208" s="4"/>
      <c r="Q208" s="60"/>
      <c r="R208" s="60"/>
      <c r="S208" s="45"/>
      <c r="T208" s="46"/>
      <c r="U208" s="5"/>
      <c r="V208" s="54"/>
      <c r="W208" s="54"/>
      <c r="X208" s="54"/>
      <c r="Y208" s="55"/>
      <c r="Z208" s="5">
        <f t="shared" si="170"/>
        <v>0</v>
      </c>
      <c r="AA208" s="28">
        <f t="shared" si="171"/>
        <v>0</v>
      </c>
    </row>
    <row r="209" spans="1:27" x14ac:dyDescent="0.15">
      <c r="A209" s="4"/>
      <c r="B209" s="44"/>
      <c r="C209" s="45"/>
      <c r="D209" s="45"/>
      <c r="E209" s="45"/>
      <c r="F209" s="45"/>
      <c r="G209" s="5"/>
      <c r="H209" s="65"/>
      <c r="I209" s="66"/>
      <c r="J209" s="66"/>
      <c r="K209" s="66"/>
      <c r="L209" s="66"/>
      <c r="M209" s="5">
        <f t="shared" si="172"/>
        <v>0</v>
      </c>
      <c r="N209" s="28">
        <f t="shared" si="168"/>
        <v>0</v>
      </c>
      <c r="O209" s="31"/>
      <c r="P209" s="4"/>
      <c r="Q209" s="60"/>
      <c r="R209" s="60"/>
      <c r="S209" s="45"/>
      <c r="T209" s="46"/>
      <c r="U209" s="5"/>
      <c r="V209" s="66"/>
      <c r="W209" s="66"/>
      <c r="X209" s="66"/>
      <c r="Y209" s="67"/>
      <c r="Z209" s="5">
        <f t="shared" si="170"/>
        <v>0</v>
      </c>
      <c r="AA209" s="28">
        <f t="shared" si="171"/>
        <v>0</v>
      </c>
    </row>
    <row r="210" spans="1:27" x14ac:dyDescent="0.15">
      <c r="A210" s="4"/>
      <c r="B210" s="44"/>
      <c r="C210" s="45"/>
      <c r="D210" s="45"/>
      <c r="E210" s="45"/>
      <c r="F210" s="45"/>
      <c r="G210" s="5"/>
      <c r="H210" s="44"/>
      <c r="I210" s="45"/>
      <c r="J210" s="45"/>
      <c r="K210" s="45"/>
      <c r="L210" s="45"/>
      <c r="M210" s="5">
        <f t="shared" si="172"/>
        <v>0</v>
      </c>
      <c r="N210" s="28">
        <f t="shared" si="168"/>
        <v>0</v>
      </c>
      <c r="O210" s="31"/>
      <c r="P210" s="4"/>
      <c r="Q210" s="60"/>
      <c r="R210" s="60"/>
      <c r="S210" s="45"/>
      <c r="T210" s="46"/>
      <c r="U210" s="5"/>
      <c r="V210" s="45"/>
      <c r="W210" s="45"/>
      <c r="X210" s="45"/>
      <c r="Y210" s="46"/>
      <c r="Z210" s="5">
        <f t="shared" si="170"/>
        <v>0</v>
      </c>
      <c r="AA210" s="28">
        <f t="shared" si="171"/>
        <v>0</v>
      </c>
    </row>
    <row r="211" spans="1:27" ht="14.25" thickBot="1" x14ac:dyDescent="0.2">
      <c r="A211" s="4"/>
      <c r="B211" s="44"/>
      <c r="C211" s="68"/>
      <c r="D211" s="45"/>
      <c r="E211" s="45"/>
      <c r="F211" s="45"/>
      <c r="G211" s="7"/>
      <c r="H211" s="44"/>
      <c r="I211" s="68"/>
      <c r="J211" s="68"/>
      <c r="K211" s="68"/>
      <c r="L211" s="68"/>
      <c r="M211" s="5">
        <f t="shared" si="172"/>
        <v>0</v>
      </c>
      <c r="N211" s="29">
        <f t="shared" si="168"/>
        <v>0</v>
      </c>
      <c r="O211" s="31"/>
      <c r="P211" s="4"/>
      <c r="Q211" s="68"/>
      <c r="R211" s="45"/>
      <c r="S211" s="45"/>
      <c r="T211" s="46"/>
      <c r="U211" s="7"/>
      <c r="V211" s="68"/>
      <c r="W211" s="45"/>
      <c r="X211" s="45"/>
      <c r="Y211" s="46"/>
      <c r="Z211" s="5">
        <f t="shared" si="170"/>
        <v>0</v>
      </c>
      <c r="AA211" s="29">
        <f t="shared" si="171"/>
        <v>0</v>
      </c>
    </row>
    <row r="212" spans="1:27" ht="14.25" thickBot="1" x14ac:dyDescent="0.2">
      <c r="A212" s="2" t="s">
        <v>6</v>
      </c>
      <c r="B212" s="101">
        <f>SUM(B188:B211)</f>
        <v>0</v>
      </c>
      <c r="C212" s="51">
        <f t="shared" ref="C212:F212" si="178">SUM(C188:C211)</f>
        <v>3</v>
      </c>
      <c r="D212" s="51">
        <f t="shared" si="178"/>
        <v>1</v>
      </c>
      <c r="E212" s="51">
        <f t="shared" si="178"/>
        <v>0</v>
      </c>
      <c r="F212" s="51">
        <f t="shared" si="178"/>
        <v>1</v>
      </c>
      <c r="G212" s="9">
        <f t="shared" si="174"/>
        <v>5</v>
      </c>
      <c r="H212" s="101">
        <f>SUM(H188:H211)</f>
        <v>1</v>
      </c>
      <c r="I212" s="90">
        <f t="shared" ref="I212:L212" si="179">SUM(I188:I211)</f>
        <v>2</v>
      </c>
      <c r="J212" s="51">
        <f t="shared" si="179"/>
        <v>2</v>
      </c>
      <c r="K212" s="51">
        <f t="shared" si="179"/>
        <v>2</v>
      </c>
      <c r="L212" s="90">
        <f t="shared" si="179"/>
        <v>2</v>
      </c>
      <c r="M212" s="9">
        <f t="shared" si="172"/>
        <v>9</v>
      </c>
      <c r="N212" s="26">
        <f t="shared" si="168"/>
        <v>14</v>
      </c>
      <c r="P212" s="2" t="s">
        <v>6</v>
      </c>
      <c r="Q212" s="51">
        <f t="shared" ref="Q212:T212" si="180">SUM(Q188:Q211)</f>
        <v>0</v>
      </c>
      <c r="R212" s="51">
        <f t="shared" si="180"/>
        <v>0</v>
      </c>
      <c r="S212" s="51">
        <f t="shared" si="180"/>
        <v>0</v>
      </c>
      <c r="T212" s="52">
        <f t="shared" si="180"/>
        <v>0</v>
      </c>
      <c r="U212" s="9">
        <f t="shared" si="169"/>
        <v>0</v>
      </c>
      <c r="V212" s="51">
        <f t="shared" ref="V212:Y212" si="181">SUM(V188:V211)</f>
        <v>0</v>
      </c>
      <c r="W212" s="51">
        <f t="shared" si="181"/>
        <v>0</v>
      </c>
      <c r="X212" s="51">
        <f t="shared" si="181"/>
        <v>0</v>
      </c>
      <c r="Y212" s="52">
        <f t="shared" si="181"/>
        <v>0</v>
      </c>
      <c r="Z212" s="9">
        <f t="shared" si="170"/>
        <v>0</v>
      </c>
      <c r="AA212" s="26">
        <f t="shared" si="171"/>
        <v>0</v>
      </c>
    </row>
    <row r="213" spans="1:27" ht="14.25" thickBot="1" x14ac:dyDescent="0.2">
      <c r="A213" s="12" t="s">
        <v>7</v>
      </c>
      <c r="B213" s="101">
        <f>B187-B212</f>
        <v>0</v>
      </c>
      <c r="C213" s="63">
        <f t="shared" ref="C213:G213" si="182">C187-C212</f>
        <v>0</v>
      </c>
      <c r="D213" s="63">
        <f t="shared" si="182"/>
        <v>4</v>
      </c>
      <c r="E213" s="63">
        <f t="shared" si="182"/>
        <v>1</v>
      </c>
      <c r="F213" s="63">
        <f t="shared" si="182"/>
        <v>4</v>
      </c>
      <c r="G213" s="9">
        <f t="shared" si="182"/>
        <v>9</v>
      </c>
      <c r="H213" s="101">
        <f>H187-H212</f>
        <v>0</v>
      </c>
      <c r="I213" s="90">
        <f t="shared" ref="I213:M213" si="183">I187-I212</f>
        <v>0</v>
      </c>
      <c r="J213" s="63">
        <f t="shared" si="183"/>
        <v>3</v>
      </c>
      <c r="K213" s="63">
        <f t="shared" si="183"/>
        <v>2</v>
      </c>
      <c r="L213" s="90">
        <f t="shared" si="183"/>
        <v>0</v>
      </c>
      <c r="M213" s="9">
        <f t="shared" si="183"/>
        <v>5</v>
      </c>
      <c r="N213" s="26">
        <f t="shared" si="168"/>
        <v>14</v>
      </c>
      <c r="P213" s="12" t="s">
        <v>7</v>
      </c>
      <c r="Q213" s="63">
        <f t="shared" ref="Q213:Z213" si="184">Q187-Q212</f>
        <v>0</v>
      </c>
      <c r="R213" s="63">
        <f t="shared" si="184"/>
        <v>0</v>
      </c>
      <c r="S213" s="63">
        <f t="shared" si="184"/>
        <v>0</v>
      </c>
      <c r="T213" s="64">
        <f t="shared" si="184"/>
        <v>0</v>
      </c>
      <c r="U213" s="9">
        <f t="shared" si="184"/>
        <v>0</v>
      </c>
      <c r="V213" s="63">
        <f t="shared" si="184"/>
        <v>0</v>
      </c>
      <c r="W213" s="63">
        <f t="shared" si="184"/>
        <v>0</v>
      </c>
      <c r="X213" s="63">
        <f t="shared" si="184"/>
        <v>0</v>
      </c>
      <c r="Y213" s="64">
        <f t="shared" si="184"/>
        <v>0</v>
      </c>
      <c r="Z213" s="9">
        <f t="shared" si="184"/>
        <v>0</v>
      </c>
      <c r="AA213" s="26">
        <f t="shared" si="171"/>
        <v>0</v>
      </c>
    </row>
  </sheetData>
  <mergeCells count="22">
    <mergeCell ref="A172:AA172"/>
    <mergeCell ref="B174:G174"/>
    <mergeCell ref="H174:M174"/>
    <mergeCell ref="Q174:U174"/>
    <mergeCell ref="V174:Z174"/>
    <mergeCell ref="V131:Z131"/>
    <mergeCell ref="A129:AA129"/>
    <mergeCell ref="B131:G131"/>
    <mergeCell ref="H131:M131"/>
    <mergeCell ref="Q131:U131"/>
    <mergeCell ref="H2:M2"/>
    <mergeCell ref="B88:G88"/>
    <mergeCell ref="H88:M88"/>
    <mergeCell ref="B45:G45"/>
    <mergeCell ref="H45:M45"/>
    <mergeCell ref="B2:G2"/>
    <mergeCell ref="Q88:V88"/>
    <mergeCell ref="W88:AB88"/>
    <mergeCell ref="Q2:V2"/>
    <mergeCell ref="W2:AB2"/>
    <mergeCell ref="Q45:V45"/>
    <mergeCell ref="W45:AB4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2026-06-15T04:54:40Z</dcterms:modified>
</cp:coreProperties>
</file>