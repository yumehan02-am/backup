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水着\"/>
    </mc:Choice>
  </mc:AlternateContent>
  <xr:revisionPtr revIDLastSave="0" documentId="13_ncr:1_{9C800BD1-5219-4A0F-8793-05050C2C47D3}" xr6:coauthVersionLast="47" xr6:coauthVersionMax="47" xr10:uidLastSave="{00000000-0000-0000-0000-000000000000}"/>
  <bookViews>
    <workbookView xWindow="11685" yWindow="1635" windowWidth="16065" windowHeight="124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3" i="1" l="1"/>
  <c r="I263" i="1"/>
  <c r="H263" i="1"/>
  <c r="G263" i="1"/>
  <c r="E263" i="1"/>
  <c r="D263" i="1"/>
  <c r="C263" i="1"/>
  <c r="B263" i="1"/>
  <c r="K262" i="1"/>
  <c r="F262" i="1"/>
  <c r="K261" i="1"/>
  <c r="F261" i="1"/>
  <c r="K260" i="1"/>
  <c r="F260" i="1"/>
  <c r="K259" i="1"/>
  <c r="F259" i="1"/>
  <c r="K258" i="1"/>
  <c r="F258" i="1"/>
  <c r="K257" i="1"/>
  <c r="F257" i="1"/>
  <c r="K256" i="1"/>
  <c r="F256" i="1"/>
  <c r="K255" i="1"/>
  <c r="F255" i="1"/>
  <c r="K254" i="1"/>
  <c r="F254" i="1"/>
  <c r="K253" i="1"/>
  <c r="F253" i="1"/>
  <c r="K252" i="1"/>
  <c r="F252" i="1"/>
  <c r="K251" i="1"/>
  <c r="F251" i="1"/>
  <c r="K250" i="1"/>
  <c r="F250" i="1"/>
  <c r="K249" i="1"/>
  <c r="F249" i="1"/>
  <c r="K248" i="1"/>
  <c r="F248" i="1"/>
  <c r="K247" i="1"/>
  <c r="F247" i="1"/>
  <c r="K246" i="1"/>
  <c r="F246" i="1"/>
  <c r="K245" i="1"/>
  <c r="F245" i="1"/>
  <c r="K244" i="1"/>
  <c r="F244" i="1"/>
  <c r="K243" i="1"/>
  <c r="F243" i="1"/>
  <c r="K242" i="1"/>
  <c r="F242" i="1"/>
  <c r="K241" i="1"/>
  <c r="F241" i="1"/>
  <c r="K240" i="1"/>
  <c r="F240" i="1"/>
  <c r="K239" i="1"/>
  <c r="F239" i="1"/>
  <c r="K238" i="1"/>
  <c r="F238" i="1"/>
  <c r="K236" i="1"/>
  <c r="F236" i="1"/>
  <c r="K235" i="1"/>
  <c r="F235" i="1"/>
  <c r="K234" i="1"/>
  <c r="F234" i="1"/>
  <c r="K233" i="1"/>
  <c r="F233" i="1"/>
  <c r="I232" i="1"/>
  <c r="I237" i="1" s="1"/>
  <c r="G232" i="1"/>
  <c r="S223" i="1"/>
  <c r="X223" i="1"/>
  <c r="Y223" i="1"/>
  <c r="S224" i="1"/>
  <c r="X224" i="1"/>
  <c r="Y224" i="1"/>
  <c r="V225" i="1"/>
  <c r="U225" i="1"/>
  <c r="R225" i="1"/>
  <c r="Q225" i="1"/>
  <c r="W225" i="1"/>
  <c r="T225" i="1"/>
  <c r="P225" i="1"/>
  <c r="X222" i="1"/>
  <c r="S222" i="1"/>
  <c r="Y222" i="1" s="1"/>
  <c r="Y221" i="1"/>
  <c r="X221" i="1"/>
  <c r="S221" i="1"/>
  <c r="X220" i="1"/>
  <c r="Y220" i="1" s="1"/>
  <c r="S220" i="1"/>
  <c r="X219" i="1"/>
  <c r="S219" i="1"/>
  <c r="Y219" i="1" s="1"/>
  <c r="X218" i="1"/>
  <c r="S218" i="1"/>
  <c r="Y218" i="1" s="1"/>
  <c r="Y217" i="1"/>
  <c r="X217" i="1"/>
  <c r="S217" i="1"/>
  <c r="X216" i="1"/>
  <c r="Y216" i="1" s="1"/>
  <c r="S216" i="1"/>
  <c r="X215" i="1"/>
  <c r="S215" i="1"/>
  <c r="Y215" i="1" s="1"/>
  <c r="X214" i="1"/>
  <c r="S214" i="1"/>
  <c r="Y214" i="1" s="1"/>
  <c r="Y213" i="1"/>
  <c r="X213" i="1"/>
  <c r="S213" i="1"/>
  <c r="X212" i="1"/>
  <c r="Y212" i="1" s="1"/>
  <c r="S212" i="1"/>
  <c r="X211" i="1"/>
  <c r="S211" i="1"/>
  <c r="Y211" i="1" s="1"/>
  <c r="X210" i="1"/>
  <c r="S210" i="1"/>
  <c r="Y210" i="1" s="1"/>
  <c r="Y209" i="1"/>
  <c r="X209" i="1"/>
  <c r="S209" i="1"/>
  <c r="X208" i="1"/>
  <c r="Y208" i="1" s="1"/>
  <c r="S208" i="1"/>
  <c r="X207" i="1"/>
  <c r="S207" i="1"/>
  <c r="Y207" i="1" s="1"/>
  <c r="X206" i="1"/>
  <c r="S206" i="1"/>
  <c r="Y206" i="1" s="1"/>
  <c r="X205" i="1"/>
  <c r="S205" i="1"/>
  <c r="X204" i="1"/>
  <c r="Y204" i="1" s="1"/>
  <c r="S204" i="1"/>
  <c r="X203" i="1"/>
  <c r="S203" i="1"/>
  <c r="X202" i="1"/>
  <c r="S202" i="1"/>
  <c r="X201" i="1"/>
  <c r="S201" i="1"/>
  <c r="Y201" i="1" s="1"/>
  <c r="X200" i="1"/>
  <c r="S200" i="1"/>
  <c r="X198" i="1"/>
  <c r="S198" i="1"/>
  <c r="Y198" i="1" s="1"/>
  <c r="X197" i="1"/>
  <c r="Y197" i="1" s="1"/>
  <c r="S197" i="1"/>
  <c r="X196" i="1"/>
  <c r="Y196" i="1" s="1"/>
  <c r="S196" i="1"/>
  <c r="X195" i="1"/>
  <c r="S195" i="1"/>
  <c r="J225" i="1"/>
  <c r="I225" i="1"/>
  <c r="H225" i="1"/>
  <c r="G225" i="1"/>
  <c r="E225" i="1"/>
  <c r="D225" i="1"/>
  <c r="C225" i="1"/>
  <c r="B225" i="1"/>
  <c r="K224" i="1"/>
  <c r="F224" i="1"/>
  <c r="K223" i="1"/>
  <c r="F223" i="1"/>
  <c r="L223" i="1" s="1"/>
  <c r="K222" i="1"/>
  <c r="F222" i="1"/>
  <c r="L222" i="1" s="1"/>
  <c r="K221" i="1"/>
  <c r="F221" i="1"/>
  <c r="K220" i="1"/>
  <c r="F220" i="1"/>
  <c r="K219" i="1"/>
  <c r="F219" i="1"/>
  <c r="K218" i="1"/>
  <c r="F218" i="1"/>
  <c r="L218" i="1" s="1"/>
  <c r="K217" i="1"/>
  <c r="F217" i="1"/>
  <c r="L217" i="1" s="1"/>
  <c r="K216" i="1"/>
  <c r="F216" i="1"/>
  <c r="L216" i="1" s="1"/>
  <c r="K215" i="1"/>
  <c r="F215" i="1"/>
  <c r="L215" i="1" s="1"/>
  <c r="K214" i="1"/>
  <c r="F214" i="1"/>
  <c r="L214" i="1" s="1"/>
  <c r="K213" i="1"/>
  <c r="L213" i="1" s="1"/>
  <c r="F213" i="1"/>
  <c r="K212" i="1"/>
  <c r="F212" i="1"/>
  <c r="K211" i="1"/>
  <c r="F211" i="1"/>
  <c r="K210" i="1"/>
  <c r="F210" i="1"/>
  <c r="L210" i="1" s="1"/>
  <c r="K209" i="1"/>
  <c r="F209" i="1"/>
  <c r="K208" i="1"/>
  <c r="F208" i="1"/>
  <c r="L208" i="1" s="1"/>
  <c r="K207" i="1"/>
  <c r="F207" i="1"/>
  <c r="K206" i="1"/>
  <c r="F206" i="1"/>
  <c r="L206" i="1" s="1"/>
  <c r="K205" i="1"/>
  <c r="L205" i="1" s="1"/>
  <c r="F205" i="1"/>
  <c r="K204" i="1"/>
  <c r="F204" i="1"/>
  <c r="K203" i="1"/>
  <c r="F203" i="1"/>
  <c r="K202" i="1"/>
  <c r="F202" i="1"/>
  <c r="L202" i="1" s="1"/>
  <c r="K201" i="1"/>
  <c r="F201" i="1"/>
  <c r="L201" i="1" s="1"/>
  <c r="K200" i="1"/>
  <c r="F200" i="1"/>
  <c r="L200" i="1" s="1"/>
  <c r="J199" i="1"/>
  <c r="B199" i="1"/>
  <c r="K198" i="1"/>
  <c r="F198" i="1"/>
  <c r="K197" i="1"/>
  <c r="L197" i="1" s="1"/>
  <c r="F197" i="1"/>
  <c r="K196" i="1"/>
  <c r="F196" i="1"/>
  <c r="L196" i="1" s="1"/>
  <c r="K195" i="1"/>
  <c r="F195" i="1"/>
  <c r="J194" i="1"/>
  <c r="I194" i="1"/>
  <c r="I199" i="1" s="1"/>
  <c r="I226" i="1" s="1"/>
  <c r="H194" i="1"/>
  <c r="H199" i="1" s="1"/>
  <c r="G194" i="1"/>
  <c r="K194" i="1" s="1"/>
  <c r="E194" i="1"/>
  <c r="E199" i="1" s="1"/>
  <c r="D194" i="1"/>
  <c r="D199" i="1" s="1"/>
  <c r="C194" i="1"/>
  <c r="C199" i="1" s="1"/>
  <c r="B194" i="1"/>
  <c r="F194" i="1" s="1"/>
  <c r="S183" i="1"/>
  <c r="X183" i="1"/>
  <c r="Y183" i="1"/>
  <c r="S184" i="1"/>
  <c r="Y184" i="1" s="1"/>
  <c r="X184" i="1"/>
  <c r="X164" i="1"/>
  <c r="S164" i="1"/>
  <c r="Y164" i="1" s="1"/>
  <c r="Y163" i="1"/>
  <c r="X163" i="1"/>
  <c r="S163" i="1"/>
  <c r="S119" i="1"/>
  <c r="X119" i="1"/>
  <c r="Y119" i="1" s="1"/>
  <c r="S120" i="1"/>
  <c r="X120" i="1"/>
  <c r="F162" i="1"/>
  <c r="K162" i="1"/>
  <c r="L162" i="1" s="1"/>
  <c r="W187" i="1"/>
  <c r="V187" i="1"/>
  <c r="U187" i="1"/>
  <c r="T187" i="1"/>
  <c r="R187" i="1"/>
  <c r="Q187" i="1"/>
  <c r="P187" i="1"/>
  <c r="O187" i="1"/>
  <c r="J187" i="1"/>
  <c r="I187" i="1"/>
  <c r="H187" i="1"/>
  <c r="G187" i="1"/>
  <c r="E187" i="1"/>
  <c r="D187" i="1"/>
  <c r="C187" i="1"/>
  <c r="B187" i="1"/>
  <c r="X186" i="1"/>
  <c r="S186" i="1"/>
  <c r="K186" i="1"/>
  <c r="F186" i="1"/>
  <c r="L186" i="1" s="1"/>
  <c r="X185" i="1"/>
  <c r="S185" i="1"/>
  <c r="K185" i="1"/>
  <c r="F185" i="1"/>
  <c r="K184" i="1"/>
  <c r="F184" i="1"/>
  <c r="K183" i="1"/>
  <c r="F183" i="1"/>
  <c r="X182" i="1"/>
  <c r="S182" i="1"/>
  <c r="K182" i="1"/>
  <c r="F182" i="1"/>
  <c r="L182" i="1" s="1"/>
  <c r="Y181" i="1"/>
  <c r="X181" i="1"/>
  <c r="S181" i="1"/>
  <c r="K181" i="1"/>
  <c r="F181" i="1"/>
  <c r="X180" i="1"/>
  <c r="S180" i="1"/>
  <c r="Y180" i="1" s="1"/>
  <c r="K180" i="1"/>
  <c r="F180" i="1"/>
  <c r="X179" i="1"/>
  <c r="S179" i="1"/>
  <c r="Y179" i="1" s="1"/>
  <c r="K179" i="1"/>
  <c r="F179" i="1"/>
  <c r="X178" i="1"/>
  <c r="S178" i="1"/>
  <c r="Y178" i="1" s="1"/>
  <c r="K178" i="1"/>
  <c r="F178" i="1"/>
  <c r="X177" i="1"/>
  <c r="S177" i="1"/>
  <c r="Y177" i="1" s="1"/>
  <c r="K177" i="1"/>
  <c r="F177" i="1"/>
  <c r="X176" i="1"/>
  <c r="S176" i="1"/>
  <c r="Y176" i="1" s="1"/>
  <c r="K176" i="1"/>
  <c r="F176" i="1"/>
  <c r="L176" i="1" s="1"/>
  <c r="X175" i="1"/>
  <c r="Y175" i="1" s="1"/>
  <c r="S175" i="1"/>
  <c r="K175" i="1"/>
  <c r="F175" i="1"/>
  <c r="X174" i="1"/>
  <c r="S174" i="1"/>
  <c r="K174" i="1"/>
  <c r="F174" i="1"/>
  <c r="L174" i="1" s="1"/>
  <c r="Y173" i="1"/>
  <c r="X173" i="1"/>
  <c r="S173" i="1"/>
  <c r="K173" i="1"/>
  <c r="F173" i="1"/>
  <c r="L173" i="1" s="1"/>
  <c r="X172" i="1"/>
  <c r="S172" i="1"/>
  <c r="K172" i="1"/>
  <c r="F172" i="1"/>
  <c r="L172" i="1" s="1"/>
  <c r="X171" i="1"/>
  <c r="S171" i="1"/>
  <c r="K171" i="1"/>
  <c r="F171" i="1"/>
  <c r="L171" i="1" s="1"/>
  <c r="X170" i="1"/>
  <c r="S170" i="1"/>
  <c r="K170" i="1"/>
  <c r="F170" i="1"/>
  <c r="L170" i="1" s="1"/>
  <c r="X169" i="1"/>
  <c r="S169" i="1"/>
  <c r="K169" i="1"/>
  <c r="F169" i="1"/>
  <c r="L169" i="1" s="1"/>
  <c r="X168" i="1"/>
  <c r="S168" i="1"/>
  <c r="K168" i="1"/>
  <c r="F168" i="1"/>
  <c r="L168" i="1" s="1"/>
  <c r="X167" i="1"/>
  <c r="S167" i="1"/>
  <c r="K167" i="1"/>
  <c r="F167" i="1"/>
  <c r="L167" i="1" s="1"/>
  <c r="X166" i="1"/>
  <c r="S166" i="1"/>
  <c r="K166" i="1"/>
  <c r="F166" i="1"/>
  <c r="L166" i="1" s="1"/>
  <c r="X165" i="1"/>
  <c r="S165" i="1"/>
  <c r="K165" i="1"/>
  <c r="F165" i="1"/>
  <c r="L165" i="1" s="1"/>
  <c r="K164" i="1"/>
  <c r="F164" i="1"/>
  <c r="L164" i="1" s="1"/>
  <c r="K163" i="1"/>
  <c r="F163" i="1"/>
  <c r="L163" i="1" s="1"/>
  <c r="X162" i="1"/>
  <c r="S162" i="1"/>
  <c r="X160" i="1"/>
  <c r="S160" i="1"/>
  <c r="K160" i="1"/>
  <c r="F160" i="1"/>
  <c r="L160" i="1" s="1"/>
  <c r="X159" i="1"/>
  <c r="S159" i="1"/>
  <c r="K159" i="1"/>
  <c r="F159" i="1"/>
  <c r="L159" i="1" s="1"/>
  <c r="X158" i="1"/>
  <c r="S158" i="1"/>
  <c r="K158" i="1"/>
  <c r="F158" i="1"/>
  <c r="L158" i="1" s="1"/>
  <c r="X157" i="1"/>
  <c r="S157" i="1"/>
  <c r="K157" i="1"/>
  <c r="F157" i="1"/>
  <c r="X61" i="1"/>
  <c r="S61" i="1"/>
  <c r="X60" i="1"/>
  <c r="S60" i="1"/>
  <c r="Y60" i="1" s="1"/>
  <c r="X59" i="1"/>
  <c r="S59" i="1"/>
  <c r="Y59" i="1" s="1"/>
  <c r="X83" i="1"/>
  <c r="S83" i="1"/>
  <c r="Y83" i="1" s="1"/>
  <c r="X82" i="1"/>
  <c r="S82" i="1"/>
  <c r="F124" i="1"/>
  <c r="K124" i="1"/>
  <c r="F125" i="1"/>
  <c r="K125" i="1"/>
  <c r="F126" i="1"/>
  <c r="K126" i="1"/>
  <c r="L126" i="1" s="1"/>
  <c r="J149" i="1"/>
  <c r="I149" i="1"/>
  <c r="H149" i="1"/>
  <c r="G149" i="1"/>
  <c r="E149" i="1"/>
  <c r="D149" i="1"/>
  <c r="C149" i="1"/>
  <c r="B149" i="1"/>
  <c r="K148" i="1"/>
  <c r="F148" i="1"/>
  <c r="K147" i="1"/>
  <c r="F147" i="1"/>
  <c r="L147" i="1" s="1"/>
  <c r="K146" i="1"/>
  <c r="F146" i="1"/>
  <c r="K145" i="1"/>
  <c r="F145" i="1"/>
  <c r="K144" i="1"/>
  <c r="F144" i="1"/>
  <c r="K143" i="1"/>
  <c r="F143" i="1"/>
  <c r="L143" i="1" s="1"/>
  <c r="K142" i="1"/>
  <c r="F142" i="1"/>
  <c r="K141" i="1"/>
  <c r="F141" i="1"/>
  <c r="L141" i="1" s="1"/>
  <c r="K140" i="1"/>
  <c r="F140" i="1"/>
  <c r="K139" i="1"/>
  <c r="F139" i="1"/>
  <c r="K138" i="1"/>
  <c r="F138" i="1"/>
  <c r="K137" i="1"/>
  <c r="F137" i="1"/>
  <c r="L137" i="1" s="1"/>
  <c r="K136" i="1"/>
  <c r="F136" i="1"/>
  <c r="K135" i="1"/>
  <c r="F135" i="1"/>
  <c r="L135" i="1" s="1"/>
  <c r="K134" i="1"/>
  <c r="F134" i="1"/>
  <c r="L134" i="1" s="1"/>
  <c r="K133" i="1"/>
  <c r="F133" i="1"/>
  <c r="L133" i="1" s="1"/>
  <c r="K132" i="1"/>
  <c r="F132" i="1"/>
  <c r="K131" i="1"/>
  <c r="F131" i="1"/>
  <c r="L131" i="1" s="1"/>
  <c r="K130" i="1"/>
  <c r="F130" i="1"/>
  <c r="K128" i="1"/>
  <c r="F128" i="1"/>
  <c r="K127" i="1"/>
  <c r="F127" i="1"/>
  <c r="K122" i="1"/>
  <c r="F122" i="1"/>
  <c r="L122" i="1" s="1"/>
  <c r="K121" i="1"/>
  <c r="F121" i="1"/>
  <c r="L121" i="1" s="1"/>
  <c r="K120" i="1"/>
  <c r="F120" i="1"/>
  <c r="K119" i="1"/>
  <c r="F119" i="1"/>
  <c r="S148" i="1"/>
  <c r="X148" i="1"/>
  <c r="S146" i="1"/>
  <c r="Y146" i="1" s="1"/>
  <c r="X146" i="1"/>
  <c r="S147" i="1"/>
  <c r="X147" i="1"/>
  <c r="W149" i="1"/>
  <c r="V149" i="1"/>
  <c r="U149" i="1"/>
  <c r="T149" i="1"/>
  <c r="R149" i="1"/>
  <c r="Q149" i="1"/>
  <c r="P149" i="1"/>
  <c r="O149" i="1"/>
  <c r="X145" i="1"/>
  <c r="S145" i="1"/>
  <c r="X144" i="1"/>
  <c r="S144" i="1"/>
  <c r="Y144" i="1" s="1"/>
  <c r="X143" i="1"/>
  <c r="S143" i="1"/>
  <c r="X142" i="1"/>
  <c r="S142" i="1"/>
  <c r="Y142" i="1" s="1"/>
  <c r="Y141" i="1"/>
  <c r="X141" i="1"/>
  <c r="S141" i="1"/>
  <c r="X140" i="1"/>
  <c r="S140" i="1"/>
  <c r="Y140" i="1" s="1"/>
  <c r="X139" i="1"/>
  <c r="S139" i="1"/>
  <c r="Y139" i="1" s="1"/>
  <c r="X138" i="1"/>
  <c r="S138" i="1"/>
  <c r="X137" i="1"/>
  <c r="S137" i="1"/>
  <c r="Y137" i="1" s="1"/>
  <c r="X136" i="1"/>
  <c r="S136" i="1"/>
  <c r="Y136" i="1" s="1"/>
  <c r="X135" i="1"/>
  <c r="S135" i="1"/>
  <c r="Y135" i="1" s="1"/>
  <c r="X134" i="1"/>
  <c r="S134" i="1"/>
  <c r="Y134" i="1" s="1"/>
  <c r="X133" i="1"/>
  <c r="S133" i="1"/>
  <c r="Y133" i="1" s="1"/>
  <c r="X132" i="1"/>
  <c r="S132" i="1"/>
  <c r="Y132" i="1" s="1"/>
  <c r="X131" i="1"/>
  <c r="S131" i="1"/>
  <c r="Y131" i="1" s="1"/>
  <c r="X130" i="1"/>
  <c r="S130" i="1"/>
  <c r="X129" i="1"/>
  <c r="S129" i="1"/>
  <c r="X128" i="1"/>
  <c r="S128" i="1"/>
  <c r="X127" i="1"/>
  <c r="S127" i="1"/>
  <c r="Y127" i="1" s="1"/>
  <c r="X126" i="1"/>
  <c r="S126" i="1"/>
  <c r="X125" i="1"/>
  <c r="S125" i="1"/>
  <c r="X124" i="1"/>
  <c r="S124" i="1"/>
  <c r="X122" i="1"/>
  <c r="S122" i="1"/>
  <c r="Y122" i="1" s="1"/>
  <c r="X121" i="1"/>
  <c r="Y121" i="1" s="1"/>
  <c r="S121" i="1"/>
  <c r="K83" i="1"/>
  <c r="F83" i="1"/>
  <c r="L83" i="1" s="1"/>
  <c r="X58" i="1"/>
  <c r="S58" i="1"/>
  <c r="X57" i="1"/>
  <c r="S57" i="1"/>
  <c r="Y57" i="1" s="1"/>
  <c r="X56" i="1"/>
  <c r="S56" i="1"/>
  <c r="S55" i="1"/>
  <c r="X55" i="1"/>
  <c r="Y55" i="1" s="1"/>
  <c r="X53" i="1"/>
  <c r="S53" i="1"/>
  <c r="X50" i="1"/>
  <c r="S50" i="1"/>
  <c r="S44" i="1"/>
  <c r="X44" i="1"/>
  <c r="S45" i="1"/>
  <c r="X45" i="1"/>
  <c r="S46" i="1"/>
  <c r="X46" i="1"/>
  <c r="X81" i="1"/>
  <c r="X84" i="1"/>
  <c r="S84" i="1"/>
  <c r="S109" i="1"/>
  <c r="X109" i="1"/>
  <c r="X110" i="1"/>
  <c r="S110" i="1"/>
  <c r="Y110" i="1" s="1"/>
  <c r="F32" i="1"/>
  <c r="K32" i="1"/>
  <c r="X24" i="1"/>
  <c r="S24" i="1"/>
  <c r="Y24" i="1" s="1"/>
  <c r="X23" i="1"/>
  <c r="S23" i="1"/>
  <c r="Y23" i="1" s="1"/>
  <c r="X19" i="1"/>
  <c r="S19" i="1"/>
  <c r="X13" i="1"/>
  <c r="S13" i="1"/>
  <c r="Y13" i="1" s="1"/>
  <c r="K18" i="1"/>
  <c r="F18" i="1"/>
  <c r="L18" i="1" s="1"/>
  <c r="S107" i="1"/>
  <c r="X107" i="1"/>
  <c r="S108" i="1"/>
  <c r="X108" i="1"/>
  <c r="X72" i="1"/>
  <c r="S72" i="1"/>
  <c r="X71" i="1"/>
  <c r="S71" i="1"/>
  <c r="X32" i="1"/>
  <c r="S70" i="1"/>
  <c r="X70" i="1"/>
  <c r="X10" i="1"/>
  <c r="S10" i="1"/>
  <c r="S69" i="1"/>
  <c r="X69" i="1"/>
  <c r="Y69" i="1" s="1"/>
  <c r="S106" i="1"/>
  <c r="X106" i="1"/>
  <c r="S81" i="1"/>
  <c r="W111" i="1"/>
  <c r="V111" i="1"/>
  <c r="U111" i="1"/>
  <c r="T111" i="1"/>
  <c r="R111" i="1"/>
  <c r="Q111" i="1"/>
  <c r="P111" i="1"/>
  <c r="O111" i="1"/>
  <c r="J111" i="1"/>
  <c r="I111" i="1"/>
  <c r="H111" i="1"/>
  <c r="G111" i="1"/>
  <c r="E111" i="1"/>
  <c r="D111" i="1"/>
  <c r="C111" i="1"/>
  <c r="B111" i="1"/>
  <c r="K110" i="1"/>
  <c r="F110" i="1"/>
  <c r="L110" i="1" s="1"/>
  <c r="K109" i="1"/>
  <c r="F109" i="1"/>
  <c r="K108" i="1"/>
  <c r="F108" i="1"/>
  <c r="L108" i="1" s="1"/>
  <c r="K107" i="1"/>
  <c r="F107" i="1"/>
  <c r="K106" i="1"/>
  <c r="F106" i="1"/>
  <c r="L106" i="1" s="1"/>
  <c r="X105" i="1"/>
  <c r="S105" i="1"/>
  <c r="K105" i="1"/>
  <c r="F105" i="1"/>
  <c r="L105" i="1" s="1"/>
  <c r="X104" i="1"/>
  <c r="S104" i="1"/>
  <c r="K104" i="1"/>
  <c r="F104" i="1"/>
  <c r="X103" i="1"/>
  <c r="S103" i="1"/>
  <c r="K103" i="1"/>
  <c r="F103" i="1"/>
  <c r="L103" i="1" s="1"/>
  <c r="X102" i="1"/>
  <c r="S102" i="1"/>
  <c r="K102" i="1"/>
  <c r="F102" i="1"/>
  <c r="X101" i="1"/>
  <c r="S101" i="1"/>
  <c r="K101" i="1"/>
  <c r="F101" i="1"/>
  <c r="L101" i="1" s="1"/>
  <c r="X100" i="1"/>
  <c r="S100" i="1"/>
  <c r="K100" i="1"/>
  <c r="F100" i="1"/>
  <c r="X99" i="1"/>
  <c r="S99" i="1"/>
  <c r="K99" i="1"/>
  <c r="F99" i="1"/>
  <c r="X98" i="1"/>
  <c r="S98" i="1"/>
  <c r="K98" i="1"/>
  <c r="F98" i="1"/>
  <c r="X97" i="1"/>
  <c r="S97" i="1"/>
  <c r="K97" i="1"/>
  <c r="F97" i="1"/>
  <c r="L97" i="1" s="1"/>
  <c r="X96" i="1"/>
  <c r="S96" i="1"/>
  <c r="K96" i="1"/>
  <c r="F96" i="1"/>
  <c r="L96" i="1" s="1"/>
  <c r="X95" i="1"/>
  <c r="S95" i="1"/>
  <c r="K95" i="1"/>
  <c r="F95" i="1"/>
  <c r="L95" i="1" s="1"/>
  <c r="X94" i="1"/>
  <c r="S94" i="1"/>
  <c r="K94" i="1"/>
  <c r="F94" i="1"/>
  <c r="L94" i="1" s="1"/>
  <c r="X93" i="1"/>
  <c r="S93" i="1"/>
  <c r="K93" i="1"/>
  <c r="F93" i="1"/>
  <c r="L93" i="1" s="1"/>
  <c r="X92" i="1"/>
  <c r="S92" i="1"/>
  <c r="K92" i="1"/>
  <c r="F92" i="1"/>
  <c r="L92" i="1" s="1"/>
  <c r="X91" i="1"/>
  <c r="S91" i="1"/>
  <c r="K91" i="1"/>
  <c r="F91" i="1"/>
  <c r="L91" i="1" s="1"/>
  <c r="X90" i="1"/>
  <c r="S90" i="1"/>
  <c r="K90" i="1"/>
  <c r="F90" i="1"/>
  <c r="L90" i="1" s="1"/>
  <c r="X89" i="1"/>
  <c r="S89" i="1"/>
  <c r="K89" i="1"/>
  <c r="F89" i="1"/>
  <c r="X88" i="1"/>
  <c r="S88" i="1"/>
  <c r="K88" i="1"/>
  <c r="F88" i="1"/>
  <c r="L88" i="1" s="1"/>
  <c r="X87" i="1"/>
  <c r="S87" i="1"/>
  <c r="K87" i="1"/>
  <c r="F87" i="1"/>
  <c r="L87" i="1" s="1"/>
  <c r="X86" i="1"/>
  <c r="S86" i="1"/>
  <c r="K86" i="1"/>
  <c r="F86" i="1"/>
  <c r="L86" i="1" s="1"/>
  <c r="K84" i="1"/>
  <c r="F84" i="1"/>
  <c r="K82" i="1"/>
  <c r="F82" i="1"/>
  <c r="K81" i="1"/>
  <c r="F81" i="1"/>
  <c r="S4" i="1"/>
  <c r="X4" i="1"/>
  <c r="Y4" i="1" s="1"/>
  <c r="S5" i="1"/>
  <c r="X5" i="1"/>
  <c r="S6" i="1"/>
  <c r="X6" i="1"/>
  <c r="Y6" i="1" s="1"/>
  <c r="S33" i="1"/>
  <c r="X33" i="1"/>
  <c r="S34" i="1"/>
  <c r="X34" i="1"/>
  <c r="L221" i="1" l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I264" i="1"/>
  <c r="K263" i="1"/>
  <c r="L238" i="1"/>
  <c r="F263" i="1"/>
  <c r="L236" i="1"/>
  <c r="L235" i="1"/>
  <c r="L234" i="1"/>
  <c r="L233" i="1"/>
  <c r="G237" i="1"/>
  <c r="G264" i="1" s="1"/>
  <c r="Y205" i="1"/>
  <c r="H226" i="1"/>
  <c r="H232" i="1" s="1"/>
  <c r="J226" i="1"/>
  <c r="J232" i="1" s="1"/>
  <c r="J237" i="1" s="1"/>
  <c r="J264" i="1" s="1"/>
  <c r="Y203" i="1"/>
  <c r="L198" i="1"/>
  <c r="L209" i="1"/>
  <c r="Y202" i="1"/>
  <c r="B226" i="1"/>
  <c r="B232" i="1" s="1"/>
  <c r="L207" i="1"/>
  <c r="E226" i="1"/>
  <c r="E232" i="1" s="1"/>
  <c r="E237" i="1" s="1"/>
  <c r="E264" i="1" s="1"/>
  <c r="K225" i="1"/>
  <c r="K226" i="1" s="1"/>
  <c r="F225" i="1"/>
  <c r="X225" i="1"/>
  <c r="D226" i="1"/>
  <c r="D232" i="1" s="1"/>
  <c r="D237" i="1" s="1"/>
  <c r="D264" i="1" s="1"/>
  <c r="Y195" i="1"/>
  <c r="Y200" i="1"/>
  <c r="O225" i="1"/>
  <c r="S225" i="1" s="1"/>
  <c r="Y225" i="1" s="1"/>
  <c r="C226" i="1"/>
  <c r="C232" i="1" s="1"/>
  <c r="C237" i="1" s="1"/>
  <c r="C264" i="1" s="1"/>
  <c r="L204" i="1"/>
  <c r="L211" i="1"/>
  <c r="L220" i="1"/>
  <c r="L224" i="1"/>
  <c r="L203" i="1"/>
  <c r="L212" i="1"/>
  <c r="L219" i="1"/>
  <c r="K199" i="1"/>
  <c r="L195" i="1"/>
  <c r="L194" i="1"/>
  <c r="F199" i="1"/>
  <c r="G199" i="1"/>
  <c r="G226" i="1" s="1"/>
  <c r="L184" i="1"/>
  <c r="L180" i="1"/>
  <c r="L179" i="1"/>
  <c r="Y130" i="1"/>
  <c r="Y138" i="1"/>
  <c r="L140" i="1"/>
  <c r="L144" i="1"/>
  <c r="L148" i="1"/>
  <c r="Y82" i="1"/>
  <c r="L181" i="1"/>
  <c r="Y120" i="1"/>
  <c r="Y81" i="1"/>
  <c r="Y45" i="1"/>
  <c r="Y50" i="1"/>
  <c r="Y147" i="1"/>
  <c r="L183" i="1"/>
  <c r="Y106" i="1"/>
  <c r="Y10" i="1"/>
  <c r="Y107" i="1"/>
  <c r="Y46" i="1"/>
  <c r="Y53" i="1"/>
  <c r="Y56" i="1"/>
  <c r="Y58" i="1"/>
  <c r="Y143" i="1"/>
  <c r="Y145" i="1"/>
  <c r="Y174" i="1"/>
  <c r="Y182" i="1"/>
  <c r="L185" i="1"/>
  <c r="L178" i="1"/>
  <c r="L177" i="1"/>
  <c r="L175" i="1"/>
  <c r="L120" i="1"/>
  <c r="Y158" i="1"/>
  <c r="Y160" i="1"/>
  <c r="K187" i="1"/>
  <c r="Y44" i="1"/>
  <c r="Y125" i="1"/>
  <c r="Y148" i="1"/>
  <c r="Y157" i="1"/>
  <c r="Y159" i="1"/>
  <c r="F187" i="1"/>
  <c r="Y5" i="1"/>
  <c r="Y86" i="1"/>
  <c r="Y88" i="1"/>
  <c r="Y90" i="1"/>
  <c r="Y92" i="1"/>
  <c r="Y94" i="1"/>
  <c r="Y96" i="1"/>
  <c r="Y97" i="1"/>
  <c r="Y98" i="1"/>
  <c r="Y99" i="1"/>
  <c r="Y100" i="1"/>
  <c r="Y101" i="1"/>
  <c r="Y102" i="1"/>
  <c r="Y103" i="1"/>
  <c r="Y104" i="1"/>
  <c r="Y105" i="1"/>
  <c r="Y70" i="1"/>
  <c r="Y126" i="1"/>
  <c r="Y128" i="1"/>
  <c r="L132" i="1"/>
  <c r="L136" i="1"/>
  <c r="L138" i="1"/>
  <c r="L142" i="1"/>
  <c r="L125" i="1"/>
  <c r="Y162" i="1"/>
  <c r="Y165" i="1"/>
  <c r="Y166" i="1"/>
  <c r="Y167" i="1"/>
  <c r="Y168" i="1"/>
  <c r="Y169" i="1"/>
  <c r="Y170" i="1"/>
  <c r="Y171" i="1"/>
  <c r="Y172" i="1"/>
  <c r="L157" i="1"/>
  <c r="L146" i="1"/>
  <c r="X187" i="1"/>
  <c r="Y185" i="1"/>
  <c r="Y186" i="1"/>
  <c r="S187" i="1"/>
  <c r="L145" i="1"/>
  <c r="L139" i="1"/>
  <c r="Y129" i="1"/>
  <c r="L130" i="1"/>
  <c r="Y124" i="1"/>
  <c r="L119" i="1"/>
  <c r="L128" i="1"/>
  <c r="L127" i="1"/>
  <c r="L124" i="1"/>
  <c r="L109" i="1"/>
  <c r="Y61" i="1"/>
  <c r="L107" i="1"/>
  <c r="L104" i="1"/>
  <c r="L102" i="1"/>
  <c r="L100" i="1"/>
  <c r="L99" i="1"/>
  <c r="L98" i="1"/>
  <c r="F111" i="1"/>
  <c r="L89" i="1"/>
  <c r="F149" i="1"/>
  <c r="K149" i="1"/>
  <c r="S149" i="1"/>
  <c r="X149" i="1"/>
  <c r="K111" i="1"/>
  <c r="L111" i="1" s="1"/>
  <c r="L84" i="1"/>
  <c r="L82" i="1"/>
  <c r="Y109" i="1"/>
  <c r="Y108" i="1"/>
  <c r="L81" i="1"/>
  <c r="Y84" i="1"/>
  <c r="L32" i="1"/>
  <c r="Y19" i="1"/>
  <c r="S32" i="1"/>
  <c r="Y32" i="1" s="1"/>
  <c r="Y72" i="1"/>
  <c r="Y71" i="1"/>
  <c r="S111" i="1"/>
  <c r="X111" i="1"/>
  <c r="Y87" i="1"/>
  <c r="Y89" i="1"/>
  <c r="Y91" i="1"/>
  <c r="Y93" i="1"/>
  <c r="Y95" i="1"/>
  <c r="Y33" i="1"/>
  <c r="Y34" i="1"/>
  <c r="W73" i="1"/>
  <c r="V73" i="1"/>
  <c r="U73" i="1"/>
  <c r="T73" i="1"/>
  <c r="R73" i="1"/>
  <c r="Q73" i="1"/>
  <c r="P73" i="1"/>
  <c r="O73" i="1"/>
  <c r="X68" i="1"/>
  <c r="S68" i="1"/>
  <c r="X67" i="1"/>
  <c r="S67" i="1"/>
  <c r="Y67" i="1" s="1"/>
  <c r="X66" i="1"/>
  <c r="S66" i="1"/>
  <c r="X65" i="1"/>
  <c r="S65" i="1"/>
  <c r="Y65" i="1" s="1"/>
  <c r="X64" i="1"/>
  <c r="S64" i="1"/>
  <c r="X63" i="1"/>
  <c r="S63" i="1"/>
  <c r="Y63" i="1" s="1"/>
  <c r="X62" i="1"/>
  <c r="S62" i="1"/>
  <c r="X54" i="1"/>
  <c r="S54" i="1"/>
  <c r="X52" i="1"/>
  <c r="S52" i="1"/>
  <c r="X51" i="1"/>
  <c r="S51" i="1"/>
  <c r="X49" i="1"/>
  <c r="S49" i="1"/>
  <c r="X48" i="1"/>
  <c r="S48" i="1"/>
  <c r="X43" i="1"/>
  <c r="S43" i="1"/>
  <c r="W35" i="1"/>
  <c r="V35" i="1"/>
  <c r="U35" i="1"/>
  <c r="T35" i="1"/>
  <c r="R35" i="1"/>
  <c r="Q35" i="1"/>
  <c r="P35" i="1"/>
  <c r="O35" i="1"/>
  <c r="X31" i="1"/>
  <c r="S31" i="1"/>
  <c r="Y31" i="1" s="1"/>
  <c r="X30" i="1"/>
  <c r="S30" i="1"/>
  <c r="X29" i="1"/>
  <c r="S29" i="1"/>
  <c r="Y29" i="1" s="1"/>
  <c r="X28" i="1"/>
  <c r="S28" i="1"/>
  <c r="X27" i="1"/>
  <c r="S27" i="1"/>
  <c r="Y27" i="1" s="1"/>
  <c r="X26" i="1"/>
  <c r="S26" i="1"/>
  <c r="X25" i="1"/>
  <c r="S25" i="1"/>
  <c r="X22" i="1"/>
  <c r="S22" i="1"/>
  <c r="X21" i="1"/>
  <c r="S21" i="1"/>
  <c r="X20" i="1"/>
  <c r="S20" i="1"/>
  <c r="X18" i="1"/>
  <c r="S18" i="1"/>
  <c r="Y18" i="1" s="1"/>
  <c r="X17" i="1"/>
  <c r="S17" i="1"/>
  <c r="X16" i="1"/>
  <c r="S16" i="1"/>
  <c r="X15" i="1"/>
  <c r="S15" i="1"/>
  <c r="X14" i="1"/>
  <c r="S14" i="1"/>
  <c r="Y14" i="1" s="1"/>
  <c r="X12" i="1"/>
  <c r="S12" i="1"/>
  <c r="X11" i="1"/>
  <c r="S11" i="1"/>
  <c r="Y11" i="1" s="1"/>
  <c r="W9" i="1"/>
  <c r="V9" i="1"/>
  <c r="U9" i="1"/>
  <c r="T9" i="1"/>
  <c r="R9" i="1"/>
  <c r="Q9" i="1"/>
  <c r="P9" i="1"/>
  <c r="O9" i="1"/>
  <c r="X8" i="1"/>
  <c r="S8" i="1"/>
  <c r="X7" i="1"/>
  <c r="S7" i="1"/>
  <c r="S9" i="1" s="1"/>
  <c r="X9" i="1"/>
  <c r="F7" i="1"/>
  <c r="K7" i="1"/>
  <c r="F6" i="1"/>
  <c r="F5" i="1"/>
  <c r="F4" i="1"/>
  <c r="K66" i="1"/>
  <c r="K232" i="1" l="1"/>
  <c r="K237" i="1" s="1"/>
  <c r="H237" i="1"/>
  <c r="H264" i="1" s="1"/>
  <c r="F232" i="1"/>
  <c r="B237" i="1"/>
  <c r="B264" i="1" s="1"/>
  <c r="L263" i="1"/>
  <c r="K264" i="1"/>
  <c r="L225" i="1"/>
  <c r="L199" i="1"/>
  <c r="F226" i="1"/>
  <c r="L226" i="1" s="1"/>
  <c r="L187" i="1"/>
  <c r="Y12" i="1"/>
  <c r="Y28" i="1"/>
  <c r="Y30" i="1"/>
  <c r="Y52" i="1"/>
  <c r="Y62" i="1"/>
  <c r="Y64" i="1"/>
  <c r="Y66" i="1"/>
  <c r="Y68" i="1"/>
  <c r="Y187" i="1"/>
  <c r="L149" i="1"/>
  <c r="Y149" i="1"/>
  <c r="Y54" i="1"/>
  <c r="Y51" i="1"/>
  <c r="Y49" i="1"/>
  <c r="Y8" i="1"/>
  <c r="Y26" i="1"/>
  <c r="Y25" i="1"/>
  <c r="Y22" i="1"/>
  <c r="Y21" i="1"/>
  <c r="Y20" i="1"/>
  <c r="Y17" i="1"/>
  <c r="Y16" i="1"/>
  <c r="Y15" i="1"/>
  <c r="Y48" i="1"/>
  <c r="Y111" i="1"/>
  <c r="Y43" i="1"/>
  <c r="Y7" i="1"/>
  <c r="X73" i="1"/>
  <c r="S73" i="1"/>
  <c r="W36" i="1"/>
  <c r="W42" i="1" s="1"/>
  <c r="W47" i="1" s="1"/>
  <c r="W74" i="1" s="1"/>
  <c r="W80" i="1" s="1"/>
  <c r="W85" i="1" s="1"/>
  <c r="W112" i="1" s="1"/>
  <c r="W118" i="1" s="1"/>
  <c r="W123" i="1" s="1"/>
  <c r="W150" i="1" s="1"/>
  <c r="W156" i="1" s="1"/>
  <c r="W161" i="1" s="1"/>
  <c r="W188" i="1" s="1"/>
  <c r="W194" i="1" s="1"/>
  <c r="W199" i="1" s="1"/>
  <c r="W226" i="1" s="1"/>
  <c r="V36" i="1"/>
  <c r="V42" i="1" s="1"/>
  <c r="V47" i="1" s="1"/>
  <c r="V74" i="1" s="1"/>
  <c r="V80" i="1" s="1"/>
  <c r="V85" i="1" s="1"/>
  <c r="V112" i="1" s="1"/>
  <c r="V118" i="1" s="1"/>
  <c r="V123" i="1" s="1"/>
  <c r="V150" i="1" s="1"/>
  <c r="V156" i="1" s="1"/>
  <c r="V161" i="1" s="1"/>
  <c r="V188" i="1" s="1"/>
  <c r="V194" i="1" s="1"/>
  <c r="V199" i="1" s="1"/>
  <c r="V226" i="1" s="1"/>
  <c r="U36" i="1"/>
  <c r="U42" i="1" s="1"/>
  <c r="U47" i="1" s="1"/>
  <c r="U74" i="1" s="1"/>
  <c r="U80" i="1" s="1"/>
  <c r="U85" i="1" s="1"/>
  <c r="U112" i="1" s="1"/>
  <c r="U118" i="1" s="1"/>
  <c r="U123" i="1" s="1"/>
  <c r="U150" i="1" s="1"/>
  <c r="U156" i="1" s="1"/>
  <c r="U161" i="1" s="1"/>
  <c r="U188" i="1" s="1"/>
  <c r="U194" i="1" s="1"/>
  <c r="U199" i="1" s="1"/>
  <c r="U226" i="1" s="1"/>
  <c r="X35" i="1"/>
  <c r="X36" i="1" s="1"/>
  <c r="T36" i="1"/>
  <c r="T42" i="1" s="1"/>
  <c r="T47" i="1" s="1"/>
  <c r="T74" i="1" s="1"/>
  <c r="T80" i="1" s="1"/>
  <c r="R36" i="1"/>
  <c r="R42" i="1" s="1"/>
  <c r="R47" i="1" s="1"/>
  <c r="R74" i="1" s="1"/>
  <c r="Q36" i="1"/>
  <c r="Q42" i="1" s="1"/>
  <c r="Q47" i="1" s="1"/>
  <c r="Q74" i="1" s="1"/>
  <c r="P36" i="1"/>
  <c r="P42" i="1" s="1"/>
  <c r="P47" i="1" s="1"/>
  <c r="P74" i="1" s="1"/>
  <c r="S35" i="1"/>
  <c r="O36" i="1"/>
  <c r="Y9" i="1"/>
  <c r="L7" i="1"/>
  <c r="K60" i="1"/>
  <c r="L232" i="1" l="1"/>
  <c r="F237" i="1"/>
  <c r="Q80" i="1"/>
  <c r="Q85" i="1" s="1"/>
  <c r="Q112" i="1" s="1"/>
  <c r="Q118" i="1" s="1"/>
  <c r="Q123" i="1" s="1"/>
  <c r="Q150" i="1" s="1"/>
  <c r="Q156" i="1" s="1"/>
  <c r="Q161" i="1" s="1"/>
  <c r="Q188" i="1" s="1"/>
  <c r="Q194" i="1" s="1"/>
  <c r="Q199" i="1" s="1"/>
  <c r="Q226" i="1" s="1"/>
  <c r="X80" i="1"/>
  <c r="X85" i="1" s="1"/>
  <c r="X112" i="1" s="1"/>
  <c r="T85" i="1"/>
  <c r="T112" i="1" s="1"/>
  <c r="T118" i="1" s="1"/>
  <c r="P80" i="1"/>
  <c r="P85" i="1" s="1"/>
  <c r="P112" i="1" s="1"/>
  <c r="P118" i="1" s="1"/>
  <c r="P123" i="1" s="1"/>
  <c r="P150" i="1" s="1"/>
  <c r="P156" i="1" s="1"/>
  <c r="R80" i="1"/>
  <c r="R85" i="1" s="1"/>
  <c r="R112" i="1" s="1"/>
  <c r="R118" i="1" s="1"/>
  <c r="R123" i="1" s="1"/>
  <c r="R150" i="1" s="1"/>
  <c r="R156" i="1" s="1"/>
  <c r="R161" i="1" s="1"/>
  <c r="R188" i="1" s="1"/>
  <c r="R194" i="1" s="1"/>
  <c r="R199" i="1" s="1"/>
  <c r="R226" i="1" s="1"/>
  <c r="Y73" i="1"/>
  <c r="O42" i="1"/>
  <c r="S42" i="1" s="1"/>
  <c r="S47" i="1" s="1"/>
  <c r="Y35" i="1"/>
  <c r="X42" i="1"/>
  <c r="X47" i="1" s="1"/>
  <c r="X74" i="1" s="1"/>
  <c r="S36" i="1"/>
  <c r="Q75" i="1" s="1"/>
  <c r="K58" i="1"/>
  <c r="F264" i="1" l="1"/>
  <c r="L264" i="1" s="1"/>
  <c r="L237" i="1"/>
  <c r="P161" i="1"/>
  <c r="P188" i="1" s="1"/>
  <c r="P194" i="1" s="1"/>
  <c r="P199" i="1" s="1"/>
  <c r="P226" i="1" s="1"/>
  <c r="X118" i="1"/>
  <c r="T123" i="1"/>
  <c r="T150" i="1" s="1"/>
  <c r="T156" i="1" s="1"/>
  <c r="R75" i="1"/>
  <c r="P75" i="1"/>
  <c r="O47" i="1"/>
  <c r="O74" i="1" s="1"/>
  <c r="Y36" i="1"/>
  <c r="P37" i="1"/>
  <c r="R37" i="1"/>
  <c r="Q37" i="1"/>
  <c r="S37" i="1"/>
  <c r="O37" i="1"/>
  <c r="Y42" i="1"/>
  <c r="S74" i="1"/>
  <c r="Y47" i="1"/>
  <c r="K54" i="1"/>
  <c r="T161" i="1" l="1"/>
  <c r="T188" i="1" s="1"/>
  <c r="T194" i="1" s="1"/>
  <c r="X156" i="1"/>
  <c r="X161" i="1" s="1"/>
  <c r="X188" i="1" s="1"/>
  <c r="X123" i="1"/>
  <c r="Y74" i="1"/>
  <c r="S75" i="1"/>
  <c r="O75" i="1"/>
  <c r="O80" i="1"/>
  <c r="K50" i="1"/>
  <c r="K30" i="1"/>
  <c r="K48" i="1"/>
  <c r="X194" i="1" l="1"/>
  <c r="T199" i="1"/>
  <c r="T226" i="1" s="1"/>
  <c r="X150" i="1"/>
  <c r="O85" i="1"/>
  <c r="O112" i="1" s="1"/>
  <c r="O118" i="1" s="1"/>
  <c r="S80" i="1"/>
  <c r="K26" i="1"/>
  <c r="X199" i="1" l="1"/>
  <c r="S118" i="1"/>
  <c r="O123" i="1"/>
  <c r="O150" i="1" s="1"/>
  <c r="O156" i="1" s="1"/>
  <c r="S85" i="1"/>
  <c r="Y80" i="1"/>
  <c r="K22" i="1"/>
  <c r="X226" i="1" l="1"/>
  <c r="O161" i="1"/>
  <c r="O188" i="1" s="1"/>
  <c r="O194" i="1" s="1"/>
  <c r="S156" i="1"/>
  <c r="S123" i="1"/>
  <c r="Y118" i="1"/>
  <c r="Y85" i="1"/>
  <c r="S112" i="1"/>
  <c r="Y112" i="1" s="1"/>
  <c r="K16" i="1"/>
  <c r="K15" i="1"/>
  <c r="S194" i="1" l="1"/>
  <c r="O199" i="1"/>
  <c r="O226" i="1" s="1"/>
  <c r="S161" i="1"/>
  <c r="Y156" i="1"/>
  <c r="S150" i="1"/>
  <c r="Y150" i="1" s="1"/>
  <c r="Y123" i="1"/>
  <c r="K13" i="1"/>
  <c r="S199" i="1" l="1"/>
  <c r="Y194" i="1"/>
  <c r="Y161" i="1"/>
  <c r="S188" i="1"/>
  <c r="Y188" i="1" s="1"/>
  <c r="K12" i="1"/>
  <c r="K11" i="1"/>
  <c r="F10" i="1"/>
  <c r="K10" i="1"/>
  <c r="K49" i="1"/>
  <c r="K51" i="1"/>
  <c r="K52" i="1"/>
  <c r="K53" i="1"/>
  <c r="K55" i="1"/>
  <c r="K56" i="1"/>
  <c r="K57" i="1"/>
  <c r="K59" i="1"/>
  <c r="K27" i="1"/>
  <c r="K28" i="1"/>
  <c r="K29" i="1"/>
  <c r="K31" i="1"/>
  <c r="K33" i="1"/>
  <c r="K34" i="1"/>
  <c r="K14" i="1"/>
  <c r="K17" i="1"/>
  <c r="K19" i="1"/>
  <c r="K20" i="1"/>
  <c r="K21" i="1"/>
  <c r="K23" i="1"/>
  <c r="F48" i="1"/>
  <c r="L48" i="1" s="1"/>
  <c r="F49" i="1"/>
  <c r="F50" i="1"/>
  <c r="L50" i="1" s="1"/>
  <c r="F51" i="1"/>
  <c r="F52" i="1"/>
  <c r="F53" i="1"/>
  <c r="F54" i="1"/>
  <c r="L54" i="1" s="1"/>
  <c r="F55" i="1"/>
  <c r="F56" i="1"/>
  <c r="F57" i="1"/>
  <c r="F58" i="1"/>
  <c r="L58" i="1" s="1"/>
  <c r="F59" i="1"/>
  <c r="F60" i="1"/>
  <c r="L60" i="1" s="1"/>
  <c r="F61" i="1"/>
  <c r="F62" i="1"/>
  <c r="F63" i="1"/>
  <c r="F64" i="1"/>
  <c r="F65" i="1"/>
  <c r="F66" i="1"/>
  <c r="L66" i="1" s="1"/>
  <c r="F67" i="1"/>
  <c r="F68" i="1"/>
  <c r="F11" i="1"/>
  <c r="F12" i="1"/>
  <c r="F13" i="1"/>
  <c r="L13" i="1" s="1"/>
  <c r="F14" i="1"/>
  <c r="F15" i="1"/>
  <c r="L15" i="1" s="1"/>
  <c r="F16" i="1"/>
  <c r="L16" i="1" s="1"/>
  <c r="F17" i="1"/>
  <c r="L17" i="1" s="1"/>
  <c r="F19" i="1"/>
  <c r="F20" i="1"/>
  <c r="L20" i="1" s="1"/>
  <c r="F21" i="1"/>
  <c r="F22" i="1"/>
  <c r="L22" i="1" s="1"/>
  <c r="F23" i="1"/>
  <c r="F24" i="1"/>
  <c r="F25" i="1"/>
  <c r="F26" i="1"/>
  <c r="L26" i="1" s="1"/>
  <c r="F27" i="1"/>
  <c r="F8" i="1"/>
  <c r="S226" i="1" l="1"/>
  <c r="Y226" i="1" s="1"/>
  <c r="Y199" i="1"/>
  <c r="L12" i="1"/>
  <c r="L57" i="1"/>
  <c r="L14" i="1"/>
  <c r="L52" i="1"/>
  <c r="L56" i="1"/>
  <c r="L55" i="1"/>
  <c r="L49" i="1"/>
  <c r="L27" i="1"/>
  <c r="L23" i="1"/>
  <c r="L19" i="1"/>
  <c r="L11" i="1"/>
  <c r="L59" i="1"/>
  <c r="L53" i="1"/>
  <c r="L51" i="1"/>
  <c r="L10" i="1"/>
  <c r="L21" i="1"/>
  <c r="K61" i="1"/>
  <c r="L61" i="1" s="1"/>
  <c r="F28" i="1" l="1"/>
  <c r="L28" i="1" s="1"/>
  <c r="K70" i="1" l="1"/>
  <c r="K69" i="1"/>
  <c r="K72" i="1" l="1"/>
  <c r="K71" i="1"/>
  <c r="E73" i="1" l="1"/>
  <c r="D73" i="1"/>
  <c r="C73" i="1"/>
  <c r="B73" i="1"/>
  <c r="F72" i="1"/>
  <c r="L72" i="1" s="1"/>
  <c r="F71" i="1"/>
  <c r="L71" i="1" s="1"/>
  <c r="F70" i="1"/>
  <c r="L70" i="1" s="1"/>
  <c r="F69" i="1"/>
  <c r="L69" i="1" s="1"/>
  <c r="F46" i="1"/>
  <c r="F45" i="1"/>
  <c r="F44" i="1"/>
  <c r="F43" i="1"/>
  <c r="K6" i="1"/>
  <c r="L6" i="1" s="1"/>
  <c r="K5" i="1"/>
  <c r="L5" i="1" s="1"/>
  <c r="J73" i="1"/>
  <c r="I73" i="1"/>
  <c r="H73" i="1"/>
  <c r="K68" i="1"/>
  <c r="L68" i="1" s="1"/>
  <c r="K67" i="1"/>
  <c r="L67" i="1" s="1"/>
  <c r="K65" i="1"/>
  <c r="L65" i="1" s="1"/>
  <c r="K64" i="1"/>
  <c r="L64" i="1" s="1"/>
  <c r="K63" i="1"/>
  <c r="L63" i="1" s="1"/>
  <c r="K62" i="1"/>
  <c r="L62" i="1" s="1"/>
  <c r="K46" i="1"/>
  <c r="K45" i="1"/>
  <c r="K44" i="1"/>
  <c r="K43" i="1"/>
  <c r="L44" i="1" l="1"/>
  <c r="L43" i="1"/>
  <c r="L46" i="1"/>
  <c r="L45" i="1"/>
  <c r="F73" i="1"/>
  <c r="G73" i="1"/>
  <c r="K73" i="1" l="1"/>
  <c r="L73" i="1" s="1"/>
  <c r="J35" i="1" l="1"/>
  <c r="I35" i="1"/>
  <c r="H35" i="1"/>
  <c r="G35" i="1"/>
  <c r="K25" i="1"/>
  <c r="L25" i="1" s="1"/>
  <c r="K24" i="1"/>
  <c r="L24" i="1" s="1"/>
  <c r="K8" i="1"/>
  <c r="L8" i="1" s="1"/>
  <c r="E35" i="1"/>
  <c r="D35" i="1"/>
  <c r="C35" i="1"/>
  <c r="B35" i="1"/>
  <c r="F34" i="1"/>
  <c r="L34" i="1" s="1"/>
  <c r="F33" i="1"/>
  <c r="L33" i="1" s="1"/>
  <c r="F31" i="1"/>
  <c r="L31" i="1" s="1"/>
  <c r="F30" i="1"/>
  <c r="L30" i="1" s="1"/>
  <c r="F29" i="1"/>
  <c r="L29" i="1" s="1"/>
  <c r="F35" i="1" l="1"/>
  <c r="K35" i="1"/>
  <c r="L35" i="1" l="1"/>
  <c r="E9" i="1"/>
  <c r="E36" i="1" s="1"/>
  <c r="E42" i="1" s="1"/>
  <c r="E47" i="1" s="1"/>
  <c r="E74" i="1" s="1"/>
  <c r="E80" i="1" s="1"/>
  <c r="E85" i="1" s="1"/>
  <c r="E112" i="1" s="1"/>
  <c r="E118" i="1" s="1"/>
  <c r="E123" i="1" s="1"/>
  <c r="E150" i="1" s="1"/>
  <c r="E156" i="1" s="1"/>
  <c r="E161" i="1" s="1"/>
  <c r="E188" i="1" s="1"/>
  <c r="J9" i="1" l="1"/>
  <c r="J36" i="1" s="1"/>
  <c r="J42" i="1" s="1"/>
  <c r="J47" i="1" s="1"/>
  <c r="J74" i="1" s="1"/>
  <c r="J80" i="1" s="1"/>
  <c r="J85" i="1" s="1"/>
  <c r="J112" i="1" s="1"/>
  <c r="J118" i="1" s="1"/>
  <c r="J123" i="1" s="1"/>
  <c r="J150" i="1" s="1"/>
  <c r="J156" i="1" s="1"/>
  <c r="J161" i="1" s="1"/>
  <c r="J188" i="1" s="1"/>
  <c r="I9" i="1"/>
  <c r="I36" i="1" s="1"/>
  <c r="I42" i="1" s="1"/>
  <c r="I47" i="1" s="1"/>
  <c r="I74" i="1" s="1"/>
  <c r="I80" i="1" s="1"/>
  <c r="I85" i="1" s="1"/>
  <c r="I112" i="1" s="1"/>
  <c r="I118" i="1" s="1"/>
  <c r="H9" i="1"/>
  <c r="H36" i="1" s="1"/>
  <c r="H42" i="1" s="1"/>
  <c r="H47" i="1" s="1"/>
  <c r="H74" i="1" s="1"/>
  <c r="H80" i="1" s="1"/>
  <c r="H85" i="1" s="1"/>
  <c r="H112" i="1" s="1"/>
  <c r="H118" i="1" s="1"/>
  <c r="H123" i="1" s="1"/>
  <c r="H150" i="1" s="1"/>
  <c r="H156" i="1" s="1"/>
  <c r="D9" i="1"/>
  <c r="D36" i="1" s="1"/>
  <c r="D42" i="1" s="1"/>
  <c r="D47" i="1" s="1"/>
  <c r="D74" i="1" s="1"/>
  <c r="D80" i="1" s="1"/>
  <c r="D85" i="1" s="1"/>
  <c r="D112" i="1" s="1"/>
  <c r="D118" i="1" s="1"/>
  <c r="D123" i="1" s="1"/>
  <c r="D150" i="1" s="1"/>
  <c r="D156" i="1" s="1"/>
  <c r="D161" i="1" s="1"/>
  <c r="D188" i="1" s="1"/>
  <c r="H161" i="1" l="1"/>
  <c r="H188" i="1" s="1"/>
  <c r="I123" i="1"/>
  <c r="I150" i="1" s="1"/>
  <c r="I156" i="1" s="1"/>
  <c r="I161" i="1" s="1"/>
  <c r="I188" i="1" s="1"/>
  <c r="C9" i="1"/>
  <c r="C36" i="1" s="1"/>
  <c r="C42" i="1" s="1"/>
  <c r="C47" i="1" s="1"/>
  <c r="C74" i="1" s="1"/>
  <c r="C80" i="1" s="1"/>
  <c r="C85" i="1" s="1"/>
  <c r="C112" i="1" s="1"/>
  <c r="C118" i="1" s="1"/>
  <c r="C123" i="1" l="1"/>
  <c r="C150" i="1" s="1"/>
  <c r="C156" i="1" s="1"/>
  <c r="B9" i="1"/>
  <c r="B36" i="1" s="1"/>
  <c r="B42" i="1" s="1"/>
  <c r="C161" i="1" l="1"/>
  <c r="C188" i="1" s="1"/>
  <c r="B47" i="1"/>
  <c r="B74" i="1" s="1"/>
  <c r="B80" i="1" s="1"/>
  <c r="F42" i="1"/>
  <c r="F9" i="1"/>
  <c r="K4" i="1"/>
  <c r="L4" i="1" s="1"/>
  <c r="G9" i="1"/>
  <c r="G36" i="1" s="1"/>
  <c r="G42" i="1" s="1"/>
  <c r="F80" i="1" l="1"/>
  <c r="B85" i="1"/>
  <c r="B112" i="1" s="1"/>
  <c r="B118" i="1" s="1"/>
  <c r="F47" i="1"/>
  <c r="G47" i="1"/>
  <c r="G74" i="1" s="1"/>
  <c r="G80" i="1" s="1"/>
  <c r="K42" i="1"/>
  <c r="L42" i="1" s="1"/>
  <c r="F36" i="1"/>
  <c r="K9" i="1"/>
  <c r="L9" i="1" s="1"/>
  <c r="B123" i="1" l="1"/>
  <c r="B150" i="1" s="1"/>
  <c r="B156" i="1" s="1"/>
  <c r="F118" i="1"/>
  <c r="F123" i="1" s="1"/>
  <c r="F150" i="1" s="1"/>
  <c r="G85" i="1"/>
  <c r="G112" i="1" s="1"/>
  <c r="G118" i="1" s="1"/>
  <c r="K80" i="1"/>
  <c r="K85" i="1" s="1"/>
  <c r="K112" i="1" s="1"/>
  <c r="F85" i="1"/>
  <c r="F74" i="1"/>
  <c r="K47" i="1"/>
  <c r="L47" i="1" s="1"/>
  <c r="K36" i="1"/>
  <c r="L36" i="1" s="1"/>
  <c r="B161" i="1" l="1"/>
  <c r="B188" i="1" s="1"/>
  <c r="F156" i="1"/>
  <c r="G123" i="1"/>
  <c r="G150" i="1" s="1"/>
  <c r="G156" i="1" s="1"/>
  <c r="K118" i="1"/>
  <c r="L80" i="1"/>
  <c r="F112" i="1"/>
  <c r="L112" i="1" s="1"/>
  <c r="L85" i="1"/>
  <c r="K74" i="1"/>
  <c r="L74" i="1" s="1"/>
  <c r="F161" i="1" l="1"/>
  <c r="G161" i="1"/>
  <c r="G188" i="1" s="1"/>
  <c r="K156" i="1"/>
  <c r="K161" i="1" s="1"/>
  <c r="K188" i="1" s="1"/>
  <c r="L118" i="1"/>
  <c r="K123" i="1"/>
  <c r="L156" i="1" l="1"/>
  <c r="F188" i="1"/>
  <c r="L188" i="1" s="1"/>
  <c r="L161" i="1"/>
  <c r="K150" i="1"/>
  <c r="L150" i="1" s="1"/>
  <c r="L123" i="1"/>
</calcChain>
</file>

<file path=xl/sharedStrings.xml><?xml version="1.0" encoding="utf-8"?>
<sst xmlns="http://schemas.openxmlformats.org/spreadsheetml/2006/main" count="564" uniqueCount="119">
  <si>
    <t>カラー</t>
  </si>
  <si>
    <t>サイズ</t>
  </si>
  <si>
    <t>計</t>
    <rPh sb="0" eb="1">
      <t>ケイ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</si>
  <si>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</si>
  <si>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</si>
  <si>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</si>
  <si>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</si>
  <si>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</si>
  <si>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</si>
  <si>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</si>
  <si>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在庫</t>
    <rPh sb="0" eb="2">
      <t>ザイコ</t>
    </rPh>
    <phoneticPr fontId="2"/>
  </si>
  <si>
    <t>追加１</t>
    <rPh sb="0" eb="2">
      <t>ツイカ</t>
    </rPh>
    <phoneticPr fontId="2"/>
  </si>
  <si>
    <t xml:space="preserve">初回  </t>
    <rPh sb="0" eb="2">
      <t>ショカイ</t>
    </rPh>
    <phoneticPr fontId="2"/>
  </si>
  <si>
    <t>計</t>
    <rPh sb="0" eb="1">
      <t>ケイ</t>
    </rPh>
    <phoneticPr fontId="5"/>
  </si>
  <si>
    <t>M</t>
    <phoneticPr fontId="5"/>
  </si>
  <si>
    <t>L</t>
    <phoneticPr fontId="5"/>
  </si>
  <si>
    <t>LL</t>
    <phoneticPr fontId="5"/>
  </si>
  <si>
    <t>3L</t>
    <phoneticPr fontId="5"/>
  </si>
  <si>
    <t>リーフ柄</t>
    <rPh sb="3" eb="4">
      <t>ガラ</t>
    </rPh>
    <phoneticPr fontId="5"/>
  </si>
  <si>
    <t>エスニック柄</t>
    <rPh sb="5" eb="6">
      <t>ガラ</t>
    </rPh>
    <phoneticPr fontId="5"/>
  </si>
  <si>
    <t>.＠2200</t>
    <phoneticPr fontId="5"/>
  </si>
  <si>
    <t>ほっそり見えカバーアップ水着　ゆめはん在庫</t>
    <rPh sb="4" eb="5">
      <t>ミ</t>
    </rPh>
    <rPh sb="12" eb="14">
      <t>ミズギ</t>
    </rPh>
    <rPh sb="19" eb="21">
      <t>ザイコ</t>
    </rPh>
    <phoneticPr fontId="2"/>
  </si>
  <si>
    <t>ほっそり見えカバーアップ水着　KPORT在庫</t>
    <rPh sb="4" eb="5">
      <t>ミ</t>
    </rPh>
    <rPh sb="12" eb="14">
      <t>ミズギ</t>
    </rPh>
    <rPh sb="20" eb="22">
      <t>ザイコ</t>
    </rPh>
    <phoneticPr fontId="2"/>
  </si>
  <si>
    <t>初回 2-1</t>
    <rPh sb="0" eb="2">
      <t>ショカイ</t>
    </rPh>
    <phoneticPr fontId="2"/>
  </si>
  <si>
    <t>追加２ 2-2</t>
    <rPh sb="0" eb="2">
      <t>ツイカ</t>
    </rPh>
    <phoneticPr fontId="2"/>
  </si>
  <si>
    <t>YC25004</t>
    <phoneticPr fontId="5"/>
  </si>
  <si>
    <t>パルシステム（本誌コトコト）5月3回3点セット</t>
    <rPh sb="7" eb="9">
      <t>ホンシ</t>
    </rPh>
    <rPh sb="15" eb="16">
      <t>ガツ</t>
    </rPh>
    <rPh sb="17" eb="18">
      <t>カイ</t>
    </rPh>
    <rPh sb="19" eb="20">
      <t>テン</t>
    </rPh>
    <phoneticPr fontId="5"/>
  </si>
  <si>
    <t>点5/1、アバウト・初回5/13、最終5/19</t>
    <rPh sb="0" eb="1">
      <t>テン</t>
    </rPh>
    <rPh sb="10" eb="12">
      <t>ショカイ</t>
    </rPh>
    <rPh sb="17" eb="19">
      <t>サイシュウ</t>
    </rPh>
    <phoneticPr fontId="5"/>
  </si>
  <si>
    <t>パルシステム（本誌コトコト）差分予測</t>
    <rPh sb="7" eb="9">
      <t>ホンシ</t>
    </rPh>
    <rPh sb="14" eb="18">
      <t>サブンヨソク</t>
    </rPh>
    <phoneticPr fontId="5"/>
  </si>
  <si>
    <t>ゆめはん</t>
    <phoneticPr fontId="5"/>
  </si>
  <si>
    <t>不足分</t>
    <rPh sb="0" eb="3">
      <t>フソクブン</t>
    </rPh>
    <phoneticPr fontId="2"/>
  </si>
  <si>
    <t>2025/2/4数伝</t>
    <rPh sb="8" eb="10">
      <t>スウデン</t>
    </rPh>
    <phoneticPr fontId="5"/>
  </si>
  <si>
    <t>パル撮影用サンプル</t>
    <rPh sb="2" eb="4">
      <t>サツエイ</t>
    </rPh>
    <rPh sb="4" eb="5">
      <t>ヨウ</t>
    </rPh>
    <phoneticPr fontId="5"/>
  </si>
  <si>
    <t>千趣会みんべる7月号</t>
    <rPh sb="0" eb="3">
      <t>センシュカイ</t>
    </rPh>
    <rPh sb="8" eb="10">
      <t>ガツゴウ</t>
    </rPh>
    <phoneticPr fontId="5"/>
  </si>
  <si>
    <t>6月末～</t>
    <rPh sb="1" eb="3">
      <t>ガツマツ</t>
    </rPh>
    <phoneticPr fontId="5"/>
  </si>
  <si>
    <t>千趣会ネット</t>
    <rPh sb="0" eb="3">
      <t>センシュカイ</t>
    </rPh>
    <phoneticPr fontId="5"/>
  </si>
  <si>
    <t>2025/3/10数伝</t>
    <rPh sb="9" eb="10">
      <t>スウ</t>
    </rPh>
    <rPh sb="10" eb="11">
      <t>デン</t>
    </rPh>
    <phoneticPr fontId="5"/>
  </si>
  <si>
    <t>千趣会sample</t>
    <rPh sb="0" eb="3">
      <t>センシュカイ</t>
    </rPh>
    <phoneticPr fontId="5"/>
  </si>
  <si>
    <t>夢販</t>
    <rPh sb="0" eb="2">
      <t>ユメハン</t>
    </rPh>
    <phoneticPr fontId="5"/>
  </si>
  <si>
    <t>リーフ柄　3634-070～073</t>
    <rPh sb="3" eb="4">
      <t>ガラ</t>
    </rPh>
    <phoneticPr fontId="5"/>
  </si>
  <si>
    <t>エスニック柄　3634-080～083</t>
    <rPh sb="5" eb="6">
      <t>ガラ</t>
    </rPh>
    <phoneticPr fontId="5"/>
  </si>
  <si>
    <t>ネット</t>
    <phoneticPr fontId="5"/>
  </si>
  <si>
    <t>4/9～</t>
    <phoneticPr fontId="5"/>
  </si>
  <si>
    <t>千趣会ネット上下セット①</t>
    <rPh sb="0" eb="3">
      <t>センシュカイ</t>
    </rPh>
    <rPh sb="6" eb="8">
      <t>ジョウゲ</t>
    </rPh>
    <phoneticPr fontId="5"/>
  </si>
  <si>
    <t>千趣会ネット3点セット①</t>
    <rPh sb="0" eb="3">
      <t>センシュカイ</t>
    </rPh>
    <rPh sb="7" eb="8">
      <t>テン</t>
    </rPh>
    <phoneticPr fontId="5"/>
  </si>
  <si>
    <t>千趣会みんべる7月号追加分</t>
    <rPh sb="0" eb="3">
      <t>センシュカイ</t>
    </rPh>
    <rPh sb="8" eb="10">
      <t>ガツゴウ</t>
    </rPh>
    <rPh sb="10" eb="12">
      <t>ツイカ</t>
    </rPh>
    <rPh sb="12" eb="13">
      <t>ブン</t>
    </rPh>
    <phoneticPr fontId="5"/>
  </si>
  <si>
    <t>千趣会ネット上下セット②</t>
    <rPh sb="0" eb="3">
      <t>センシュカイ</t>
    </rPh>
    <rPh sb="6" eb="8">
      <t>ジョウゲ</t>
    </rPh>
    <phoneticPr fontId="5"/>
  </si>
  <si>
    <t>過不足分</t>
    <rPh sb="0" eb="4">
      <t>カブソクブン</t>
    </rPh>
    <phoneticPr fontId="2"/>
  </si>
  <si>
    <t>パルシステム（本誌コトコト）5月3回3点セット①</t>
    <rPh sb="7" eb="9">
      <t>ホンシ</t>
    </rPh>
    <rPh sb="15" eb="16">
      <t>ガツ</t>
    </rPh>
    <rPh sb="17" eb="18">
      <t>カイ</t>
    </rPh>
    <rPh sb="19" eb="20">
      <t>テン</t>
    </rPh>
    <phoneticPr fontId="5"/>
  </si>
  <si>
    <t>千趣会みんべる7月号①</t>
    <rPh sb="0" eb="3">
      <t>センシュカイ</t>
    </rPh>
    <rPh sb="8" eb="10">
      <t>ガツゴウ</t>
    </rPh>
    <phoneticPr fontId="5"/>
  </si>
  <si>
    <t>千趣会ネット上下セット③</t>
    <rPh sb="0" eb="3">
      <t>センシュカイ</t>
    </rPh>
    <rPh sb="6" eb="8">
      <t>ジョウゲ</t>
    </rPh>
    <phoneticPr fontId="5"/>
  </si>
  <si>
    <t>夢販</t>
    <rPh sb="0" eb="2">
      <t>ユメハン</t>
    </rPh>
    <phoneticPr fontId="5"/>
  </si>
  <si>
    <t>千趣会ネット3点セット②</t>
    <rPh sb="0" eb="3">
      <t>センシュカイ</t>
    </rPh>
    <rPh sb="7" eb="8">
      <t>テン</t>
    </rPh>
    <phoneticPr fontId="5"/>
  </si>
  <si>
    <t>2025/5/1伝数</t>
    <rPh sb="8" eb="9">
      <t>デン</t>
    </rPh>
    <rPh sb="9" eb="10">
      <t>スウ</t>
    </rPh>
    <phoneticPr fontId="5"/>
  </si>
  <si>
    <t>千趣会ネット上下セット④</t>
    <rPh sb="0" eb="3">
      <t>センシュカイ</t>
    </rPh>
    <rPh sb="6" eb="8">
      <t>ジョウゲ</t>
    </rPh>
    <phoneticPr fontId="5"/>
  </si>
  <si>
    <t>千趣会ネット3点セット③</t>
    <rPh sb="0" eb="3">
      <t>センシュカイ</t>
    </rPh>
    <rPh sb="7" eb="8">
      <t>テン</t>
    </rPh>
    <phoneticPr fontId="5"/>
  </si>
  <si>
    <t>パルシステム（本誌コトコト）5月3回3点セット②</t>
    <rPh sb="7" eb="9">
      <t>ホンシ</t>
    </rPh>
    <rPh sb="15" eb="16">
      <t>ガツ</t>
    </rPh>
    <rPh sb="17" eb="18">
      <t>カイ</t>
    </rPh>
    <rPh sb="19" eb="20">
      <t>テン</t>
    </rPh>
    <phoneticPr fontId="5"/>
  </si>
  <si>
    <t>追加</t>
    <rPh sb="0" eb="2">
      <t>ツイカ</t>
    </rPh>
    <phoneticPr fontId="5"/>
  </si>
  <si>
    <t>パルシステム（本誌コトコト）5月3回3点セット③</t>
    <rPh sb="7" eb="9">
      <t>ホンシ</t>
    </rPh>
    <rPh sb="15" eb="16">
      <t>ガツ</t>
    </rPh>
    <rPh sb="17" eb="18">
      <t>カイ</t>
    </rPh>
    <rPh sb="19" eb="20">
      <t>テン</t>
    </rPh>
    <phoneticPr fontId="5"/>
  </si>
  <si>
    <t>千趣会ネット上下セット⑤</t>
    <rPh sb="0" eb="3">
      <t>センシュカイ</t>
    </rPh>
    <rPh sb="6" eb="8">
      <t>ジョウゲ</t>
    </rPh>
    <phoneticPr fontId="5"/>
  </si>
  <si>
    <t>千趣会ネット3点セット④</t>
    <rPh sb="0" eb="3">
      <t>センシュカイ</t>
    </rPh>
    <rPh sb="7" eb="8">
      <t>テン</t>
    </rPh>
    <phoneticPr fontId="5"/>
  </si>
  <si>
    <t>千趣会ネット3点セット⑤</t>
    <rPh sb="0" eb="3">
      <t>センシュカイ</t>
    </rPh>
    <rPh sb="7" eb="8">
      <t>テン</t>
    </rPh>
    <phoneticPr fontId="5"/>
  </si>
  <si>
    <t>千趣会ネット3点セット⑥</t>
    <rPh sb="0" eb="3">
      <t>センシュカイ</t>
    </rPh>
    <rPh sb="7" eb="8">
      <t>テン</t>
    </rPh>
    <phoneticPr fontId="5"/>
  </si>
  <si>
    <t>千趣会ネット上下セット⑥</t>
    <rPh sb="0" eb="3">
      <t>センシュカイ</t>
    </rPh>
    <rPh sb="6" eb="8">
      <t>ジョウゲ</t>
    </rPh>
    <phoneticPr fontId="5"/>
  </si>
  <si>
    <t>くらし返品</t>
    <rPh sb="3" eb="5">
      <t>ヘンピン</t>
    </rPh>
    <phoneticPr fontId="2"/>
  </si>
  <si>
    <t>千趣会ネット3点セット⑦</t>
    <rPh sb="0" eb="3">
      <t>センシュカイ</t>
    </rPh>
    <rPh sb="7" eb="8">
      <t>テン</t>
    </rPh>
    <phoneticPr fontId="5"/>
  </si>
  <si>
    <t>千趣会ネット上下セット⑦</t>
    <rPh sb="0" eb="3">
      <t>センシュカイ</t>
    </rPh>
    <rPh sb="6" eb="8">
      <t>ジョウゲ</t>
    </rPh>
    <phoneticPr fontId="5"/>
  </si>
  <si>
    <t>千趣会ネット上下セット⑧</t>
    <rPh sb="0" eb="3">
      <t>センシュカイ</t>
    </rPh>
    <rPh sb="6" eb="8">
      <t>ジョウゲ</t>
    </rPh>
    <phoneticPr fontId="5"/>
  </si>
  <si>
    <t>千趣会ネット上下セット⑨</t>
    <rPh sb="0" eb="3">
      <t>センシュカイ</t>
    </rPh>
    <rPh sb="6" eb="8">
      <t>ジョウゲ</t>
    </rPh>
    <phoneticPr fontId="5"/>
  </si>
  <si>
    <t>千趣会ネット上下セット⑩</t>
    <rPh sb="0" eb="3">
      <t>センシュカイ</t>
    </rPh>
    <rPh sb="6" eb="8">
      <t>ジョウゲ</t>
    </rPh>
    <phoneticPr fontId="5"/>
  </si>
  <si>
    <t>千趣会ネット上下セット⑪</t>
    <rPh sb="0" eb="3">
      <t>センシュカイ</t>
    </rPh>
    <rPh sb="6" eb="8">
      <t>ジョウゲ</t>
    </rPh>
    <phoneticPr fontId="5"/>
  </si>
  <si>
    <t>千趣会ネット3点セット⑧</t>
    <rPh sb="0" eb="3">
      <t>センシュカイ</t>
    </rPh>
    <rPh sb="7" eb="8">
      <t>テン</t>
    </rPh>
    <phoneticPr fontId="5"/>
  </si>
  <si>
    <t>かりん</t>
    <phoneticPr fontId="5"/>
  </si>
  <si>
    <t>千趣会ネット上下セット⑫</t>
    <rPh sb="0" eb="3">
      <t>センシュカイ</t>
    </rPh>
    <rPh sb="6" eb="8">
      <t>ジョウゲ</t>
    </rPh>
    <phoneticPr fontId="5"/>
  </si>
  <si>
    <t>千趣会みんべる7月号②</t>
    <rPh sb="0" eb="3">
      <t>センシュカイ</t>
    </rPh>
    <rPh sb="8" eb="10">
      <t>ガツゴウ</t>
    </rPh>
    <phoneticPr fontId="5"/>
  </si>
  <si>
    <t>くらし企画返品</t>
    <rPh sb="3" eb="7">
      <t>キカクヘンピン</t>
    </rPh>
    <phoneticPr fontId="2"/>
  </si>
  <si>
    <t>2025/7/19数伝</t>
    <rPh sb="9" eb="11">
      <t>スウデン</t>
    </rPh>
    <phoneticPr fontId="5"/>
  </si>
  <si>
    <t>追加</t>
    <rPh sb="0" eb="2">
      <t>ツイカ</t>
    </rPh>
    <phoneticPr fontId="5"/>
  </si>
  <si>
    <t>2025/7/30数伝</t>
    <rPh sb="9" eb="11">
      <t>スウデン</t>
    </rPh>
    <phoneticPr fontId="5"/>
  </si>
  <si>
    <t>9/1～</t>
    <phoneticPr fontId="5"/>
  </si>
  <si>
    <t>JOD特別版0902（表4）上下セット</t>
    <rPh sb="3" eb="6">
      <t>トクベツバン</t>
    </rPh>
    <rPh sb="11" eb="12">
      <t>ヒョウ</t>
    </rPh>
    <rPh sb="14" eb="16">
      <t>ジョウゲ</t>
    </rPh>
    <phoneticPr fontId="5"/>
  </si>
  <si>
    <t>JOD特別版0902（表4）パーカー付</t>
    <rPh sb="3" eb="6">
      <t>トクベツバン</t>
    </rPh>
    <rPh sb="11" eb="12">
      <t>ヒョウ</t>
    </rPh>
    <rPh sb="18" eb="19">
      <t>ツ</t>
    </rPh>
    <phoneticPr fontId="5"/>
  </si>
  <si>
    <t>西本さん</t>
    <rPh sb="0" eb="2">
      <t>ニシモト</t>
    </rPh>
    <phoneticPr fontId="5"/>
  </si>
  <si>
    <t>在庫確認</t>
    <rPh sb="0" eb="4">
      <t>ザイコカクニン</t>
    </rPh>
    <phoneticPr fontId="2"/>
  </si>
  <si>
    <t>千趣会sample返却</t>
    <rPh sb="0" eb="3">
      <t>センシュカイ</t>
    </rPh>
    <rPh sb="9" eb="11">
      <t>ヘンキャク</t>
    </rPh>
    <phoneticPr fontId="5"/>
  </si>
  <si>
    <t>YC25004 @2200  \7980</t>
    <phoneticPr fontId="5"/>
  </si>
  <si>
    <t>YC25004 @2200 \7980</t>
    <phoneticPr fontId="5"/>
  </si>
  <si>
    <t>JOD</t>
    <phoneticPr fontId="5"/>
  </si>
  <si>
    <t>かりん</t>
    <phoneticPr fontId="5"/>
  </si>
  <si>
    <t>JODパーカーセット</t>
    <phoneticPr fontId="5"/>
  </si>
  <si>
    <t>追加</t>
    <rPh sb="0" eb="2">
      <t>ツイカ</t>
    </rPh>
    <phoneticPr fontId="2"/>
  </si>
  <si>
    <t>JOD返品</t>
    <rPh sb="3" eb="5">
      <t>ヘンピン</t>
    </rPh>
    <phoneticPr fontId="5"/>
  </si>
  <si>
    <t>千趣会返品</t>
    <rPh sb="0" eb="3">
      <t>センシュカイ</t>
    </rPh>
    <rPh sb="3" eb="5">
      <t>ヘンピン</t>
    </rPh>
    <phoneticPr fontId="2"/>
  </si>
  <si>
    <t>夢販</t>
    <rPh sb="0" eb="2">
      <t>ユメハン</t>
    </rPh>
    <phoneticPr fontId="5"/>
  </si>
  <si>
    <t>ネット交換</t>
    <rPh sb="3" eb="5">
      <t>コウカン</t>
    </rPh>
    <phoneticPr fontId="5"/>
  </si>
  <si>
    <t>かりん</t>
    <phoneticPr fontId="5"/>
  </si>
  <si>
    <t>パル26年撮影用sample</t>
    <rPh sb="4" eb="5">
      <t>ネン</t>
    </rPh>
    <rPh sb="5" eb="8">
      <t>サツエイヨウ</t>
    </rPh>
    <phoneticPr fontId="5"/>
  </si>
  <si>
    <t>パルシステム（本誌コトコト）5月4回3点セット</t>
    <rPh sb="7" eb="9">
      <t>ホンシ</t>
    </rPh>
    <rPh sb="15" eb="16">
      <t>ガツ</t>
    </rPh>
    <rPh sb="17" eb="18">
      <t>カイ</t>
    </rPh>
    <rPh sb="19" eb="20">
      <t>テン</t>
    </rPh>
    <phoneticPr fontId="5"/>
  </si>
  <si>
    <t>点5/7、アバウト・初回5/19、最終発注日5/25</t>
    <rPh sb="0" eb="1">
      <t>テン</t>
    </rPh>
    <rPh sb="10" eb="12">
      <t>ショカイ</t>
    </rPh>
    <rPh sb="17" eb="22">
      <t>サイシュウハッチュウビ</t>
    </rPh>
    <phoneticPr fontId="5"/>
  </si>
  <si>
    <t>ネット</t>
    <phoneticPr fontId="5"/>
  </si>
  <si>
    <t>←ここまで確認2026/2/25</t>
    <rPh sb="5" eb="7">
      <t>カクニン</t>
    </rPh>
    <phoneticPr fontId="15"/>
  </si>
  <si>
    <t>ネット返品交換</t>
    <rPh sb="3" eb="7">
      <t>ヘンピンコウカン</t>
    </rPh>
    <phoneticPr fontId="5"/>
  </si>
  <si>
    <t>ネット返品交換</t>
    <phoneticPr fontId="5"/>
  </si>
  <si>
    <t>過剰入荷分</t>
    <rPh sb="0" eb="2">
      <t>カジョウ</t>
    </rPh>
    <rPh sb="2" eb="4">
      <t>ニュウカ</t>
    </rPh>
    <rPh sb="4" eb="5">
      <t>ブン</t>
    </rPh>
    <phoneticPr fontId="2"/>
  </si>
  <si>
    <t>パルシステム（本誌コトコト）5月4回3点セット①</t>
    <rPh sb="7" eb="9">
      <t>ホンシ</t>
    </rPh>
    <rPh sb="15" eb="16">
      <t>ガツ</t>
    </rPh>
    <rPh sb="17" eb="18">
      <t>カイ</t>
    </rPh>
    <rPh sb="19" eb="20">
      <t>テン</t>
    </rPh>
    <phoneticPr fontId="5"/>
  </si>
  <si>
    <t>千趣会WEB上下セット</t>
    <rPh sb="0" eb="3">
      <t>センシュカイ</t>
    </rPh>
    <rPh sb="6" eb="8">
      <t>ジョウゲ</t>
    </rPh>
    <phoneticPr fontId="5"/>
  </si>
  <si>
    <t>千趣会WEB3点セット</t>
    <rPh sb="0" eb="3">
      <t>センシュカイ</t>
    </rPh>
    <rPh sb="7" eb="8">
      <t>テン</t>
    </rPh>
    <phoneticPr fontId="5"/>
  </si>
  <si>
    <t>かりん</t>
    <phoneticPr fontId="5"/>
  </si>
  <si>
    <t>2026/5/1数伝</t>
    <rPh sb="8" eb="10">
      <t>スウデン</t>
    </rPh>
    <phoneticPr fontId="5"/>
  </si>
  <si>
    <t>パルシステム（本誌コトコト）5月4回3点セット②</t>
    <rPh sb="7" eb="9">
      <t>ホンシ</t>
    </rPh>
    <rPh sb="15" eb="16">
      <t>ガツ</t>
    </rPh>
    <rPh sb="17" eb="18">
      <t>カイ</t>
    </rPh>
    <rPh sb="19" eb="20">
      <t>テン</t>
    </rPh>
    <phoneticPr fontId="5"/>
  </si>
  <si>
    <t>ゆめはん</t>
    <phoneticPr fontId="5"/>
  </si>
  <si>
    <t>パルシステム（本誌コトコト）5月4回3点セット③</t>
    <rPh sb="7" eb="9">
      <t>ホンシ</t>
    </rPh>
    <rPh sb="15" eb="16">
      <t>ガツ</t>
    </rPh>
    <rPh sb="17" eb="18">
      <t>カイ</t>
    </rPh>
    <rPh sb="19" eb="20">
      <t>テン</t>
    </rPh>
    <phoneticPr fontId="5"/>
  </si>
  <si>
    <t>夢販</t>
    <rPh sb="0" eb="2">
      <t>y</t>
    </rPh>
    <phoneticPr fontId="5"/>
  </si>
  <si>
    <t>パルシステム5月4回④</t>
    <rPh sb="7" eb="8">
      <t>ガツ</t>
    </rPh>
    <rPh sb="9" eb="10">
      <t>カイ</t>
    </rPh>
    <phoneticPr fontId="5"/>
  </si>
  <si>
    <t>パルシステム5月4回⑤</t>
    <rPh sb="7" eb="8">
      <t>ガツ</t>
    </rPh>
    <rPh sb="9" eb="10">
      <t>カイ</t>
    </rPh>
    <phoneticPr fontId="5"/>
  </si>
  <si>
    <t>追加</t>
    <rPh sb="0" eb="2">
      <t>ツイカ</t>
    </rPh>
    <phoneticPr fontId="5"/>
  </si>
  <si>
    <t>追加</t>
    <rPh sb="0" eb="2">
      <t>ツイカ</t>
    </rPh>
    <phoneticPr fontId="5"/>
  </si>
  <si>
    <t>ネット</t>
  </si>
  <si>
    <t>追加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</si>
</sst>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6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89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2" borderId="7" xfId="1" applyFill="1" applyBorder="1"/>
    <xf numFmtId="0" fontId="1" fillId="2" borderId="8" xfId="1" applyFill="1" applyBorder="1"/>
    <xf numFmtId="0" fontId="1" fillId="0" borderId="10" xfId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14" xfId="1" applyBorder="1"/>
    <xf numFmtId="0" fontId="1" fillId="0" borderId="15" xfId="1" applyBorder="1" applyAlignment="1">
      <alignment horizontal="center" vertical="center"/>
    </xf>
    <xf numFmtId="0" fontId="1" fillId="0" borderId="17" xfId="1" applyBorder="1" applyAlignment="1">
      <alignment horizontal="center"/>
    </xf>
    <xf numFmtId="0" fontId="1" fillId="2" borderId="3" xfId="1" applyFill="1" applyBorder="1"/>
    <xf numFmtId="0" fontId="1" fillId="0" borderId="19" xfId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0" borderId="21" xfId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22" xfId="1" applyFont="1" applyBorder="1" applyAlignment="1">
      <alignment horizontal="center"/>
    </xf>
    <xf numFmtId="0" fontId="1" fillId="0" borderId="23" xfId="1" applyBorder="1" applyAlignment="1">
      <alignment horizontal="center" vertical="center"/>
    </xf>
    <xf numFmtId="0" fontId="1" fillId="0" borderId="14" xfId="1" applyBorder="1" applyAlignment="1">
      <alignment horizontal="center"/>
    </xf>
    <xf numFmtId="0" fontId="1" fillId="0" borderId="24" xfId="1" applyBorder="1" applyAlignment="1">
      <alignment horizontal="center"/>
    </xf>
    <xf numFmtId="0" fontId="7" fillId="0" borderId="23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9" xfId="1" applyBorder="1" applyAlignment="1">
      <alignment horizontal="center" vertical="center"/>
    </xf>
    <xf numFmtId="0" fontId="7" fillId="3" borderId="23" xfId="1" applyFont="1" applyFill="1" applyBorder="1"/>
    <xf numFmtId="0" fontId="1" fillId="0" borderId="25" xfId="1" applyBorder="1" applyAlignment="1">
      <alignment horizontal="center"/>
    </xf>
    <xf numFmtId="0" fontId="1" fillId="0" borderId="26" xfId="1" applyBorder="1" applyAlignment="1">
      <alignment horizontal="center"/>
    </xf>
    <xf numFmtId="0" fontId="1" fillId="0" borderId="27" xfId="1" applyBorder="1" applyAlignment="1">
      <alignment horizontal="center"/>
    </xf>
    <xf numFmtId="0" fontId="1" fillId="0" borderId="28" xfId="1" applyBorder="1" applyAlignment="1">
      <alignment horizontal="center"/>
    </xf>
    <xf numFmtId="0" fontId="1" fillId="0" borderId="29" xfId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32" xfId="1" applyBorder="1" applyAlignment="1">
      <alignment horizontal="center"/>
    </xf>
    <xf numFmtId="0" fontId="1" fillId="2" borderId="33" xfId="1" applyFill="1" applyBorder="1"/>
    <xf numFmtId="0" fontId="1" fillId="0" borderId="16" xfId="1" applyBorder="1" applyAlignment="1">
      <alignment horizontal="center" vertical="center"/>
    </xf>
    <xf numFmtId="0" fontId="1" fillId="2" borderId="13" xfId="1" applyFill="1" applyBorder="1"/>
    <xf numFmtId="0" fontId="6" fillId="0" borderId="0" xfId="0" applyFont="1">
      <alignment vertical="center"/>
    </xf>
    <xf numFmtId="176" fontId="0" fillId="0" borderId="0" xfId="0" applyNumberFormat="1">
      <alignment vertical="center"/>
    </xf>
    <xf numFmtId="0" fontId="1" fillId="0" borderId="35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2" borderId="9" xfId="1" applyFill="1" applyBorder="1"/>
    <xf numFmtId="0" fontId="7" fillId="0" borderId="1" xfId="1" applyFont="1" applyBorder="1"/>
    <xf numFmtId="0" fontId="7" fillId="0" borderId="23" xfId="1" applyFont="1" applyBorder="1"/>
    <xf numFmtId="0" fontId="7" fillId="0" borderId="2" xfId="1" applyFont="1" applyBorder="1"/>
    <xf numFmtId="0" fontId="7" fillId="0" borderId="12" xfId="1" applyFont="1" applyBorder="1"/>
    <xf numFmtId="0" fontId="7" fillId="2" borderId="3" xfId="1" applyFont="1" applyFill="1" applyBorder="1"/>
    <xf numFmtId="0" fontId="7" fillId="0" borderId="12" xfId="1" applyFont="1" applyBorder="1" applyAlignment="1">
      <alignment horizontal="center"/>
    </xf>
    <xf numFmtId="0" fontId="7" fillId="2" borderId="3" xfId="1" applyFont="1" applyFill="1" applyBorder="1" applyAlignment="1">
      <alignment horizontal="right"/>
    </xf>
    <xf numFmtId="0" fontId="1" fillId="2" borderId="39" xfId="1" applyFill="1" applyBorder="1"/>
    <xf numFmtId="0" fontId="1" fillId="0" borderId="40" xfId="1" applyBorder="1" applyAlignment="1">
      <alignment horizontal="center"/>
    </xf>
    <xf numFmtId="0" fontId="1" fillId="0" borderId="38" xfId="1" applyBorder="1" applyAlignment="1">
      <alignment horizontal="center"/>
    </xf>
    <xf numFmtId="0" fontId="7" fillId="3" borderId="3" xfId="1" applyFont="1" applyFill="1" applyBorder="1"/>
    <xf numFmtId="0" fontId="7" fillId="0" borderId="43" xfId="1" applyFont="1" applyBorder="1" applyAlignment="1">
      <alignment horizontal="center" vertical="center"/>
    </xf>
    <xf numFmtId="0" fontId="7" fillId="0" borderId="41" xfId="1" applyFont="1" applyBorder="1" applyAlignment="1">
      <alignment horizontal="center"/>
    </xf>
    <xf numFmtId="0" fontId="7" fillId="0" borderId="42" xfId="1" applyFont="1" applyBorder="1" applyAlignment="1">
      <alignment horizontal="center"/>
    </xf>
    <xf numFmtId="0" fontId="7" fillId="0" borderId="44" xfId="1" applyFont="1" applyBorder="1" applyAlignment="1">
      <alignment horizontal="center"/>
    </xf>
    <xf numFmtId="0" fontId="7" fillId="2" borderId="45" xfId="1" applyFont="1" applyFill="1" applyBorder="1"/>
    <xf numFmtId="0" fontId="7" fillId="3" borderId="37" xfId="1" applyFont="1" applyFill="1" applyBorder="1"/>
    <xf numFmtId="0" fontId="8" fillId="0" borderId="0" xfId="1" applyFont="1"/>
    <xf numFmtId="0" fontId="1" fillId="0" borderId="46" xfId="1" applyBorder="1" applyAlignment="1">
      <alignment horizontal="center" vertical="center"/>
    </xf>
    <xf numFmtId="0" fontId="7" fillId="2" borderId="47" xfId="1" applyFont="1" applyFill="1" applyBorder="1"/>
    <xf numFmtId="0" fontId="1" fillId="2" borderId="48" xfId="1" applyFill="1" applyBorder="1"/>
    <xf numFmtId="0" fontId="1" fillId="2" borderId="18" xfId="1" applyFill="1" applyBorder="1"/>
    <xf numFmtId="0" fontId="1" fillId="2" borderId="38" xfId="1" applyFill="1" applyBorder="1"/>
    <xf numFmtId="0" fontId="7" fillId="2" borderId="11" xfId="1" applyFont="1" applyFill="1" applyBorder="1" applyAlignment="1">
      <alignment horizontal="right"/>
    </xf>
    <xf numFmtId="0" fontId="1" fillId="2" borderId="10" xfId="1" applyFill="1" applyBorder="1"/>
    <xf numFmtId="0" fontId="1" fillId="2" borderId="49" xfId="1" applyFill="1" applyBorder="1"/>
    <xf numFmtId="0" fontId="1" fillId="2" borderId="50" xfId="1" applyFill="1" applyBorder="1"/>
    <xf numFmtId="0" fontId="7" fillId="3" borderId="36" xfId="1" applyFont="1" applyFill="1" applyBorder="1"/>
    <xf numFmtId="0" fontId="6" fillId="0" borderId="9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13" xfId="0" applyFont="1" applyBorder="1">
      <alignment vertical="center"/>
    </xf>
    <xf numFmtId="0" fontId="7" fillId="0" borderId="53" xfId="1" applyFont="1" applyBorder="1" applyAlignment="1">
      <alignment horizontal="center"/>
    </xf>
    <xf numFmtId="0" fontId="7" fillId="2" borderId="51" xfId="1" applyFont="1" applyFill="1" applyBorder="1"/>
    <xf numFmtId="0" fontId="7" fillId="0" borderId="13" xfId="1" applyFont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7" fillId="0" borderId="29" xfId="1" applyFont="1" applyBorder="1" applyAlignment="1">
      <alignment horizontal="center"/>
    </xf>
    <xf numFmtId="0" fontId="7" fillId="0" borderId="30" xfId="1" applyFont="1" applyBorder="1" applyAlignment="1">
      <alignment horizontal="center"/>
    </xf>
    <xf numFmtId="0" fontId="7" fillId="0" borderId="31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10" fillId="0" borderId="9" xfId="0" applyFont="1" applyBorder="1">
      <alignment vertical="center"/>
    </xf>
    <xf numFmtId="0" fontId="1" fillId="0" borderId="43" xfId="1" applyBorder="1" applyAlignment="1">
      <alignment horizontal="center" vertical="center"/>
    </xf>
    <xf numFmtId="0" fontId="1" fillId="0" borderId="41" xfId="1" applyBorder="1" applyAlignment="1">
      <alignment horizontal="center"/>
    </xf>
    <xf numFmtId="0" fontId="1" fillId="0" borderId="42" xfId="1" applyBorder="1" applyAlignment="1">
      <alignment horizontal="center"/>
    </xf>
    <xf numFmtId="0" fontId="1" fillId="0" borderId="44" xfId="1" applyBorder="1" applyAlignment="1">
      <alignment horizontal="center"/>
    </xf>
    <xf numFmtId="0" fontId="1" fillId="2" borderId="45" xfId="1" applyFill="1" applyBorder="1"/>
    <xf numFmtId="0" fontId="1" fillId="2" borderId="47" xfId="1" applyFill="1" applyBorder="1"/>
    <xf numFmtId="0" fontId="7" fillId="0" borderId="35" xfId="1" applyFont="1" applyBorder="1" applyAlignment="1">
      <alignment horizontal="center"/>
    </xf>
    <xf numFmtId="0" fontId="7" fillId="2" borderId="9" xfId="1" applyFont="1" applyFill="1" applyBorder="1"/>
    <xf numFmtId="0" fontId="7" fillId="0" borderId="6" xfId="1" applyFont="1" applyBorder="1" applyAlignment="1">
      <alignment horizontal="center"/>
    </xf>
    <xf numFmtId="0" fontId="7" fillId="2" borderId="7" xfId="1" applyFont="1" applyFill="1" applyBorder="1"/>
    <xf numFmtId="0" fontId="0" fillId="0" borderId="0" xfId="0" applyAlignment="1">
      <alignment horizontal="left" vertical="center"/>
    </xf>
    <xf numFmtId="56" fontId="10" fillId="0" borderId="0" xfId="0" applyNumberFormat="1" applyFont="1" applyAlignment="1">
      <alignment horizontal="left" vertical="center"/>
    </xf>
    <xf numFmtId="56" fontId="10" fillId="0" borderId="0" xfId="0" applyNumberFormat="1" applyFont="1">
      <alignment vertical="center"/>
    </xf>
    <xf numFmtId="0" fontId="10" fillId="0" borderId="0" xfId="0" applyFont="1">
      <alignment vertical="center"/>
    </xf>
    <xf numFmtId="0" fontId="10" fillId="0" borderId="51" xfId="0" applyFont="1" applyBorder="1">
      <alignment vertical="center"/>
    </xf>
    <xf numFmtId="0" fontId="1" fillId="2" borderId="16" xfId="1" applyFill="1" applyBorder="1"/>
    <xf numFmtId="0" fontId="10" fillId="0" borderId="52" xfId="0" applyFont="1" applyBorder="1">
      <alignment vertical="center"/>
    </xf>
    <xf numFmtId="0" fontId="10" fillId="0" borderId="8" xfId="0" applyFont="1" applyBorder="1">
      <alignment vertical="center"/>
    </xf>
    <xf numFmtId="0" fontId="1" fillId="0" borderId="7" xfId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4" fillId="0" borderId="31" xfId="1" applyFont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2" borderId="9" xfId="1" applyFont="1" applyFill="1" applyBorder="1"/>
    <xf numFmtId="0" fontId="4" fillId="0" borderId="35" xfId="1" applyFont="1" applyBorder="1" applyAlignment="1">
      <alignment horizontal="center"/>
    </xf>
    <xf numFmtId="0" fontId="11" fillId="0" borderId="9" xfId="0" applyFont="1" applyBorder="1">
      <alignment vertical="center"/>
    </xf>
    <xf numFmtId="0" fontId="11" fillId="0" borderId="0" xfId="0" applyFont="1">
      <alignment vertical="center"/>
    </xf>
    <xf numFmtId="0" fontId="1" fillId="0" borderId="50" xfId="1" applyBorder="1" applyAlignment="1">
      <alignment horizontal="center" vertical="center"/>
    </xf>
    <xf numFmtId="0" fontId="10" fillId="0" borderId="7" xfId="0" applyFont="1" applyBorder="1">
      <alignment vertical="center"/>
    </xf>
    <xf numFmtId="0" fontId="1" fillId="0" borderId="7" xfId="1" applyBorder="1" applyAlignment="1">
      <alignment horizontal="center" vertical="center" shrinkToFit="1"/>
    </xf>
    <xf numFmtId="56" fontId="10" fillId="0" borderId="0" xfId="0" applyNumberFormat="1" applyFont="1" applyAlignment="1">
      <alignment horizontal="right" vertical="center"/>
    </xf>
    <xf numFmtId="0" fontId="1" fillId="0" borderId="49" xfId="1" applyBorder="1" applyAlignment="1">
      <alignment horizontal="center" vertical="center"/>
    </xf>
    <xf numFmtId="0" fontId="1" fillId="2" borderId="34" xfId="1" applyFill="1" applyBorder="1"/>
    <xf numFmtId="0" fontId="1" fillId="0" borderId="51" xfId="1" applyBorder="1" applyAlignment="1">
      <alignment horizontal="center" vertical="center"/>
    </xf>
    <xf numFmtId="0" fontId="1" fillId="0" borderId="29" xfId="1" applyBorder="1"/>
    <xf numFmtId="0" fontId="1" fillId="0" borderId="30" xfId="1" applyBorder="1"/>
    <xf numFmtId="0" fontId="1" fillId="0" borderId="31" xfId="1" applyBorder="1"/>
    <xf numFmtId="0" fontId="1" fillId="0" borderId="35" xfId="1" applyBorder="1"/>
    <xf numFmtId="0" fontId="13" fillId="0" borderId="10" xfId="1" applyFont="1" applyBorder="1" applyAlignment="1">
      <alignment horizontal="center" vertical="center"/>
    </xf>
    <xf numFmtId="0" fontId="13" fillId="0" borderId="4" xfId="1" applyFont="1" applyBorder="1"/>
    <xf numFmtId="0" fontId="13" fillId="0" borderId="14" xfId="1" applyFont="1" applyBorder="1"/>
    <xf numFmtId="0" fontId="13" fillId="0" borderId="5" xfId="1" applyFont="1" applyBorder="1"/>
    <xf numFmtId="0" fontId="13" fillId="0" borderId="6" xfId="1" applyFont="1" applyBorder="1"/>
    <xf numFmtId="0" fontId="13" fillId="2" borderId="7" xfId="1" applyFont="1" applyFill="1" applyBorder="1"/>
    <xf numFmtId="0" fontId="13" fillId="0" borderId="4" xfId="1" applyFont="1" applyBorder="1" applyAlignment="1">
      <alignment horizontal="center"/>
    </xf>
    <xf numFmtId="0" fontId="13" fillId="0" borderId="14" xfId="1" applyFont="1" applyBorder="1" applyAlignment="1">
      <alignment horizontal="center"/>
    </xf>
    <xf numFmtId="0" fontId="13" fillId="0" borderId="5" xfId="1" applyFont="1" applyBorder="1" applyAlignment="1">
      <alignment horizontal="center"/>
    </xf>
    <xf numFmtId="0" fontId="13" fillId="0" borderId="17" xfId="1" applyFont="1" applyBorder="1" applyAlignment="1">
      <alignment horizontal="center"/>
    </xf>
    <xf numFmtId="0" fontId="13" fillId="2" borderId="18" xfId="1" applyFont="1" applyFill="1" applyBorder="1"/>
    <xf numFmtId="0" fontId="12" fillId="0" borderId="9" xfId="0" applyFont="1" applyBorder="1">
      <alignment vertical="center"/>
    </xf>
    <xf numFmtId="56" fontId="12" fillId="0" borderId="0" xfId="0" applyNumberFormat="1" applyFont="1" applyAlignment="1">
      <alignment horizontal="left" vertical="center"/>
    </xf>
    <xf numFmtId="0" fontId="13" fillId="0" borderId="16" xfId="1" applyFont="1" applyBorder="1" applyAlignment="1">
      <alignment horizontal="center" vertical="center"/>
    </xf>
    <xf numFmtId="0" fontId="13" fillId="2" borderId="33" xfId="1" applyFont="1" applyFill="1" applyBorder="1"/>
    <xf numFmtId="0" fontId="13" fillId="0" borderId="6" xfId="1" applyFont="1" applyBorder="1" applyAlignment="1">
      <alignment horizontal="center"/>
    </xf>
    <xf numFmtId="56" fontId="12" fillId="0" borderId="0" xfId="0" applyNumberFormat="1" applyFont="1">
      <alignment vertical="center"/>
    </xf>
    <xf numFmtId="0" fontId="13" fillId="2" borderId="10" xfId="1" applyFont="1" applyFill="1" applyBorder="1"/>
    <xf numFmtId="56" fontId="0" fillId="0" borderId="0" xfId="0" applyNumberFormat="1" applyAlignment="1">
      <alignment horizontal="left" vertical="center"/>
    </xf>
    <xf numFmtId="0" fontId="13" fillId="2" borderId="8" xfId="1" applyFont="1" applyFill="1" applyBorder="1"/>
    <xf numFmtId="0" fontId="13" fillId="0" borderId="25" xfId="1" applyFont="1" applyBorder="1" applyAlignment="1">
      <alignment horizontal="center"/>
    </xf>
    <xf numFmtId="0" fontId="13" fillId="0" borderId="26" xfId="1" applyFont="1" applyBorder="1" applyAlignment="1">
      <alignment horizontal="center"/>
    </xf>
    <xf numFmtId="0" fontId="13" fillId="0" borderId="27" xfId="1" applyFont="1" applyBorder="1" applyAlignment="1">
      <alignment horizontal="center"/>
    </xf>
    <xf numFmtId="0" fontId="13" fillId="0" borderId="28" xfId="1" applyFont="1" applyBorder="1" applyAlignment="1">
      <alignment horizontal="center"/>
    </xf>
    <xf numFmtId="0" fontId="13" fillId="2" borderId="38" xfId="1" applyFont="1" applyFill="1" applyBorder="1"/>
    <xf numFmtId="0" fontId="13" fillId="0" borderId="29" xfId="1" applyFont="1" applyBorder="1"/>
    <xf numFmtId="0" fontId="13" fillId="0" borderId="30" xfId="1" applyFont="1" applyBorder="1"/>
    <xf numFmtId="0" fontId="13" fillId="0" borderId="31" xfId="1" applyFont="1" applyBorder="1"/>
    <xf numFmtId="0" fontId="13" fillId="0" borderId="35" xfId="1" applyFont="1" applyBorder="1"/>
    <xf numFmtId="0" fontId="13" fillId="2" borderId="9" xfId="1" applyFont="1" applyFill="1" applyBorder="1"/>
    <xf numFmtId="0" fontId="13" fillId="0" borderId="29" xfId="1" applyFont="1" applyBorder="1" applyAlignment="1">
      <alignment horizontal="center"/>
    </xf>
    <xf numFmtId="0" fontId="13" fillId="0" borderId="30" xfId="1" applyFont="1" applyBorder="1" applyAlignment="1">
      <alignment horizontal="center"/>
    </xf>
    <xf numFmtId="0" fontId="13" fillId="0" borderId="31" xfId="1" applyFont="1" applyBorder="1" applyAlignment="1">
      <alignment horizontal="center"/>
    </xf>
    <xf numFmtId="0" fontId="13" fillId="0" borderId="32" xfId="1" applyFont="1" applyBorder="1" applyAlignment="1">
      <alignment horizontal="center"/>
    </xf>
    <xf numFmtId="0" fontId="13" fillId="2" borderId="48" xfId="1" applyFont="1" applyFill="1" applyBorder="1"/>
    <xf numFmtId="0" fontId="14" fillId="0" borderId="0" xfId="0" applyFont="1">
      <alignment vertical="center"/>
    </xf>
    <xf numFmtId="56" fontId="0" fillId="0" borderId="0" xfId="0" applyNumberFormat="1">
      <alignment vertical="center"/>
    </xf>
    <xf numFmtId="0" fontId="4" fillId="0" borderId="4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17" xfId="1" applyFont="1" applyBorder="1" applyAlignment="1">
      <alignment horizontal="center"/>
    </xf>
    <xf numFmtId="0" fontId="4" fillId="2" borderId="33" xfId="1" applyFont="1" applyFill="1" applyBorder="1"/>
    <xf numFmtId="0" fontId="4" fillId="0" borderId="18" xfId="1" applyFont="1" applyBorder="1" applyAlignment="1">
      <alignment horizontal="center"/>
    </xf>
    <xf numFmtId="0" fontId="4" fillId="2" borderId="7" xfId="1" applyFont="1" applyFill="1" applyBorder="1"/>
    <xf numFmtId="0" fontId="12" fillId="0" borderId="0" xfId="0" applyFont="1">
      <alignment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/>
    </xf>
    <xf numFmtId="0" fontId="7" fillId="2" borderId="33" xfId="1" applyFont="1" applyFill="1" applyBorder="1"/>
    <xf numFmtId="0" fontId="7" fillId="2" borderId="10" xfId="1" applyFont="1" applyFill="1" applyBorder="1"/>
    <xf numFmtId="56" fontId="6" fillId="0" borderId="0" xfId="0" applyNumberFormat="1" applyFont="1" applyAlignment="1">
      <alignment horizontal="left" vertical="center"/>
    </xf>
    <xf numFmtId="56" fontId="6" fillId="0" borderId="0" xfId="0" applyNumberFormat="1" applyFont="1">
      <alignment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36" xfId="1" applyFont="1" applyFill="1" applyBorder="1" applyAlignment="1">
      <alignment horizontal="center" vertical="center"/>
    </xf>
    <xf numFmtId="0" fontId="4" fillId="4" borderId="37" xfId="1" applyFont="1" applyFill="1" applyBorder="1" applyAlignment="1">
      <alignment horizontal="center" vertical="center"/>
    </xf>
    <xf numFmtId="0" fontId="9" fillId="5" borderId="11" xfId="1" applyFont="1" applyFill="1" applyBorder="1" applyAlignment="1">
      <alignment horizontal="center" vertical="center"/>
    </xf>
    <xf numFmtId="0" fontId="9" fillId="5" borderId="36" xfId="1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4"/>
  <sheetViews>
    <sheetView tabSelected="1" topLeftCell="A206" zoomScaleNormal="100" workbookViewId="0">
      <selection activeCell="A221" sqref="A221"/>
    </sheetView>
  </sheetViews>
  <sheetFormatPr defaultRowHeight="13.5" x14ac:dyDescent="0.15"/>
  <cols>
    <col min="1" max="1" width="24.875" customWidth="1"/>
    <col min="2" max="12" width="7.75" customWidth="1"/>
    <col min="13" max="13" width="11.875" style="102" customWidth="1"/>
    <col min="14" max="14" width="39.25" customWidth="1"/>
    <col min="15" max="17" width="9" customWidth="1"/>
    <col min="26" max="26" width="9.25" bestFit="1" customWidth="1"/>
  </cols>
  <sheetData>
    <row r="1" spans="1:28" ht="19.5" thickBot="1" x14ac:dyDescent="0.25">
      <c r="A1" s="2" t="s">
        <v>21</v>
      </c>
      <c r="B1" s="2"/>
      <c r="C1" s="1"/>
      <c r="D1" s="1"/>
      <c r="E1" s="1"/>
      <c r="F1" s="67" t="s">
        <v>25</v>
      </c>
      <c r="H1" s="1"/>
      <c r="I1" s="1"/>
      <c r="J1" s="1"/>
      <c r="K1" s="67" t="s">
        <v>20</v>
      </c>
      <c r="N1" s="2" t="s">
        <v>22</v>
      </c>
      <c r="O1" s="2"/>
      <c r="P1" s="1"/>
      <c r="Q1" s="1"/>
      <c r="R1" s="67" t="s">
        <v>25</v>
      </c>
      <c r="U1" s="1"/>
      <c r="V1" s="1"/>
      <c r="W1" s="1"/>
      <c r="X1" s="67" t="s">
        <v>20</v>
      </c>
    </row>
    <row r="2" spans="1:28" ht="14.25" thickBot="1" x14ac:dyDescent="0.2">
      <c r="A2" s="5" t="s">
        <v>0</v>
      </c>
      <c r="B2" s="184" t="s">
        <v>18</v>
      </c>
      <c r="C2" s="185"/>
      <c r="D2" s="185"/>
      <c r="E2" s="185"/>
      <c r="F2" s="186"/>
      <c r="G2" s="187" t="s">
        <v>19</v>
      </c>
      <c r="H2" s="188"/>
      <c r="I2" s="188"/>
      <c r="J2" s="188"/>
      <c r="K2" s="188"/>
      <c r="L2" s="182" t="s">
        <v>13</v>
      </c>
      <c r="N2" s="5" t="s">
        <v>0</v>
      </c>
      <c r="O2" s="184" t="s">
        <v>39</v>
      </c>
      <c r="P2" s="185"/>
      <c r="Q2" s="185"/>
      <c r="R2" s="185"/>
      <c r="S2" s="186"/>
      <c r="T2" s="187" t="s">
        <v>40</v>
      </c>
      <c r="U2" s="188"/>
      <c r="V2" s="188"/>
      <c r="W2" s="188"/>
      <c r="X2" s="188"/>
      <c r="Y2" s="182" t="s">
        <v>13</v>
      </c>
    </row>
    <row r="3" spans="1:28" ht="14.25" thickBot="1" x14ac:dyDescent="0.2">
      <c r="A3" s="5" t="s">
        <v>1</v>
      </c>
      <c r="B3" s="3" t="s">
        <v>14</v>
      </c>
      <c r="C3" s="27" t="s">
        <v>15</v>
      </c>
      <c r="D3" s="4" t="s">
        <v>16</v>
      </c>
      <c r="E3" s="14" t="s">
        <v>17</v>
      </c>
      <c r="F3" s="18" t="s">
        <v>2</v>
      </c>
      <c r="G3" s="3" t="s">
        <v>14</v>
      </c>
      <c r="H3" s="27" t="s">
        <v>15</v>
      </c>
      <c r="I3" s="4" t="s">
        <v>16</v>
      </c>
      <c r="J3" s="14" t="s">
        <v>17</v>
      </c>
      <c r="K3" s="68" t="s">
        <v>2</v>
      </c>
      <c r="L3" s="183"/>
      <c r="N3" s="5" t="s">
        <v>1</v>
      </c>
      <c r="O3" s="3" t="s">
        <v>14</v>
      </c>
      <c r="P3" s="27" t="s">
        <v>15</v>
      </c>
      <c r="Q3" s="4" t="s">
        <v>16</v>
      </c>
      <c r="R3" s="14" t="s">
        <v>17</v>
      </c>
      <c r="S3" s="5" t="s">
        <v>2</v>
      </c>
      <c r="T3" s="3" t="s">
        <v>14</v>
      </c>
      <c r="U3" s="27" t="s">
        <v>15</v>
      </c>
      <c r="V3" s="4" t="s">
        <v>16</v>
      </c>
      <c r="W3" s="14" t="s">
        <v>17</v>
      </c>
      <c r="X3" s="84" t="s">
        <v>2</v>
      </c>
      <c r="Y3" s="183"/>
    </row>
    <row r="4" spans="1:28" x14ac:dyDescent="0.15">
      <c r="A4" s="92" t="s">
        <v>12</v>
      </c>
      <c r="B4" s="93">
        <v>1</v>
      </c>
      <c r="C4" s="94"/>
      <c r="D4" s="94"/>
      <c r="E4" s="95"/>
      <c r="F4" s="96">
        <f>SUM(B4:E4)</f>
        <v>1</v>
      </c>
      <c r="G4" s="93">
        <v>1</v>
      </c>
      <c r="H4" s="94"/>
      <c r="I4" s="94"/>
      <c r="J4" s="95"/>
      <c r="K4" s="97">
        <f>SUM(G4:J4)</f>
        <v>1</v>
      </c>
      <c r="L4" s="91">
        <f>F4+K4</f>
        <v>2</v>
      </c>
      <c r="M4" s="103">
        <v>45686</v>
      </c>
      <c r="N4" s="43" t="s">
        <v>23</v>
      </c>
      <c r="O4" s="38">
        <v>50</v>
      </c>
      <c r="P4" s="39">
        <v>70</v>
      </c>
      <c r="Q4" s="40">
        <v>60</v>
      </c>
      <c r="R4" s="41">
        <v>60</v>
      </c>
      <c r="S4" s="57">
        <f t="shared" ref="S4:S6" si="0">SUM(O4:R4)</f>
        <v>240</v>
      </c>
      <c r="T4" s="38">
        <v>50</v>
      </c>
      <c r="U4" s="39">
        <v>70</v>
      </c>
      <c r="V4" s="40">
        <v>60</v>
      </c>
      <c r="W4" s="41">
        <v>60</v>
      </c>
      <c r="X4" s="57">
        <f t="shared" ref="X4:X6" si="1">SUM(T4:W4)</f>
        <v>240</v>
      </c>
      <c r="Y4" s="91">
        <f t="shared" ref="Y4:Y6" si="2">S4+X4</f>
        <v>480</v>
      </c>
      <c r="Z4" s="104" t="s">
        <v>36</v>
      </c>
    </row>
    <row r="5" spans="1:28" x14ac:dyDescent="0.15">
      <c r="A5" s="43" t="s">
        <v>11</v>
      </c>
      <c r="B5" s="38">
        <v>5</v>
      </c>
      <c r="C5" s="39">
        <v>5</v>
      </c>
      <c r="D5" s="40">
        <v>1</v>
      </c>
      <c r="E5" s="41">
        <v>1</v>
      </c>
      <c r="F5" s="57">
        <f>SUM(B5:E5)</f>
        <v>12</v>
      </c>
      <c r="G5" s="38">
        <v>5</v>
      </c>
      <c r="H5" s="39">
        <v>5</v>
      </c>
      <c r="I5" s="40">
        <v>1</v>
      </c>
      <c r="J5" s="41">
        <v>1</v>
      </c>
      <c r="K5" s="70">
        <f>SUM(G5:J5)</f>
        <v>12</v>
      </c>
      <c r="L5" s="91">
        <f t="shared" ref="L5:L8" si="3">F5+K5</f>
        <v>24</v>
      </c>
      <c r="M5" s="103" t="s">
        <v>31</v>
      </c>
      <c r="N5" s="11" t="s">
        <v>30</v>
      </c>
      <c r="O5" s="15">
        <v>-6</v>
      </c>
      <c r="P5" s="28">
        <v>-5</v>
      </c>
      <c r="Q5" s="16">
        <v>-1</v>
      </c>
      <c r="R5" s="19">
        <v>-1</v>
      </c>
      <c r="S5" s="42">
        <f t="shared" si="0"/>
        <v>-13</v>
      </c>
      <c r="T5" s="15">
        <v>-6</v>
      </c>
      <c r="U5" s="28">
        <v>-5</v>
      </c>
      <c r="V5" s="16">
        <v>-1</v>
      </c>
      <c r="W5" s="19">
        <v>-1</v>
      </c>
      <c r="X5" s="42">
        <f t="shared" si="1"/>
        <v>-13</v>
      </c>
      <c r="Y5" s="91">
        <f t="shared" si="2"/>
        <v>-26</v>
      </c>
      <c r="Z5" s="105"/>
    </row>
    <row r="6" spans="1:28" x14ac:dyDescent="0.15">
      <c r="A6" s="11" t="s">
        <v>3</v>
      </c>
      <c r="B6" s="15"/>
      <c r="C6" s="28"/>
      <c r="D6" s="16">
        <v>3</v>
      </c>
      <c r="E6" s="19">
        <v>3</v>
      </c>
      <c r="F6" s="42">
        <f>SUM(B6:E6)</f>
        <v>6</v>
      </c>
      <c r="G6" s="15"/>
      <c r="H6" s="28"/>
      <c r="I6" s="16">
        <v>3</v>
      </c>
      <c r="J6" s="19">
        <v>3</v>
      </c>
      <c r="K6" s="71">
        <f>SUM(G6:J6)</f>
        <v>6</v>
      </c>
      <c r="L6" s="91">
        <f t="shared" si="3"/>
        <v>12</v>
      </c>
      <c r="M6" s="103">
        <v>45731</v>
      </c>
      <c r="N6" s="11" t="s">
        <v>24</v>
      </c>
      <c r="O6" s="15">
        <v>60</v>
      </c>
      <c r="P6" s="28">
        <v>70</v>
      </c>
      <c r="Q6" s="16">
        <v>60</v>
      </c>
      <c r="R6" s="19">
        <v>70</v>
      </c>
      <c r="S6" s="42">
        <f t="shared" si="0"/>
        <v>260</v>
      </c>
      <c r="T6" s="15">
        <v>60</v>
      </c>
      <c r="U6" s="28">
        <v>70</v>
      </c>
      <c r="V6" s="16">
        <v>60</v>
      </c>
      <c r="W6" s="19">
        <v>70</v>
      </c>
      <c r="X6" s="42">
        <f t="shared" si="1"/>
        <v>260</v>
      </c>
      <c r="Y6" s="91">
        <f t="shared" si="2"/>
        <v>520</v>
      </c>
      <c r="Z6" s="104" t="s">
        <v>53</v>
      </c>
    </row>
    <row r="7" spans="1:28" x14ac:dyDescent="0.15">
      <c r="A7" s="11" t="s">
        <v>4</v>
      </c>
      <c r="B7" s="15"/>
      <c r="C7" s="28"/>
      <c r="D7" s="16">
        <v>3</v>
      </c>
      <c r="E7" s="19">
        <v>3</v>
      </c>
      <c r="F7" s="42">
        <f>SUM(B7:E7)</f>
        <v>6</v>
      </c>
      <c r="G7" s="15"/>
      <c r="H7" s="28"/>
      <c r="I7" s="16"/>
      <c r="J7" s="19"/>
      <c r="K7" s="71">
        <f>SUM(G7:J7)</f>
        <v>0</v>
      </c>
      <c r="L7" s="91">
        <f t="shared" si="3"/>
        <v>6</v>
      </c>
      <c r="M7" s="103">
        <v>45764</v>
      </c>
      <c r="N7" s="11" t="s">
        <v>47</v>
      </c>
      <c r="O7" s="15">
        <v>-1</v>
      </c>
      <c r="P7" s="28"/>
      <c r="Q7" s="16"/>
      <c r="R7" s="19">
        <v>-2</v>
      </c>
      <c r="S7" s="42">
        <f>SUM(O7:R7)</f>
        <v>-3</v>
      </c>
      <c r="T7" s="15">
        <v>4</v>
      </c>
      <c r="U7" s="28">
        <v>3</v>
      </c>
      <c r="V7" s="16">
        <v>3</v>
      </c>
      <c r="W7" s="19">
        <v>-3</v>
      </c>
      <c r="X7" s="42">
        <f>SUM(T7:W7)</f>
        <v>7</v>
      </c>
      <c r="Y7" s="91">
        <f t="shared" ref="Y7:Y8" si="4">S7+X7</f>
        <v>4</v>
      </c>
      <c r="Z7" s="105"/>
    </row>
    <row r="8" spans="1:28" ht="14.25" thickBot="1" x14ac:dyDescent="0.2">
      <c r="A8" s="11" t="s">
        <v>6</v>
      </c>
      <c r="B8" s="6"/>
      <c r="C8" s="28">
        <v>5</v>
      </c>
      <c r="D8" s="7"/>
      <c r="E8" s="8"/>
      <c r="F8" s="10">
        <f>SUM(B8:E8)</f>
        <v>5</v>
      </c>
      <c r="G8" s="34">
        <v>3</v>
      </c>
      <c r="H8" s="35">
        <v>3</v>
      </c>
      <c r="I8" s="36"/>
      <c r="J8" s="37"/>
      <c r="K8" s="72">
        <f>SUM(G8:J8)</f>
        <v>6</v>
      </c>
      <c r="L8" s="91">
        <f t="shared" si="3"/>
        <v>11</v>
      </c>
      <c r="M8" s="103">
        <v>45778</v>
      </c>
      <c r="N8" s="11" t="s">
        <v>64</v>
      </c>
      <c r="O8" s="6"/>
      <c r="P8" s="17"/>
      <c r="Q8" s="7">
        <v>4</v>
      </c>
      <c r="R8" s="8"/>
      <c r="S8" s="10">
        <f>SUM(O8:R8)</f>
        <v>4</v>
      </c>
      <c r="T8" s="34">
        <v>4</v>
      </c>
      <c r="U8" s="35"/>
      <c r="V8" s="36">
        <v>7</v>
      </c>
      <c r="W8" s="37"/>
      <c r="X8" s="125">
        <f>SUM(T8:W8)</f>
        <v>11</v>
      </c>
      <c r="Y8" s="91">
        <f t="shared" si="4"/>
        <v>15</v>
      </c>
      <c r="Z8" s="104">
        <v>45828</v>
      </c>
      <c r="AA8" s="105"/>
    </row>
    <row r="9" spans="1:28" ht="14.25" thickBot="1" x14ac:dyDescent="0.2">
      <c r="A9" s="13" t="s">
        <v>7</v>
      </c>
      <c r="B9" s="24">
        <f t="shared" ref="B9:F9" si="5">SUM(B4:B8)</f>
        <v>6</v>
      </c>
      <c r="C9" s="30">
        <f t="shared" si="5"/>
        <v>10</v>
      </c>
      <c r="D9" s="25">
        <f t="shared" si="5"/>
        <v>7</v>
      </c>
      <c r="E9" s="55">
        <f t="shared" si="5"/>
        <v>7</v>
      </c>
      <c r="F9" s="54">
        <f t="shared" si="5"/>
        <v>30</v>
      </c>
      <c r="G9" s="24">
        <f t="shared" ref="G9:K9" si="6">SUM(G4:G8)</f>
        <v>9</v>
      </c>
      <c r="H9" s="30">
        <f t="shared" si="6"/>
        <v>8</v>
      </c>
      <c r="I9" s="25">
        <f t="shared" si="6"/>
        <v>4</v>
      </c>
      <c r="J9" s="55">
        <f t="shared" si="6"/>
        <v>4</v>
      </c>
      <c r="K9" s="73">
        <f t="shared" si="6"/>
        <v>25</v>
      </c>
      <c r="L9" s="79">
        <f>F9+K9</f>
        <v>55</v>
      </c>
      <c r="N9" s="13" t="s">
        <v>7</v>
      </c>
      <c r="O9" s="24">
        <f t="shared" ref="O9:X9" si="7">SUM(O4:O8)</f>
        <v>103</v>
      </c>
      <c r="P9" s="30">
        <f t="shared" si="7"/>
        <v>135</v>
      </c>
      <c r="Q9" s="25">
        <f t="shared" si="7"/>
        <v>123</v>
      </c>
      <c r="R9" s="55">
        <f t="shared" si="7"/>
        <v>127</v>
      </c>
      <c r="S9" s="54">
        <f t="shared" si="7"/>
        <v>488</v>
      </c>
      <c r="T9" s="24">
        <f t="shared" si="7"/>
        <v>112</v>
      </c>
      <c r="U9" s="30">
        <f t="shared" si="7"/>
        <v>138</v>
      </c>
      <c r="V9" s="25">
        <f t="shared" si="7"/>
        <v>129</v>
      </c>
      <c r="W9" s="55">
        <f t="shared" si="7"/>
        <v>126</v>
      </c>
      <c r="X9" s="56">
        <f t="shared" si="7"/>
        <v>505</v>
      </c>
      <c r="Y9" s="79">
        <f>S9+X9</f>
        <v>993</v>
      </c>
    </row>
    <row r="10" spans="1:28" x14ac:dyDescent="0.15">
      <c r="A10" s="43" t="s">
        <v>32</v>
      </c>
      <c r="B10" s="38">
        <v>1</v>
      </c>
      <c r="C10" s="39"/>
      <c r="D10" s="40"/>
      <c r="E10" s="41"/>
      <c r="F10" s="49">
        <f t="shared" ref="F10:F27" si="8">SUM(B10:E10)</f>
        <v>1</v>
      </c>
      <c r="G10" s="15">
        <v>1</v>
      </c>
      <c r="H10" s="28"/>
      <c r="I10" s="16"/>
      <c r="J10" s="31"/>
      <c r="K10" s="74">
        <f t="shared" ref="K10" si="9">SUM(G10:J10)</f>
        <v>1</v>
      </c>
      <c r="L10" s="106">
        <f>F10+K10</f>
        <v>2</v>
      </c>
      <c r="M10" s="103">
        <v>45692</v>
      </c>
      <c r="N10" s="43" t="s">
        <v>38</v>
      </c>
      <c r="O10" s="38"/>
      <c r="P10" s="39"/>
      <c r="Q10" s="40">
        <v>3</v>
      </c>
      <c r="R10" s="41">
        <v>3</v>
      </c>
      <c r="S10" s="49">
        <f>SUM(O10:R10)</f>
        <v>6</v>
      </c>
      <c r="T10" s="15"/>
      <c r="U10" s="28"/>
      <c r="V10" s="16">
        <v>3</v>
      </c>
      <c r="W10" s="31">
        <v>3</v>
      </c>
      <c r="X10" s="9">
        <f>SUM(T10:W10)</f>
        <v>6</v>
      </c>
      <c r="Y10" s="106">
        <f t="shared" ref="Y10" si="10">S10+X10</f>
        <v>12</v>
      </c>
      <c r="Z10" s="104">
        <v>45731</v>
      </c>
    </row>
    <row r="11" spans="1:28" x14ac:dyDescent="0.15">
      <c r="A11" s="43" t="s">
        <v>37</v>
      </c>
      <c r="B11" s="15">
        <v>1</v>
      </c>
      <c r="C11" s="28"/>
      <c r="D11" s="16"/>
      <c r="E11" s="19"/>
      <c r="F11" s="9">
        <f t="shared" si="8"/>
        <v>1</v>
      </c>
      <c r="G11" s="15">
        <v>1</v>
      </c>
      <c r="H11" s="28"/>
      <c r="I11" s="16"/>
      <c r="J11" s="31"/>
      <c r="K11" s="74">
        <f>SUM(G11:J11)</f>
        <v>1</v>
      </c>
      <c r="L11" s="91">
        <f>F11+K11</f>
        <v>2</v>
      </c>
      <c r="M11" s="103">
        <v>45733</v>
      </c>
      <c r="N11" s="110" t="s">
        <v>43</v>
      </c>
      <c r="O11" s="15">
        <v>2</v>
      </c>
      <c r="P11" s="28">
        <v>2</v>
      </c>
      <c r="Q11" s="16">
        <v>2</v>
      </c>
      <c r="R11" s="19">
        <v>2</v>
      </c>
      <c r="S11" s="9">
        <f t="shared" ref="S11:S32" si="11">SUM(O11:R11)</f>
        <v>8</v>
      </c>
      <c r="T11" s="15">
        <v>2</v>
      </c>
      <c r="U11" s="28">
        <v>2</v>
      </c>
      <c r="V11" s="16">
        <v>2</v>
      </c>
      <c r="W11" s="31">
        <v>2</v>
      </c>
      <c r="X11" s="9">
        <f>SUM(T11:W11)</f>
        <v>8</v>
      </c>
      <c r="Y11" s="91">
        <f>S11+X11</f>
        <v>16</v>
      </c>
      <c r="Z11" s="104">
        <v>45756</v>
      </c>
      <c r="AA11" s="105"/>
      <c r="AB11" s="105"/>
    </row>
    <row r="12" spans="1:28" x14ac:dyDescent="0.15">
      <c r="A12" s="43" t="s">
        <v>41</v>
      </c>
      <c r="B12" s="15"/>
      <c r="C12" s="28">
        <v>1</v>
      </c>
      <c r="D12" s="16"/>
      <c r="E12" s="19"/>
      <c r="F12" s="9">
        <f t="shared" si="8"/>
        <v>1</v>
      </c>
      <c r="G12" s="15"/>
      <c r="H12" s="28"/>
      <c r="I12" s="16"/>
      <c r="J12" s="31"/>
      <c r="K12" s="74">
        <f>SUM(G12:J12)</f>
        <v>0</v>
      </c>
      <c r="L12" s="91">
        <f>F12+K12</f>
        <v>1</v>
      </c>
      <c r="M12" s="103">
        <v>45735</v>
      </c>
      <c r="N12" s="110" t="s">
        <v>44</v>
      </c>
      <c r="O12" s="15">
        <v>2</v>
      </c>
      <c r="P12" s="28">
        <v>2</v>
      </c>
      <c r="Q12" s="16">
        <v>2</v>
      </c>
      <c r="R12" s="19">
        <v>2</v>
      </c>
      <c r="S12" s="9">
        <f t="shared" si="11"/>
        <v>8</v>
      </c>
      <c r="T12" s="15">
        <v>2</v>
      </c>
      <c r="U12" s="28">
        <v>2</v>
      </c>
      <c r="V12" s="16">
        <v>2</v>
      </c>
      <c r="W12" s="31">
        <v>2</v>
      </c>
      <c r="X12" s="9">
        <f>SUM(T12:W12)</f>
        <v>8</v>
      </c>
      <c r="Y12" s="91">
        <f>S12+X12</f>
        <v>16</v>
      </c>
      <c r="Z12" s="104">
        <v>45764</v>
      </c>
      <c r="AA12" s="105"/>
      <c r="AB12" s="105"/>
    </row>
    <row r="13" spans="1:28" x14ac:dyDescent="0.15">
      <c r="A13" s="43" t="s">
        <v>41</v>
      </c>
      <c r="B13" s="15"/>
      <c r="C13" s="28"/>
      <c r="D13" s="16">
        <v>1</v>
      </c>
      <c r="E13" s="19"/>
      <c r="F13" s="9">
        <f t="shared" si="8"/>
        <v>1</v>
      </c>
      <c r="G13" s="15">
        <v>1</v>
      </c>
      <c r="H13" s="28"/>
      <c r="I13" s="16"/>
      <c r="J13" s="31"/>
      <c r="K13" s="74">
        <f>SUM(G13:J13)</f>
        <v>1</v>
      </c>
      <c r="L13" s="91">
        <f t="shared" ref="L13:L36" si="12">F13+K13</f>
        <v>2</v>
      </c>
      <c r="M13" s="103">
        <v>45740</v>
      </c>
      <c r="N13" s="43" t="s">
        <v>38</v>
      </c>
      <c r="O13" s="15"/>
      <c r="P13" s="28"/>
      <c r="Q13" s="16">
        <v>3</v>
      </c>
      <c r="R13" s="19">
        <v>3</v>
      </c>
      <c r="S13" s="9">
        <f>SUM(O13:R13)</f>
        <v>6</v>
      </c>
      <c r="T13" s="15"/>
      <c r="U13" s="28"/>
      <c r="V13" s="16"/>
      <c r="W13" s="31"/>
      <c r="X13" s="9">
        <f>SUM(T13:W13)</f>
        <v>0</v>
      </c>
      <c r="Y13" s="91">
        <f t="shared" ref="Y13" si="13">S13+X13</f>
        <v>6</v>
      </c>
      <c r="Z13" s="104">
        <v>45764</v>
      </c>
      <c r="AA13" s="105"/>
    </row>
    <row r="14" spans="1:28" x14ac:dyDescent="0.15">
      <c r="A14" s="43" t="s">
        <v>41</v>
      </c>
      <c r="B14" s="15"/>
      <c r="C14" s="28"/>
      <c r="D14" s="16"/>
      <c r="E14" s="19"/>
      <c r="F14" s="9">
        <f t="shared" si="8"/>
        <v>0</v>
      </c>
      <c r="G14" s="15"/>
      <c r="H14" s="28">
        <v>1</v>
      </c>
      <c r="I14" s="16"/>
      <c r="J14" s="31"/>
      <c r="K14" s="74">
        <f t="shared" ref="K14:K23" si="14">SUM(G14:J14)</f>
        <v>1</v>
      </c>
      <c r="L14" s="91">
        <f t="shared" si="12"/>
        <v>1</v>
      </c>
      <c r="M14" s="103">
        <v>45742</v>
      </c>
      <c r="N14" s="122" t="s">
        <v>48</v>
      </c>
      <c r="O14" s="15">
        <v>25</v>
      </c>
      <c r="P14" s="28">
        <v>25</v>
      </c>
      <c r="Q14" s="16">
        <v>25</v>
      </c>
      <c r="R14" s="19">
        <v>25</v>
      </c>
      <c r="S14" s="9">
        <f t="shared" si="11"/>
        <v>100</v>
      </c>
      <c r="T14" s="15">
        <v>25</v>
      </c>
      <c r="U14" s="28">
        <v>25</v>
      </c>
      <c r="V14" s="16">
        <v>25</v>
      </c>
      <c r="W14" s="31">
        <v>25</v>
      </c>
      <c r="X14" s="9">
        <f t="shared" ref="X14" si="15">SUM(T14:W14)</f>
        <v>100</v>
      </c>
      <c r="Y14" s="91">
        <f t="shared" ref="Y14:Y36" si="16">S14+X14</f>
        <v>200</v>
      </c>
      <c r="Z14" s="104">
        <v>45778</v>
      </c>
      <c r="AA14" s="105"/>
      <c r="AB14" s="105"/>
    </row>
    <row r="15" spans="1:28" x14ac:dyDescent="0.15">
      <c r="A15" s="43" t="s">
        <v>41</v>
      </c>
      <c r="B15" s="15">
        <v>1</v>
      </c>
      <c r="C15" s="28"/>
      <c r="D15" s="16"/>
      <c r="E15" s="19">
        <v>1</v>
      </c>
      <c r="F15" s="9">
        <f t="shared" si="8"/>
        <v>2</v>
      </c>
      <c r="G15" s="15"/>
      <c r="H15" s="28"/>
      <c r="I15" s="16"/>
      <c r="J15" s="31"/>
      <c r="K15" s="74">
        <f>SUM(G15:J15)</f>
        <v>0</v>
      </c>
      <c r="L15" s="91">
        <f t="shared" si="12"/>
        <v>2</v>
      </c>
      <c r="M15" s="103">
        <v>45747</v>
      </c>
      <c r="N15" s="43" t="s">
        <v>51</v>
      </c>
      <c r="O15" s="15"/>
      <c r="P15" s="28">
        <v>5</v>
      </c>
      <c r="Q15" s="16"/>
      <c r="R15" s="19"/>
      <c r="S15" s="9">
        <f t="shared" si="11"/>
        <v>5</v>
      </c>
      <c r="T15" s="15">
        <v>3</v>
      </c>
      <c r="U15" s="28">
        <v>3</v>
      </c>
      <c r="V15" s="16"/>
      <c r="W15" s="31"/>
      <c r="X15" s="9">
        <f>SUM(T15:W15)</f>
        <v>6</v>
      </c>
      <c r="Y15" s="91">
        <f t="shared" si="16"/>
        <v>11</v>
      </c>
      <c r="Z15" s="104">
        <v>45778</v>
      </c>
      <c r="AA15" s="105"/>
    </row>
    <row r="16" spans="1:28" x14ac:dyDescent="0.15">
      <c r="A16" s="43" t="s">
        <v>41</v>
      </c>
      <c r="B16" s="15"/>
      <c r="C16" s="28"/>
      <c r="D16" s="16"/>
      <c r="E16" s="19">
        <v>1</v>
      </c>
      <c r="F16" s="9">
        <f t="shared" si="8"/>
        <v>1</v>
      </c>
      <c r="G16" s="15"/>
      <c r="H16" s="28"/>
      <c r="I16" s="16"/>
      <c r="J16" s="31"/>
      <c r="K16" s="74">
        <f>SUM(G16:J16)</f>
        <v>0</v>
      </c>
      <c r="L16" s="91">
        <f t="shared" si="12"/>
        <v>1</v>
      </c>
      <c r="M16" s="103">
        <v>45754</v>
      </c>
      <c r="N16" s="110" t="s">
        <v>54</v>
      </c>
      <c r="O16" s="15"/>
      <c r="P16" s="28">
        <v>3</v>
      </c>
      <c r="Q16" s="16">
        <v>1</v>
      </c>
      <c r="R16" s="19">
        <v>1</v>
      </c>
      <c r="S16" s="9">
        <f t="shared" si="11"/>
        <v>5</v>
      </c>
      <c r="T16" s="15">
        <v>1</v>
      </c>
      <c r="U16" s="28">
        <v>1</v>
      </c>
      <c r="V16" s="16">
        <v>3</v>
      </c>
      <c r="W16" s="31"/>
      <c r="X16" s="9">
        <f>SUM(T16:W16)</f>
        <v>5</v>
      </c>
      <c r="Y16" s="91">
        <f t="shared" si="16"/>
        <v>10</v>
      </c>
      <c r="Z16" s="104">
        <v>45796</v>
      </c>
      <c r="AA16" s="105"/>
    </row>
    <row r="17" spans="1:27" x14ac:dyDescent="0.15">
      <c r="A17" s="43" t="s">
        <v>41</v>
      </c>
      <c r="B17" s="15"/>
      <c r="C17" s="28"/>
      <c r="D17" s="16"/>
      <c r="E17" s="19"/>
      <c r="F17" s="9">
        <f t="shared" si="8"/>
        <v>0</v>
      </c>
      <c r="G17" s="15"/>
      <c r="H17" s="28">
        <v>1</v>
      </c>
      <c r="I17" s="16"/>
      <c r="J17" s="31"/>
      <c r="K17" s="74">
        <f t="shared" si="14"/>
        <v>1</v>
      </c>
      <c r="L17" s="91">
        <f t="shared" si="12"/>
        <v>1</v>
      </c>
      <c r="M17" s="103">
        <v>45757</v>
      </c>
      <c r="N17" s="110" t="s">
        <v>55</v>
      </c>
      <c r="O17" s="15"/>
      <c r="P17" s="28"/>
      <c r="Q17" s="16">
        <v>1</v>
      </c>
      <c r="R17" s="19"/>
      <c r="S17" s="9">
        <f t="shared" si="11"/>
        <v>1</v>
      </c>
      <c r="T17" s="15"/>
      <c r="U17" s="28">
        <v>1</v>
      </c>
      <c r="V17" s="16"/>
      <c r="W17" s="31">
        <v>1</v>
      </c>
      <c r="X17" s="9">
        <f t="shared" ref="X17" si="17">SUM(T17:W17)</f>
        <v>2</v>
      </c>
      <c r="Y17" s="91">
        <f t="shared" si="16"/>
        <v>3</v>
      </c>
      <c r="Z17" s="104">
        <v>45796</v>
      </c>
    </row>
    <row r="18" spans="1:27" x14ac:dyDescent="0.15">
      <c r="A18" s="110" t="s">
        <v>46</v>
      </c>
      <c r="B18" s="15"/>
      <c r="C18" s="28"/>
      <c r="D18" s="16"/>
      <c r="E18" s="19"/>
      <c r="F18" s="9">
        <f t="shared" si="8"/>
        <v>0</v>
      </c>
      <c r="G18" s="15"/>
      <c r="H18" s="28"/>
      <c r="I18" s="16"/>
      <c r="J18" s="31">
        <v>1</v>
      </c>
      <c r="K18" s="9">
        <f>SUM(G18:J18)</f>
        <v>1</v>
      </c>
      <c r="L18" s="91">
        <f t="shared" si="12"/>
        <v>1</v>
      </c>
      <c r="M18" s="103">
        <v>45765</v>
      </c>
      <c r="N18" s="122" t="s">
        <v>56</v>
      </c>
      <c r="O18" s="15"/>
      <c r="P18" s="28"/>
      <c r="Q18" s="16"/>
      <c r="R18" s="19"/>
      <c r="S18" s="9">
        <f t="shared" si="11"/>
        <v>0</v>
      </c>
      <c r="T18" s="15"/>
      <c r="U18" s="28"/>
      <c r="V18" s="16"/>
      <c r="W18" s="31">
        <v>10</v>
      </c>
      <c r="X18" s="9">
        <f>SUM(T18:W18)</f>
        <v>10</v>
      </c>
      <c r="Y18" s="91">
        <f t="shared" si="16"/>
        <v>10</v>
      </c>
      <c r="Z18" s="104">
        <v>45792</v>
      </c>
    </row>
    <row r="19" spans="1:27" x14ac:dyDescent="0.15">
      <c r="A19" s="43" t="s">
        <v>41</v>
      </c>
      <c r="B19" s="15"/>
      <c r="C19" s="28"/>
      <c r="D19" s="16">
        <v>1</v>
      </c>
      <c r="E19" s="19"/>
      <c r="F19" s="9">
        <f t="shared" si="8"/>
        <v>1</v>
      </c>
      <c r="G19" s="15"/>
      <c r="H19" s="28"/>
      <c r="I19" s="16"/>
      <c r="J19" s="31"/>
      <c r="K19" s="74">
        <f t="shared" si="14"/>
        <v>0</v>
      </c>
      <c r="L19" s="91">
        <f t="shared" si="12"/>
        <v>1</v>
      </c>
      <c r="M19" s="103">
        <v>45762</v>
      </c>
      <c r="N19" s="43" t="s">
        <v>38</v>
      </c>
      <c r="O19" s="15"/>
      <c r="P19" s="28"/>
      <c r="Q19" s="16"/>
      <c r="R19" s="19">
        <v>3</v>
      </c>
      <c r="S19" s="9">
        <f t="shared" si="11"/>
        <v>3</v>
      </c>
      <c r="T19" s="15"/>
      <c r="U19" s="28"/>
      <c r="V19" s="16">
        <v>3</v>
      </c>
      <c r="W19" s="31">
        <v>3</v>
      </c>
      <c r="X19" s="9">
        <f t="shared" ref="X19" si="18">SUM(T19:W19)</f>
        <v>6</v>
      </c>
      <c r="Y19" s="91">
        <f t="shared" si="16"/>
        <v>9</v>
      </c>
      <c r="Z19" s="104">
        <v>45796</v>
      </c>
    </row>
    <row r="20" spans="1:27" x14ac:dyDescent="0.15">
      <c r="A20" s="43" t="s">
        <v>41</v>
      </c>
      <c r="B20" s="15"/>
      <c r="C20" s="28"/>
      <c r="D20" s="16"/>
      <c r="E20" s="19"/>
      <c r="F20" s="9">
        <f t="shared" si="8"/>
        <v>0</v>
      </c>
      <c r="G20" s="15">
        <v>1</v>
      </c>
      <c r="H20" s="28"/>
      <c r="I20" s="16"/>
      <c r="J20" s="31"/>
      <c r="K20" s="74">
        <f t="shared" si="14"/>
        <v>1</v>
      </c>
      <c r="L20" s="91">
        <f t="shared" si="12"/>
        <v>1</v>
      </c>
      <c r="M20" s="103">
        <v>45763</v>
      </c>
      <c r="N20" s="122" t="s">
        <v>58</v>
      </c>
      <c r="O20" s="15">
        <v>8</v>
      </c>
      <c r="P20" s="28">
        <v>18</v>
      </c>
      <c r="Q20" s="16"/>
      <c r="R20" s="19"/>
      <c r="S20" s="9">
        <f t="shared" si="11"/>
        <v>26</v>
      </c>
      <c r="T20" s="15"/>
      <c r="U20" s="28">
        <v>7</v>
      </c>
      <c r="V20" s="16"/>
      <c r="W20" s="31">
        <v>2</v>
      </c>
      <c r="X20" s="9">
        <f t="shared" ref="X20:X21" si="19">SUM(T20:W20)</f>
        <v>9</v>
      </c>
      <c r="Y20" s="91">
        <f t="shared" si="16"/>
        <v>35</v>
      </c>
      <c r="Z20" s="104">
        <v>45798</v>
      </c>
      <c r="AA20" s="105"/>
    </row>
    <row r="21" spans="1:27" x14ac:dyDescent="0.15">
      <c r="A21" s="43" t="s">
        <v>41</v>
      </c>
      <c r="B21" s="15"/>
      <c r="C21" s="28"/>
      <c r="D21" s="16"/>
      <c r="E21" s="19">
        <v>1</v>
      </c>
      <c r="F21" s="9">
        <f t="shared" si="8"/>
        <v>1</v>
      </c>
      <c r="G21" s="15"/>
      <c r="H21" s="28"/>
      <c r="I21" s="16"/>
      <c r="J21" s="31">
        <v>1</v>
      </c>
      <c r="K21" s="74">
        <f t="shared" si="14"/>
        <v>1</v>
      </c>
      <c r="L21" s="91">
        <f t="shared" si="12"/>
        <v>2</v>
      </c>
      <c r="M21" s="103">
        <v>45764</v>
      </c>
      <c r="N21" s="110" t="s">
        <v>59</v>
      </c>
      <c r="O21" s="15"/>
      <c r="P21" s="28"/>
      <c r="Q21" s="16">
        <v>1</v>
      </c>
      <c r="R21" s="19"/>
      <c r="S21" s="9">
        <f t="shared" si="11"/>
        <v>1</v>
      </c>
      <c r="T21" s="15">
        <v>1</v>
      </c>
      <c r="U21" s="28"/>
      <c r="V21" s="16"/>
      <c r="W21" s="31">
        <v>2</v>
      </c>
      <c r="X21" s="9">
        <f t="shared" si="19"/>
        <v>3</v>
      </c>
      <c r="Y21" s="91">
        <f t="shared" si="16"/>
        <v>4</v>
      </c>
      <c r="Z21" s="104">
        <v>45803</v>
      </c>
    </row>
    <row r="22" spans="1:27" x14ac:dyDescent="0.15">
      <c r="A22" s="43" t="s">
        <v>41</v>
      </c>
      <c r="B22" s="15"/>
      <c r="C22" s="28">
        <v>2</v>
      </c>
      <c r="D22" s="16"/>
      <c r="E22" s="19"/>
      <c r="F22" s="9">
        <f t="shared" si="8"/>
        <v>2</v>
      </c>
      <c r="G22" s="15"/>
      <c r="H22" s="28"/>
      <c r="I22" s="16"/>
      <c r="J22" s="31"/>
      <c r="K22" s="74">
        <f>SUM(G22:J22)</f>
        <v>0</v>
      </c>
      <c r="L22" s="91">
        <f t="shared" si="12"/>
        <v>2</v>
      </c>
      <c r="M22" s="103">
        <v>45772</v>
      </c>
      <c r="N22" s="110" t="s">
        <v>60</v>
      </c>
      <c r="O22" s="15"/>
      <c r="P22" s="28">
        <v>1</v>
      </c>
      <c r="Q22" s="16"/>
      <c r="R22" s="19">
        <v>1</v>
      </c>
      <c r="S22" s="9">
        <f t="shared" si="11"/>
        <v>2</v>
      </c>
      <c r="T22" s="15"/>
      <c r="U22" s="28">
        <v>1</v>
      </c>
      <c r="V22" s="16"/>
      <c r="W22" s="31"/>
      <c r="X22" s="9">
        <f>SUM(T22:W22)</f>
        <v>1</v>
      </c>
      <c r="Y22" s="91">
        <f t="shared" si="16"/>
        <v>3</v>
      </c>
      <c r="Z22" s="104">
        <v>45803</v>
      </c>
    </row>
    <row r="23" spans="1:27" x14ac:dyDescent="0.15">
      <c r="A23" s="110" t="s">
        <v>50</v>
      </c>
      <c r="B23" s="15"/>
      <c r="C23" s="28">
        <v>2</v>
      </c>
      <c r="D23" s="16"/>
      <c r="E23" s="19"/>
      <c r="F23" s="9">
        <f t="shared" si="8"/>
        <v>2</v>
      </c>
      <c r="G23" s="15">
        <v>1</v>
      </c>
      <c r="H23" s="28"/>
      <c r="I23" s="16"/>
      <c r="J23" s="31"/>
      <c r="K23" s="74">
        <f t="shared" si="14"/>
        <v>1</v>
      </c>
      <c r="L23" s="91">
        <f t="shared" si="12"/>
        <v>3</v>
      </c>
      <c r="M23" s="103">
        <v>45779</v>
      </c>
      <c r="N23" s="43" t="s">
        <v>38</v>
      </c>
      <c r="O23" s="15">
        <v>3</v>
      </c>
      <c r="P23" s="28">
        <v>5</v>
      </c>
      <c r="Q23" s="16"/>
      <c r="R23" s="19">
        <v>3</v>
      </c>
      <c r="S23" s="9">
        <f>SUM(O23:R23)</f>
        <v>11</v>
      </c>
      <c r="T23" s="15"/>
      <c r="U23" s="28"/>
      <c r="V23" s="16"/>
      <c r="W23" s="31"/>
      <c r="X23" s="9">
        <f>SUM(T23:W23)</f>
        <v>0</v>
      </c>
      <c r="Y23" s="91">
        <f t="shared" si="16"/>
        <v>11</v>
      </c>
      <c r="Z23" s="104">
        <v>45805</v>
      </c>
    </row>
    <row r="24" spans="1:27" x14ac:dyDescent="0.15">
      <c r="A24" s="110" t="s">
        <v>52</v>
      </c>
      <c r="B24" s="15"/>
      <c r="C24" s="28"/>
      <c r="D24" s="16">
        <v>1</v>
      </c>
      <c r="E24" s="19"/>
      <c r="F24" s="9">
        <f t="shared" si="8"/>
        <v>1</v>
      </c>
      <c r="G24" s="15"/>
      <c r="H24" s="28">
        <v>1</v>
      </c>
      <c r="I24" s="16"/>
      <c r="J24" s="31"/>
      <c r="K24" s="74">
        <f t="shared" ref="K24:K35" si="20">SUM(G24:J24)</f>
        <v>1</v>
      </c>
      <c r="L24" s="91">
        <f t="shared" si="12"/>
        <v>2</v>
      </c>
      <c r="M24" s="103">
        <v>45779</v>
      </c>
      <c r="N24" s="110" t="s">
        <v>61</v>
      </c>
      <c r="O24" s="15"/>
      <c r="P24" s="28">
        <v>2</v>
      </c>
      <c r="Q24" s="16"/>
      <c r="R24" s="19">
        <v>1</v>
      </c>
      <c r="S24" s="9">
        <f t="shared" ref="S24" si="21">SUM(O24:R24)</f>
        <v>3</v>
      </c>
      <c r="T24" s="15"/>
      <c r="U24" s="28"/>
      <c r="V24" s="16"/>
      <c r="W24" s="31"/>
      <c r="X24" s="74">
        <f t="shared" ref="X24" si="22">SUM(T24:W24)</f>
        <v>0</v>
      </c>
      <c r="Y24" s="91">
        <f t="shared" si="16"/>
        <v>3</v>
      </c>
      <c r="Z24" s="123">
        <v>45807</v>
      </c>
    </row>
    <row r="25" spans="1:27" x14ac:dyDescent="0.15">
      <c r="A25" s="43" t="s">
        <v>41</v>
      </c>
      <c r="B25" s="15"/>
      <c r="C25" s="28"/>
      <c r="D25" s="16"/>
      <c r="E25" s="19">
        <v>1</v>
      </c>
      <c r="F25" s="9">
        <f t="shared" si="8"/>
        <v>1</v>
      </c>
      <c r="G25" s="15"/>
      <c r="H25" s="28"/>
      <c r="I25" s="16"/>
      <c r="J25" s="31"/>
      <c r="K25" s="74">
        <f t="shared" si="20"/>
        <v>0</v>
      </c>
      <c r="L25" s="91">
        <f t="shared" si="12"/>
        <v>1</v>
      </c>
      <c r="M25" s="103">
        <v>45777</v>
      </c>
      <c r="N25" s="110" t="s">
        <v>63</v>
      </c>
      <c r="O25" s="15">
        <v>1</v>
      </c>
      <c r="P25" s="28"/>
      <c r="Q25" s="16"/>
      <c r="R25" s="19"/>
      <c r="S25" s="9">
        <f t="shared" si="11"/>
        <v>1</v>
      </c>
      <c r="T25" s="15"/>
      <c r="U25" s="28">
        <v>2</v>
      </c>
      <c r="V25" s="16"/>
      <c r="W25" s="31">
        <v>1</v>
      </c>
      <c r="X25" s="9">
        <f t="shared" ref="X25" si="23">SUM(T25:W25)</f>
        <v>3</v>
      </c>
      <c r="Y25" s="91">
        <f t="shared" si="16"/>
        <v>4</v>
      </c>
      <c r="Z25" s="104">
        <v>45814</v>
      </c>
    </row>
    <row r="26" spans="1:27" x14ac:dyDescent="0.15">
      <c r="A26" s="43" t="s">
        <v>41</v>
      </c>
      <c r="B26" s="15"/>
      <c r="C26" s="28"/>
      <c r="D26" s="16"/>
      <c r="E26" s="19"/>
      <c r="F26" s="9">
        <f t="shared" si="8"/>
        <v>0</v>
      </c>
      <c r="G26" s="15"/>
      <c r="H26" s="28"/>
      <c r="I26" s="16">
        <v>1</v>
      </c>
      <c r="J26" s="31"/>
      <c r="K26" s="74">
        <f>SUM(G26:J26)</f>
        <v>1</v>
      </c>
      <c r="L26" s="91">
        <f t="shared" si="12"/>
        <v>1</v>
      </c>
      <c r="M26" s="103">
        <v>45779</v>
      </c>
      <c r="N26" s="110" t="s">
        <v>62</v>
      </c>
      <c r="O26" s="15">
        <v>2</v>
      </c>
      <c r="P26" s="28">
        <v>2</v>
      </c>
      <c r="Q26" s="16">
        <v>1</v>
      </c>
      <c r="R26" s="19">
        <v>1</v>
      </c>
      <c r="S26" s="9">
        <f t="shared" si="11"/>
        <v>6</v>
      </c>
      <c r="T26" s="15"/>
      <c r="U26" s="28">
        <v>2</v>
      </c>
      <c r="V26" s="16">
        <v>2</v>
      </c>
      <c r="W26" s="31">
        <v>2</v>
      </c>
      <c r="X26" s="9">
        <f>SUM(T26:W26)</f>
        <v>6</v>
      </c>
      <c r="Y26" s="91">
        <f t="shared" si="16"/>
        <v>12</v>
      </c>
      <c r="Z26" s="104">
        <v>45814</v>
      </c>
      <c r="AA26" s="105"/>
    </row>
    <row r="27" spans="1:27" x14ac:dyDescent="0.15">
      <c r="A27" s="43" t="s">
        <v>41</v>
      </c>
      <c r="B27" s="15"/>
      <c r="C27" s="28">
        <v>1</v>
      </c>
      <c r="D27" s="16"/>
      <c r="E27" s="19">
        <v>1</v>
      </c>
      <c r="F27" s="9">
        <f t="shared" si="8"/>
        <v>2</v>
      </c>
      <c r="G27" s="15">
        <v>1</v>
      </c>
      <c r="H27" s="28"/>
      <c r="I27" s="16"/>
      <c r="J27" s="31"/>
      <c r="K27" s="74">
        <f t="shared" ref="K27:K34" si="24">SUM(G27:J27)</f>
        <v>1</v>
      </c>
      <c r="L27" s="91">
        <f t="shared" si="12"/>
        <v>3</v>
      </c>
      <c r="M27" s="103">
        <v>45789</v>
      </c>
      <c r="N27" s="110" t="s">
        <v>66</v>
      </c>
      <c r="O27" s="15">
        <v>1</v>
      </c>
      <c r="P27" s="28">
        <v>1</v>
      </c>
      <c r="Q27" s="16"/>
      <c r="R27" s="19"/>
      <c r="S27" s="9">
        <f t="shared" si="11"/>
        <v>2</v>
      </c>
      <c r="T27" s="15"/>
      <c r="U27" s="28"/>
      <c r="V27" s="16"/>
      <c r="W27" s="31"/>
      <c r="X27" s="9">
        <f t="shared" ref="X27:X35" si="25">SUM(T27:W27)</f>
        <v>0</v>
      </c>
      <c r="Y27" s="91">
        <f t="shared" si="16"/>
        <v>2</v>
      </c>
      <c r="Z27" s="104">
        <v>45821</v>
      </c>
      <c r="AA27" s="105"/>
    </row>
    <row r="28" spans="1:27" x14ac:dyDescent="0.15">
      <c r="A28" s="43" t="s">
        <v>41</v>
      </c>
      <c r="B28" s="15"/>
      <c r="C28" s="28"/>
      <c r="D28" s="16"/>
      <c r="E28" s="19"/>
      <c r="F28" s="9">
        <f t="shared" ref="F28" si="26">SUM(B28:E28)</f>
        <v>0</v>
      </c>
      <c r="G28" s="15"/>
      <c r="H28" s="28"/>
      <c r="I28" s="16">
        <v>1</v>
      </c>
      <c r="J28" s="31"/>
      <c r="K28" s="74">
        <f t="shared" si="24"/>
        <v>1</v>
      </c>
      <c r="L28" s="91">
        <f t="shared" si="12"/>
        <v>1</v>
      </c>
      <c r="M28" s="103">
        <v>45790</v>
      </c>
      <c r="N28" s="110" t="s">
        <v>65</v>
      </c>
      <c r="O28" s="15">
        <v>1</v>
      </c>
      <c r="P28" s="28">
        <v>1</v>
      </c>
      <c r="Q28" s="16">
        <v>1</v>
      </c>
      <c r="R28" s="19"/>
      <c r="S28" s="9">
        <f t="shared" si="11"/>
        <v>3</v>
      </c>
      <c r="T28" s="15"/>
      <c r="U28" s="28">
        <v>2</v>
      </c>
      <c r="V28" s="16"/>
      <c r="W28" s="31"/>
      <c r="X28" s="9">
        <f t="shared" si="25"/>
        <v>2</v>
      </c>
      <c r="Y28" s="91">
        <f t="shared" si="16"/>
        <v>5</v>
      </c>
      <c r="Z28" s="104">
        <v>45821</v>
      </c>
      <c r="AA28" s="105"/>
    </row>
    <row r="29" spans="1:27" x14ac:dyDescent="0.15">
      <c r="A29" s="43" t="s">
        <v>57</v>
      </c>
      <c r="B29" s="15"/>
      <c r="C29" s="28"/>
      <c r="D29" s="16"/>
      <c r="E29" s="19">
        <v>-3</v>
      </c>
      <c r="F29" s="9">
        <f t="shared" ref="F29:F34" si="27">SUM(B29:E29)</f>
        <v>-3</v>
      </c>
      <c r="G29" s="15"/>
      <c r="H29" s="28"/>
      <c r="I29" s="16">
        <v>-3</v>
      </c>
      <c r="J29" s="31">
        <v>-3</v>
      </c>
      <c r="K29" s="74">
        <f t="shared" si="24"/>
        <v>-6</v>
      </c>
      <c r="L29" s="91">
        <f t="shared" si="12"/>
        <v>-9</v>
      </c>
      <c r="M29" s="103">
        <v>45796</v>
      </c>
      <c r="N29" s="110" t="s">
        <v>67</v>
      </c>
      <c r="O29" s="15">
        <v>1</v>
      </c>
      <c r="P29" s="28"/>
      <c r="Q29" s="16">
        <v>1</v>
      </c>
      <c r="R29" s="19">
        <v>1</v>
      </c>
      <c r="S29" s="9">
        <f t="shared" si="11"/>
        <v>3</v>
      </c>
      <c r="T29" s="15">
        <v>1</v>
      </c>
      <c r="U29" s="28">
        <v>1</v>
      </c>
      <c r="V29" s="16"/>
      <c r="W29" s="31"/>
      <c r="X29" s="9">
        <f t="shared" si="25"/>
        <v>2</v>
      </c>
      <c r="Y29" s="91">
        <f t="shared" si="16"/>
        <v>5</v>
      </c>
      <c r="Z29" s="104">
        <v>45828</v>
      </c>
      <c r="AA29" s="105"/>
    </row>
    <row r="30" spans="1:27" x14ac:dyDescent="0.15">
      <c r="A30" s="43" t="s">
        <v>41</v>
      </c>
      <c r="B30" s="15">
        <v>1</v>
      </c>
      <c r="C30" s="28"/>
      <c r="D30" s="16"/>
      <c r="E30" s="19"/>
      <c r="F30" s="9">
        <f t="shared" si="27"/>
        <v>1</v>
      </c>
      <c r="G30" s="15"/>
      <c r="H30" s="28"/>
      <c r="I30" s="16"/>
      <c r="J30" s="31"/>
      <c r="K30" s="74">
        <f t="shared" ref="K30" si="28">SUM(G30:J30)</f>
        <v>0</v>
      </c>
      <c r="L30" s="91">
        <f t="shared" si="12"/>
        <v>1</v>
      </c>
      <c r="M30" s="103">
        <v>45796</v>
      </c>
      <c r="N30" s="110" t="s">
        <v>68</v>
      </c>
      <c r="O30" s="15">
        <v>1</v>
      </c>
      <c r="P30" s="28">
        <v>2</v>
      </c>
      <c r="Q30" s="16"/>
      <c r="R30" s="19">
        <v>1</v>
      </c>
      <c r="S30" s="9">
        <f t="shared" si="11"/>
        <v>4</v>
      </c>
      <c r="T30" s="15">
        <v>1</v>
      </c>
      <c r="U30" s="28">
        <v>2</v>
      </c>
      <c r="V30" s="16">
        <v>1</v>
      </c>
      <c r="W30" s="31">
        <v>2</v>
      </c>
      <c r="X30" s="9">
        <f t="shared" si="25"/>
        <v>6</v>
      </c>
      <c r="Y30" s="91">
        <f t="shared" si="16"/>
        <v>10</v>
      </c>
      <c r="Z30" s="104">
        <v>45835</v>
      </c>
    </row>
    <row r="31" spans="1:27" x14ac:dyDescent="0.15">
      <c r="A31" s="43" t="s">
        <v>41</v>
      </c>
      <c r="B31" s="15"/>
      <c r="C31" s="28">
        <v>1</v>
      </c>
      <c r="D31" s="16"/>
      <c r="E31" s="19">
        <v>1</v>
      </c>
      <c r="F31" s="9">
        <f t="shared" si="27"/>
        <v>2</v>
      </c>
      <c r="G31" s="15"/>
      <c r="H31" s="28"/>
      <c r="I31" s="16"/>
      <c r="J31" s="31">
        <v>1</v>
      </c>
      <c r="K31" s="74">
        <f t="shared" si="24"/>
        <v>1</v>
      </c>
      <c r="L31" s="91">
        <f t="shared" si="12"/>
        <v>3</v>
      </c>
      <c r="M31" s="103">
        <v>45803</v>
      </c>
      <c r="N31" s="43"/>
      <c r="O31" s="15"/>
      <c r="P31" s="28"/>
      <c r="Q31" s="16"/>
      <c r="R31" s="19"/>
      <c r="S31" s="9">
        <f t="shared" si="11"/>
        <v>0</v>
      </c>
      <c r="T31" s="15"/>
      <c r="U31" s="28"/>
      <c r="V31" s="16"/>
      <c r="W31" s="31"/>
      <c r="X31" s="9">
        <f t="shared" si="25"/>
        <v>0</v>
      </c>
      <c r="Y31" s="91">
        <f t="shared" si="16"/>
        <v>0</v>
      </c>
      <c r="Z31" s="105"/>
    </row>
    <row r="32" spans="1:27" x14ac:dyDescent="0.15">
      <c r="A32" s="43" t="s">
        <v>41</v>
      </c>
      <c r="B32" s="15">
        <v>1</v>
      </c>
      <c r="C32" s="28"/>
      <c r="D32" s="16"/>
      <c r="E32" s="19"/>
      <c r="F32" s="9">
        <f t="shared" ref="F32" si="29">SUM(B32:E32)</f>
        <v>1</v>
      </c>
      <c r="G32" s="15"/>
      <c r="H32" s="28"/>
      <c r="I32" s="16"/>
      <c r="J32" s="31"/>
      <c r="K32" s="74">
        <f t="shared" ref="K32" si="30">SUM(G32:J32)</f>
        <v>0</v>
      </c>
      <c r="L32" s="91">
        <f t="shared" ref="L32" si="31">F32+K32</f>
        <v>1</v>
      </c>
      <c r="M32" s="103">
        <v>45814</v>
      </c>
      <c r="N32" s="11" t="s">
        <v>35</v>
      </c>
      <c r="O32" s="15"/>
      <c r="P32" s="28"/>
      <c r="Q32" s="16"/>
      <c r="R32" s="19"/>
      <c r="S32" s="42">
        <f t="shared" si="11"/>
        <v>0</v>
      </c>
      <c r="T32" s="15"/>
      <c r="U32" s="28"/>
      <c r="V32" s="16"/>
      <c r="W32" s="31"/>
      <c r="X32" s="9">
        <f t="shared" si="25"/>
        <v>0</v>
      </c>
      <c r="Y32" s="121">
        <f t="shared" si="16"/>
        <v>0</v>
      </c>
      <c r="Z32" s="105" t="s">
        <v>42</v>
      </c>
    </row>
    <row r="33" spans="1:27" x14ac:dyDescent="0.15">
      <c r="A33" s="43" t="s">
        <v>41</v>
      </c>
      <c r="B33" s="15"/>
      <c r="C33" s="28"/>
      <c r="D33" s="16"/>
      <c r="E33" s="19">
        <v>1</v>
      </c>
      <c r="F33" s="9">
        <f t="shared" si="27"/>
        <v>1</v>
      </c>
      <c r="G33" s="15"/>
      <c r="H33" s="28"/>
      <c r="I33" s="16"/>
      <c r="J33" s="31"/>
      <c r="K33" s="74">
        <f t="shared" si="24"/>
        <v>0</v>
      </c>
      <c r="L33" s="91">
        <f t="shared" si="12"/>
        <v>1</v>
      </c>
      <c r="M33" s="103">
        <v>45817</v>
      </c>
      <c r="N33" s="111" t="s">
        <v>28</v>
      </c>
      <c r="O33" s="112"/>
      <c r="P33" s="113"/>
      <c r="Q33" s="114"/>
      <c r="R33" s="115"/>
      <c r="S33" s="116">
        <f t="shared" ref="S33:S34" si="32">SUM(O33:R33)</f>
        <v>0</v>
      </c>
      <c r="T33" s="112"/>
      <c r="U33" s="113"/>
      <c r="V33" s="114"/>
      <c r="W33" s="117"/>
      <c r="X33" s="116">
        <f t="shared" ref="X33:X34" si="33">SUM(T33:W33)</f>
        <v>0</v>
      </c>
      <c r="Y33" s="118">
        <f t="shared" ref="Y33:Y34" si="34">S33+X33</f>
        <v>0</v>
      </c>
      <c r="Z33" s="119"/>
    </row>
    <row r="34" spans="1:27" ht="14.25" thickBot="1" x14ac:dyDescent="0.2">
      <c r="A34" s="43" t="s">
        <v>41</v>
      </c>
      <c r="B34" s="34"/>
      <c r="C34" s="35"/>
      <c r="D34" s="36"/>
      <c r="E34" s="37"/>
      <c r="F34" s="9">
        <f t="shared" si="27"/>
        <v>0</v>
      </c>
      <c r="G34" s="34"/>
      <c r="H34" s="35"/>
      <c r="I34" s="36">
        <v>1</v>
      </c>
      <c r="J34" s="58"/>
      <c r="K34" s="75">
        <f t="shared" si="24"/>
        <v>1</v>
      </c>
      <c r="L34" s="108">
        <f t="shared" si="12"/>
        <v>1</v>
      </c>
      <c r="M34" s="103">
        <v>45819</v>
      </c>
      <c r="N34" s="120" t="s">
        <v>26</v>
      </c>
      <c r="O34" s="34"/>
      <c r="P34" s="35"/>
      <c r="Q34" s="36"/>
      <c r="R34" s="37"/>
      <c r="S34" s="10">
        <f t="shared" si="32"/>
        <v>0</v>
      </c>
      <c r="T34" s="34"/>
      <c r="U34" s="35"/>
      <c r="V34" s="36"/>
      <c r="W34" s="58"/>
      <c r="X34" s="10">
        <f t="shared" si="33"/>
        <v>0</v>
      </c>
      <c r="Y34" s="109">
        <f t="shared" si="34"/>
        <v>0</v>
      </c>
      <c r="Z34" s="105" t="s">
        <v>27</v>
      </c>
    </row>
    <row r="35" spans="1:27" ht="14.25" thickBot="1" x14ac:dyDescent="0.2">
      <c r="A35" s="12" t="s">
        <v>8</v>
      </c>
      <c r="B35" s="21">
        <f>SUM(B10:B34)</f>
        <v>5</v>
      </c>
      <c r="C35" s="29">
        <f>SUM(C10:C34)</f>
        <v>7</v>
      </c>
      <c r="D35" s="22">
        <f>SUM(D10:D34)</f>
        <v>3</v>
      </c>
      <c r="E35" s="23">
        <f>SUM(E10:E34)</f>
        <v>4</v>
      </c>
      <c r="F35" s="20">
        <f>SUM(B35:E35)</f>
        <v>19</v>
      </c>
      <c r="G35" s="21">
        <f>SUM(G10:G34)</f>
        <v>6</v>
      </c>
      <c r="H35" s="29">
        <f>SUM(H10:H34)</f>
        <v>3</v>
      </c>
      <c r="I35" s="22">
        <f>SUM(I10:I34)</f>
        <v>0</v>
      </c>
      <c r="J35" s="23">
        <f>SUM(J10:J34)</f>
        <v>0</v>
      </c>
      <c r="K35" s="76">
        <f t="shared" si="20"/>
        <v>9</v>
      </c>
      <c r="L35" s="79">
        <f t="shared" si="12"/>
        <v>28</v>
      </c>
      <c r="N35" s="83" t="s">
        <v>8</v>
      </c>
      <c r="O35" s="21">
        <f>SUM(O10:O34)</f>
        <v>47</v>
      </c>
      <c r="P35" s="29">
        <f>SUM(P10:P34)</f>
        <v>69</v>
      </c>
      <c r="Q35" s="22">
        <f>SUM(Q10:Q34)</f>
        <v>41</v>
      </c>
      <c r="R35" s="23">
        <f>SUM(R10:R34)</f>
        <v>47</v>
      </c>
      <c r="S35" s="44">
        <f>SUM(O35:R35)</f>
        <v>204</v>
      </c>
      <c r="T35" s="21">
        <f>SUM(T10:T34)</f>
        <v>36</v>
      </c>
      <c r="U35" s="29">
        <f>SUM(U10:U34)</f>
        <v>51</v>
      </c>
      <c r="V35" s="22">
        <f>SUM(V10:V34)</f>
        <v>41</v>
      </c>
      <c r="W35" s="23">
        <f>SUM(W10:W34)</f>
        <v>55</v>
      </c>
      <c r="X35" s="44">
        <f t="shared" si="25"/>
        <v>183</v>
      </c>
      <c r="Y35" s="80">
        <f t="shared" si="16"/>
        <v>387</v>
      </c>
    </row>
    <row r="36" spans="1:27" ht="14.25" thickBot="1" x14ac:dyDescent="0.2">
      <c r="A36" s="13" t="s">
        <v>9</v>
      </c>
      <c r="B36" s="24">
        <f t="shared" ref="B36:F36" si="35">B9-B35</f>
        <v>1</v>
      </c>
      <c r="C36" s="30">
        <f t="shared" si="35"/>
        <v>3</v>
      </c>
      <c r="D36" s="25">
        <f t="shared" si="35"/>
        <v>4</v>
      </c>
      <c r="E36" s="26">
        <f t="shared" si="35"/>
        <v>3</v>
      </c>
      <c r="F36" s="60">
        <f t="shared" si="35"/>
        <v>11</v>
      </c>
      <c r="G36" s="24">
        <f t="shared" ref="G36:K36" si="36">G9-G35</f>
        <v>3</v>
      </c>
      <c r="H36" s="30">
        <f t="shared" si="36"/>
        <v>5</v>
      </c>
      <c r="I36" s="25">
        <f t="shared" si="36"/>
        <v>4</v>
      </c>
      <c r="J36" s="26">
        <f t="shared" si="36"/>
        <v>4</v>
      </c>
      <c r="K36" s="77">
        <f t="shared" si="36"/>
        <v>16</v>
      </c>
      <c r="L36" s="80">
        <f t="shared" si="12"/>
        <v>27</v>
      </c>
      <c r="N36" s="13" t="s">
        <v>9</v>
      </c>
      <c r="O36" s="24">
        <f t="shared" ref="O36:X36" si="37">O9-O35</f>
        <v>56</v>
      </c>
      <c r="P36" s="30">
        <f t="shared" si="37"/>
        <v>66</v>
      </c>
      <c r="Q36" s="25">
        <f t="shared" si="37"/>
        <v>82</v>
      </c>
      <c r="R36" s="26">
        <f t="shared" si="37"/>
        <v>80</v>
      </c>
      <c r="S36" s="60">
        <f t="shared" si="37"/>
        <v>284</v>
      </c>
      <c r="T36" s="24">
        <f t="shared" si="37"/>
        <v>76</v>
      </c>
      <c r="U36" s="30">
        <f t="shared" si="37"/>
        <v>87</v>
      </c>
      <c r="V36" s="25">
        <f t="shared" si="37"/>
        <v>88</v>
      </c>
      <c r="W36" s="26">
        <f t="shared" si="37"/>
        <v>71</v>
      </c>
      <c r="X36" s="33">
        <f t="shared" si="37"/>
        <v>322</v>
      </c>
      <c r="Y36" s="80">
        <f t="shared" si="16"/>
        <v>606</v>
      </c>
    </row>
    <row r="37" spans="1:27" x14ac:dyDescent="0.15">
      <c r="G37" s="46"/>
      <c r="H37" s="46"/>
      <c r="I37" s="46"/>
      <c r="J37" s="46"/>
      <c r="K37" s="46"/>
      <c r="O37" s="46">
        <f>O36/$S$36*100</f>
        <v>19.718309859154928</v>
      </c>
      <c r="P37" s="46">
        <f t="shared" ref="P37:S37" si="38">P36/$S$36*100</f>
        <v>23.239436619718308</v>
      </c>
      <c r="Q37" s="46">
        <f t="shared" si="38"/>
        <v>28.87323943661972</v>
      </c>
      <c r="R37" s="46">
        <f t="shared" si="38"/>
        <v>28.169014084507044</v>
      </c>
      <c r="S37" s="46">
        <f t="shared" si="38"/>
        <v>100</v>
      </c>
      <c r="T37" s="46"/>
      <c r="U37" s="46"/>
      <c r="V37" s="46"/>
      <c r="W37" s="46"/>
      <c r="X37" s="46"/>
    </row>
    <row r="38" spans="1:27" x14ac:dyDescent="0.15">
      <c r="G38" s="46"/>
      <c r="H38" s="46"/>
      <c r="I38" s="46"/>
      <c r="J38" s="46"/>
      <c r="K38" s="46"/>
      <c r="T38" s="46"/>
      <c r="U38" s="46"/>
      <c r="V38" s="46"/>
      <c r="W38" s="46"/>
      <c r="X38" s="46"/>
    </row>
    <row r="39" spans="1:27" ht="19.5" thickBot="1" x14ac:dyDescent="0.25">
      <c r="A39" s="2" t="s">
        <v>21</v>
      </c>
      <c r="B39" s="2"/>
      <c r="C39" s="1"/>
      <c r="D39" s="1"/>
      <c r="E39" s="1"/>
      <c r="F39" s="67" t="s">
        <v>25</v>
      </c>
      <c r="H39" s="1"/>
      <c r="I39" s="1"/>
      <c r="J39" s="1"/>
      <c r="K39" s="67" t="s">
        <v>20</v>
      </c>
      <c r="N39" s="2" t="s">
        <v>22</v>
      </c>
      <c r="O39" s="2"/>
      <c r="P39" s="1"/>
      <c r="Q39" s="1"/>
      <c r="R39" s="67" t="s">
        <v>25</v>
      </c>
      <c r="U39" s="1"/>
      <c r="V39" s="1"/>
      <c r="W39" s="1"/>
      <c r="X39" s="67" t="s">
        <v>20</v>
      </c>
    </row>
    <row r="40" spans="1:27" ht="14.25" thickBot="1" x14ac:dyDescent="0.2">
      <c r="A40" s="5" t="s">
        <v>0</v>
      </c>
      <c r="B40" s="184" t="s">
        <v>18</v>
      </c>
      <c r="C40" s="185"/>
      <c r="D40" s="185"/>
      <c r="E40" s="185"/>
      <c r="F40" s="186"/>
      <c r="G40" s="187" t="s">
        <v>19</v>
      </c>
      <c r="H40" s="188"/>
      <c r="I40" s="188"/>
      <c r="J40" s="188"/>
      <c r="K40" s="188"/>
      <c r="L40" s="182" t="s">
        <v>13</v>
      </c>
      <c r="N40" s="5" t="s">
        <v>0</v>
      </c>
      <c r="O40" s="184" t="s">
        <v>39</v>
      </c>
      <c r="P40" s="185"/>
      <c r="Q40" s="185"/>
      <c r="R40" s="185"/>
      <c r="S40" s="186"/>
      <c r="T40" s="187" t="s">
        <v>40</v>
      </c>
      <c r="U40" s="188"/>
      <c r="V40" s="188"/>
      <c r="W40" s="188"/>
      <c r="X40" s="188"/>
      <c r="Y40" s="182" t="s">
        <v>13</v>
      </c>
    </row>
    <row r="41" spans="1:27" ht="14.25" thickBot="1" x14ac:dyDescent="0.2">
      <c r="A41" s="5" t="s">
        <v>1</v>
      </c>
      <c r="B41" s="3" t="s">
        <v>14</v>
      </c>
      <c r="C41" s="27" t="s">
        <v>15</v>
      </c>
      <c r="D41" s="4" t="s">
        <v>16</v>
      </c>
      <c r="E41" s="14" t="s">
        <v>17</v>
      </c>
      <c r="F41" s="18" t="s">
        <v>2</v>
      </c>
      <c r="G41" s="3" t="s">
        <v>14</v>
      </c>
      <c r="H41" s="27" t="s">
        <v>15</v>
      </c>
      <c r="I41" s="4" t="s">
        <v>16</v>
      </c>
      <c r="J41" s="14" t="s">
        <v>17</v>
      </c>
      <c r="K41" s="68" t="s">
        <v>2</v>
      </c>
      <c r="L41" s="183"/>
      <c r="N41" s="5" t="s">
        <v>1</v>
      </c>
      <c r="O41" s="3" t="s">
        <v>14</v>
      </c>
      <c r="P41" s="27" t="s">
        <v>15</v>
      </c>
      <c r="Q41" s="4" t="s">
        <v>16</v>
      </c>
      <c r="R41" s="14" t="s">
        <v>17</v>
      </c>
      <c r="S41" s="18" t="s">
        <v>2</v>
      </c>
      <c r="T41" s="3" t="s">
        <v>14</v>
      </c>
      <c r="U41" s="27" t="s">
        <v>15</v>
      </c>
      <c r="V41" s="4" t="s">
        <v>16</v>
      </c>
      <c r="W41" s="14" t="s">
        <v>17</v>
      </c>
      <c r="X41" s="68" t="s">
        <v>2</v>
      </c>
      <c r="Y41" s="183"/>
    </row>
    <row r="42" spans="1:27" x14ac:dyDescent="0.15">
      <c r="A42" s="61" t="s">
        <v>10</v>
      </c>
      <c r="B42" s="62">
        <f>B36</f>
        <v>1</v>
      </c>
      <c r="C42" s="63">
        <f>C36</f>
        <v>3</v>
      </c>
      <c r="D42" s="63">
        <f>D36</f>
        <v>4</v>
      </c>
      <c r="E42" s="64">
        <f>E36</f>
        <v>3</v>
      </c>
      <c r="F42" s="65">
        <f>SUM(B42:E42)</f>
        <v>11</v>
      </c>
      <c r="G42" s="62">
        <f>G36</f>
        <v>3</v>
      </c>
      <c r="H42" s="63">
        <f>H36</f>
        <v>5</v>
      </c>
      <c r="I42" s="63">
        <f>I36</f>
        <v>4</v>
      </c>
      <c r="J42" s="64">
        <f>J36</f>
        <v>4</v>
      </c>
      <c r="K42" s="69">
        <f>SUM(G42:J42)</f>
        <v>16</v>
      </c>
      <c r="L42" s="78">
        <f>F42+K42</f>
        <v>27</v>
      </c>
      <c r="N42" s="61" t="s">
        <v>10</v>
      </c>
      <c r="O42" s="62">
        <f>O36</f>
        <v>56</v>
      </c>
      <c r="P42" s="63">
        <f>P36</f>
        <v>66</v>
      </c>
      <c r="Q42" s="63">
        <f>Q36</f>
        <v>82</v>
      </c>
      <c r="R42" s="64">
        <f>R36</f>
        <v>80</v>
      </c>
      <c r="S42" s="65">
        <f>SUM(O42:R42)</f>
        <v>284</v>
      </c>
      <c r="T42" s="62">
        <f>T36</f>
        <v>76</v>
      </c>
      <c r="U42" s="63">
        <f>U36</f>
        <v>87</v>
      </c>
      <c r="V42" s="63">
        <f>V36</f>
        <v>88</v>
      </c>
      <c r="W42" s="81">
        <f>W36</f>
        <v>71</v>
      </c>
      <c r="X42" s="82">
        <f>SUM(T42:W42)</f>
        <v>322</v>
      </c>
      <c r="Y42" s="78">
        <f>S42+X42</f>
        <v>606</v>
      </c>
    </row>
    <row r="43" spans="1:27" x14ac:dyDescent="0.15">
      <c r="A43" s="43" t="s">
        <v>3</v>
      </c>
      <c r="B43" s="127">
        <v>3</v>
      </c>
      <c r="C43" s="128">
        <v>5</v>
      </c>
      <c r="D43" s="129"/>
      <c r="E43" s="130">
        <v>3</v>
      </c>
      <c r="F43" s="49">
        <f>SUM(B43:E43)</f>
        <v>11</v>
      </c>
      <c r="G43" s="38"/>
      <c r="H43" s="39"/>
      <c r="I43" s="40"/>
      <c r="J43" s="41"/>
      <c r="K43" s="70">
        <f>SUM(G43:J43)</f>
        <v>0</v>
      </c>
      <c r="L43" s="91">
        <f t="shared" ref="L43:L46" si="39">F43+K43</f>
        <v>11</v>
      </c>
      <c r="M43" s="103">
        <v>45805</v>
      </c>
      <c r="N43" s="43" t="s">
        <v>3</v>
      </c>
      <c r="O43" s="38"/>
      <c r="P43" s="39"/>
      <c r="Q43" s="40"/>
      <c r="R43" s="47"/>
      <c r="S43" s="49">
        <f>SUM(O43:R43)</f>
        <v>0</v>
      </c>
      <c r="T43" s="38"/>
      <c r="U43" s="39"/>
      <c r="V43" s="40"/>
      <c r="W43" s="47"/>
      <c r="X43" s="49">
        <f>SUM(T43:W43)</f>
        <v>0</v>
      </c>
      <c r="Y43" s="91">
        <f t="shared" ref="Y43" si="40">S43+X43</f>
        <v>0</v>
      </c>
      <c r="Z43" s="105"/>
    </row>
    <row r="44" spans="1:27" x14ac:dyDescent="0.15">
      <c r="A44" s="11" t="s">
        <v>4</v>
      </c>
      <c r="B44" s="6"/>
      <c r="C44" s="17"/>
      <c r="D44" s="7"/>
      <c r="E44" s="8">
        <v>3</v>
      </c>
      <c r="F44" s="9">
        <f>SUM(B44:E44)</f>
        <v>3</v>
      </c>
      <c r="G44" s="15"/>
      <c r="H44" s="28"/>
      <c r="I44" s="16">
        <v>3</v>
      </c>
      <c r="J44" s="19"/>
      <c r="K44" s="71">
        <f>SUM(G44:J44)</f>
        <v>3</v>
      </c>
      <c r="L44" s="91">
        <f t="shared" si="39"/>
        <v>6</v>
      </c>
      <c r="M44" s="103">
        <v>45843</v>
      </c>
      <c r="N44" s="43" t="s">
        <v>4</v>
      </c>
      <c r="O44" s="38"/>
      <c r="P44" s="39"/>
      <c r="Q44" s="40"/>
      <c r="R44" s="47"/>
      <c r="S44" s="49">
        <f t="shared" ref="S44:S46" si="41">SUM(O44:R44)</f>
        <v>0</v>
      </c>
      <c r="T44" s="38"/>
      <c r="U44" s="39"/>
      <c r="V44" s="40"/>
      <c r="W44" s="47"/>
      <c r="X44" s="49">
        <f t="shared" ref="X44:X46" si="42">SUM(T44:W44)</f>
        <v>0</v>
      </c>
      <c r="Y44" s="91">
        <f t="shared" ref="Y44:Y46" si="43">S44+X44</f>
        <v>0</v>
      </c>
      <c r="Z44" s="105"/>
    </row>
    <row r="45" spans="1:27" x14ac:dyDescent="0.15">
      <c r="A45" s="11" t="s">
        <v>5</v>
      </c>
      <c r="B45" s="6"/>
      <c r="C45" s="17"/>
      <c r="D45" s="7">
        <v>2</v>
      </c>
      <c r="E45" s="8"/>
      <c r="F45" s="9">
        <f>SUM(B45:E45)</f>
        <v>2</v>
      </c>
      <c r="G45" s="15"/>
      <c r="H45" s="28">
        <v>2</v>
      </c>
      <c r="I45" s="16"/>
      <c r="J45" s="19">
        <v>2</v>
      </c>
      <c r="K45" s="71">
        <f>SUM(G45:J45)</f>
        <v>4</v>
      </c>
      <c r="L45" s="91">
        <f t="shared" si="39"/>
        <v>6</v>
      </c>
      <c r="M45" s="103">
        <v>45848</v>
      </c>
      <c r="N45" s="43" t="s">
        <v>5</v>
      </c>
      <c r="O45" s="38"/>
      <c r="P45" s="39"/>
      <c r="Q45" s="40"/>
      <c r="R45" s="47"/>
      <c r="S45" s="49">
        <f t="shared" si="41"/>
        <v>0</v>
      </c>
      <c r="T45" s="38"/>
      <c r="U45" s="39"/>
      <c r="V45" s="40"/>
      <c r="W45" s="47"/>
      <c r="X45" s="49">
        <f t="shared" si="42"/>
        <v>0</v>
      </c>
      <c r="Y45" s="91">
        <f t="shared" si="43"/>
        <v>0</v>
      </c>
      <c r="Z45" s="105"/>
    </row>
    <row r="46" spans="1:27" ht="14.25" thickBot="1" x14ac:dyDescent="0.2">
      <c r="A46" s="11" t="s">
        <v>6</v>
      </c>
      <c r="B46" s="6"/>
      <c r="C46" s="17">
        <v>3</v>
      </c>
      <c r="D46" s="7"/>
      <c r="E46" s="8"/>
      <c r="F46" s="10">
        <f>SUM(B46:E46)</f>
        <v>3</v>
      </c>
      <c r="G46" s="34">
        <v>3</v>
      </c>
      <c r="H46" s="35"/>
      <c r="I46" s="36"/>
      <c r="J46" s="37"/>
      <c r="K46" s="72">
        <f>SUM(G46:J46)</f>
        <v>3</v>
      </c>
      <c r="L46" s="91">
        <f t="shared" si="39"/>
        <v>6</v>
      </c>
      <c r="M46" s="103">
        <v>45862</v>
      </c>
      <c r="N46" s="43" t="s">
        <v>6</v>
      </c>
      <c r="O46" s="38"/>
      <c r="P46" s="39"/>
      <c r="Q46" s="40"/>
      <c r="R46" s="47"/>
      <c r="S46" s="49">
        <f t="shared" si="41"/>
        <v>0</v>
      </c>
      <c r="T46" s="38"/>
      <c r="U46" s="39"/>
      <c r="V46" s="40"/>
      <c r="W46" s="47"/>
      <c r="X46" s="49">
        <f t="shared" si="42"/>
        <v>0</v>
      </c>
      <c r="Y46" s="91">
        <f t="shared" si="43"/>
        <v>0</v>
      </c>
      <c r="Z46" s="105"/>
    </row>
    <row r="47" spans="1:27" ht="14.25" thickBot="1" x14ac:dyDescent="0.2">
      <c r="A47" s="13" t="s">
        <v>7</v>
      </c>
      <c r="B47" s="50">
        <f t="shared" ref="B47:F47" si="44">SUM(B42:B46)</f>
        <v>4</v>
      </c>
      <c r="C47" s="51">
        <f t="shared" si="44"/>
        <v>11</v>
      </c>
      <c r="D47" s="52">
        <f t="shared" si="44"/>
        <v>6</v>
      </c>
      <c r="E47" s="53">
        <f t="shared" si="44"/>
        <v>9</v>
      </c>
      <c r="F47" s="54">
        <f t="shared" si="44"/>
        <v>30</v>
      </c>
      <c r="G47" s="24">
        <f t="shared" ref="G47:K47" si="45">SUM(G42:G46)</f>
        <v>6</v>
      </c>
      <c r="H47" s="30">
        <f t="shared" si="45"/>
        <v>7</v>
      </c>
      <c r="I47" s="25">
        <f t="shared" si="45"/>
        <v>7</v>
      </c>
      <c r="J47" s="55">
        <f t="shared" si="45"/>
        <v>6</v>
      </c>
      <c r="K47" s="73">
        <f t="shared" si="45"/>
        <v>26</v>
      </c>
      <c r="L47" s="79">
        <f>F47+K47</f>
        <v>56</v>
      </c>
      <c r="N47" s="13" t="s">
        <v>7</v>
      </c>
      <c r="O47" s="24">
        <f t="shared" ref="O47:X47" si="46">SUM(O42:O46)</f>
        <v>56</v>
      </c>
      <c r="P47" s="30">
        <f t="shared" si="46"/>
        <v>66</v>
      </c>
      <c r="Q47" s="25">
        <f t="shared" si="46"/>
        <v>82</v>
      </c>
      <c r="R47" s="55">
        <f t="shared" si="46"/>
        <v>80</v>
      </c>
      <c r="S47" s="54">
        <f t="shared" si="46"/>
        <v>284</v>
      </c>
      <c r="T47" s="24">
        <f t="shared" si="46"/>
        <v>76</v>
      </c>
      <c r="U47" s="30">
        <f t="shared" si="46"/>
        <v>87</v>
      </c>
      <c r="V47" s="25">
        <f t="shared" si="46"/>
        <v>88</v>
      </c>
      <c r="W47" s="55">
        <f t="shared" si="46"/>
        <v>71</v>
      </c>
      <c r="X47" s="56">
        <f t="shared" si="46"/>
        <v>322</v>
      </c>
      <c r="Y47" s="79">
        <f>S47+X47</f>
        <v>606</v>
      </c>
    </row>
    <row r="48" spans="1:27" x14ac:dyDescent="0.15">
      <c r="A48" s="43" t="s">
        <v>41</v>
      </c>
      <c r="B48" s="38"/>
      <c r="C48" s="39">
        <v>1</v>
      </c>
      <c r="D48" s="40"/>
      <c r="E48" s="41"/>
      <c r="F48" s="57">
        <f t="shared" ref="F48:F68" si="47">SUM(B48:E48)</f>
        <v>1</v>
      </c>
      <c r="G48" s="15"/>
      <c r="H48" s="28"/>
      <c r="I48" s="16"/>
      <c r="J48" s="31"/>
      <c r="K48" s="74">
        <f t="shared" ref="K48" si="48">SUM(G48:J48)</f>
        <v>0</v>
      </c>
      <c r="L48" s="106">
        <f>F48+K48</f>
        <v>1</v>
      </c>
      <c r="M48" s="103">
        <v>45825</v>
      </c>
      <c r="N48" s="126" t="s">
        <v>49</v>
      </c>
      <c r="O48" s="38">
        <v>20</v>
      </c>
      <c r="P48" s="39">
        <v>20</v>
      </c>
      <c r="Q48" s="40">
        <v>10</v>
      </c>
      <c r="R48" s="41">
        <v>5</v>
      </c>
      <c r="S48" s="57">
        <f t="shared" ref="S48:S68" si="49">SUM(O48:R48)</f>
        <v>55</v>
      </c>
      <c r="T48" s="15">
        <v>20</v>
      </c>
      <c r="U48" s="28">
        <v>20</v>
      </c>
      <c r="V48" s="16">
        <v>10</v>
      </c>
      <c r="W48" s="31">
        <v>5</v>
      </c>
      <c r="X48" s="9">
        <f t="shared" ref="X48:X52" si="50">SUM(T48:W48)</f>
        <v>55</v>
      </c>
      <c r="Y48" s="106">
        <f>S48+X48</f>
        <v>110</v>
      </c>
      <c r="Z48" s="104">
        <v>45833</v>
      </c>
      <c r="AA48" s="105"/>
    </row>
    <row r="49" spans="1:27" x14ac:dyDescent="0.15">
      <c r="A49" s="43" t="s">
        <v>41</v>
      </c>
      <c r="B49" s="15"/>
      <c r="C49" s="28"/>
      <c r="D49" s="16"/>
      <c r="E49" s="19"/>
      <c r="F49" s="42">
        <f t="shared" si="47"/>
        <v>0</v>
      </c>
      <c r="G49" s="15"/>
      <c r="H49" s="28">
        <v>1</v>
      </c>
      <c r="I49" s="16">
        <v>1</v>
      </c>
      <c r="J49" s="31"/>
      <c r="K49" s="74">
        <f t="shared" ref="K49:K59" si="51">SUM(G49:J49)</f>
        <v>2</v>
      </c>
      <c r="L49" s="91">
        <f>F49+K49</f>
        <v>2</v>
      </c>
      <c r="M49" s="103">
        <v>45827</v>
      </c>
      <c r="N49" s="110" t="s">
        <v>69</v>
      </c>
      <c r="O49" s="15"/>
      <c r="P49" s="28"/>
      <c r="Q49" s="16"/>
      <c r="R49" s="19"/>
      <c r="S49" s="42">
        <f t="shared" si="49"/>
        <v>0</v>
      </c>
      <c r="T49" s="15"/>
      <c r="U49" s="28">
        <v>1</v>
      </c>
      <c r="V49" s="16">
        <v>1</v>
      </c>
      <c r="W49" s="31">
        <v>1</v>
      </c>
      <c r="X49" s="9">
        <f t="shared" si="50"/>
        <v>3</v>
      </c>
      <c r="Y49" s="91">
        <f>S49+X49</f>
        <v>3</v>
      </c>
      <c r="Z49" s="104">
        <v>45842</v>
      </c>
      <c r="AA49" s="105"/>
    </row>
    <row r="50" spans="1:27" x14ac:dyDescent="0.15">
      <c r="A50" s="43" t="s">
        <v>41</v>
      </c>
      <c r="B50" s="15"/>
      <c r="C50" s="28"/>
      <c r="D50" s="16"/>
      <c r="E50" s="19"/>
      <c r="F50" s="42">
        <f t="shared" si="47"/>
        <v>0</v>
      </c>
      <c r="G50" s="15"/>
      <c r="H50" s="28"/>
      <c r="I50" s="16">
        <v>1</v>
      </c>
      <c r="J50" s="31"/>
      <c r="K50" s="74">
        <f t="shared" si="51"/>
        <v>1</v>
      </c>
      <c r="L50" s="91">
        <f>F50+K50</f>
        <v>1</v>
      </c>
      <c r="M50" s="103">
        <v>45829</v>
      </c>
      <c r="N50" s="43" t="s">
        <v>38</v>
      </c>
      <c r="O50" s="15"/>
      <c r="P50" s="28"/>
      <c r="Q50" s="16"/>
      <c r="R50" s="19">
        <v>3</v>
      </c>
      <c r="S50" s="42">
        <f>SUM(O50:R50)</f>
        <v>3</v>
      </c>
      <c r="T50" s="15"/>
      <c r="U50" s="28"/>
      <c r="V50" s="16">
        <v>3</v>
      </c>
      <c r="W50" s="31"/>
      <c r="X50" s="9">
        <f>SUM(T50:W50)</f>
        <v>3</v>
      </c>
      <c r="Y50" s="91">
        <f t="shared" ref="Y50" si="52">S50+X50</f>
        <v>6</v>
      </c>
      <c r="Z50" s="104">
        <v>45843</v>
      </c>
      <c r="AA50" s="105"/>
    </row>
    <row r="51" spans="1:27" x14ac:dyDescent="0.15">
      <c r="A51" s="43" t="s">
        <v>41</v>
      </c>
      <c r="B51" s="15"/>
      <c r="C51" s="28"/>
      <c r="D51" s="16"/>
      <c r="E51" s="19">
        <v>1</v>
      </c>
      <c r="F51" s="42">
        <f t="shared" si="47"/>
        <v>1</v>
      </c>
      <c r="G51" s="15"/>
      <c r="H51" s="28"/>
      <c r="I51" s="16"/>
      <c r="J51" s="31"/>
      <c r="K51" s="74">
        <f t="shared" si="51"/>
        <v>0</v>
      </c>
      <c r="L51" s="91">
        <f t="shared" ref="L51:L74" si="53">F51+K51</f>
        <v>1</v>
      </c>
      <c r="M51" s="103">
        <v>45833</v>
      </c>
      <c r="N51" s="110" t="s">
        <v>70</v>
      </c>
      <c r="O51" s="15">
        <v>2</v>
      </c>
      <c r="P51" s="28">
        <v>1</v>
      </c>
      <c r="Q51" s="16">
        <v>1</v>
      </c>
      <c r="R51" s="19"/>
      <c r="S51" s="42">
        <f t="shared" si="49"/>
        <v>4</v>
      </c>
      <c r="T51" s="15"/>
      <c r="U51" s="28">
        <v>1</v>
      </c>
      <c r="V51" s="16">
        <v>1</v>
      </c>
      <c r="W51" s="31"/>
      <c r="X51" s="9">
        <f t="shared" si="50"/>
        <v>2</v>
      </c>
      <c r="Y51" s="91">
        <f t="shared" ref="Y51:Y74" si="54">S51+X51</f>
        <v>6</v>
      </c>
      <c r="Z51" s="104">
        <v>45849</v>
      </c>
      <c r="AA51" s="105"/>
    </row>
    <row r="52" spans="1:27" x14ac:dyDescent="0.15">
      <c r="A52" s="43" t="s">
        <v>41</v>
      </c>
      <c r="B52" s="15"/>
      <c r="C52" s="28"/>
      <c r="D52" s="16"/>
      <c r="E52" s="19">
        <v>1</v>
      </c>
      <c r="F52" s="42">
        <f t="shared" si="47"/>
        <v>1</v>
      </c>
      <c r="G52" s="15"/>
      <c r="H52" s="28"/>
      <c r="I52" s="16"/>
      <c r="J52" s="31"/>
      <c r="K52" s="74">
        <f t="shared" si="51"/>
        <v>0</v>
      </c>
      <c r="L52" s="91">
        <f t="shared" si="53"/>
        <v>1</v>
      </c>
      <c r="M52" s="103">
        <v>45835</v>
      </c>
      <c r="N52" s="110" t="s">
        <v>71</v>
      </c>
      <c r="O52" s="15"/>
      <c r="P52" s="28"/>
      <c r="Q52" s="16"/>
      <c r="R52" s="19">
        <v>4</v>
      </c>
      <c r="S52" s="42">
        <f t="shared" si="49"/>
        <v>4</v>
      </c>
      <c r="T52" s="15"/>
      <c r="U52" s="28"/>
      <c r="V52" s="16">
        <v>1</v>
      </c>
      <c r="W52" s="31"/>
      <c r="X52" s="9">
        <f t="shared" si="50"/>
        <v>1</v>
      </c>
      <c r="Y52" s="91">
        <f t="shared" si="54"/>
        <v>5</v>
      </c>
      <c r="Z52" s="104">
        <v>45849</v>
      </c>
      <c r="AA52" s="105"/>
    </row>
    <row r="53" spans="1:27" x14ac:dyDescent="0.15">
      <c r="A53" s="43" t="s">
        <v>41</v>
      </c>
      <c r="B53" s="15"/>
      <c r="C53" s="28"/>
      <c r="D53" s="16"/>
      <c r="E53" s="19">
        <v>1</v>
      </c>
      <c r="F53" s="42">
        <f t="shared" si="47"/>
        <v>1</v>
      </c>
      <c r="G53" s="15"/>
      <c r="H53" s="28"/>
      <c r="I53" s="16"/>
      <c r="J53" s="31"/>
      <c r="K53" s="74">
        <f t="shared" si="51"/>
        <v>0</v>
      </c>
      <c r="L53" s="91">
        <f t="shared" si="53"/>
        <v>1</v>
      </c>
      <c r="M53" s="103">
        <v>45841</v>
      </c>
      <c r="N53" s="43" t="s">
        <v>38</v>
      </c>
      <c r="O53" s="15"/>
      <c r="P53" s="28"/>
      <c r="Q53" s="16">
        <v>2</v>
      </c>
      <c r="R53" s="19"/>
      <c r="S53" s="42">
        <f>SUM(O53:R53)</f>
        <v>2</v>
      </c>
      <c r="T53" s="15"/>
      <c r="U53" s="28">
        <v>2</v>
      </c>
      <c r="V53" s="16"/>
      <c r="W53" s="31">
        <v>2</v>
      </c>
      <c r="X53" s="9">
        <f>SUM(T53:W53)</f>
        <v>4</v>
      </c>
      <c r="Y53" s="91">
        <f t="shared" si="54"/>
        <v>6</v>
      </c>
      <c r="Z53" s="104">
        <v>45848</v>
      </c>
      <c r="AA53" s="105"/>
    </row>
    <row r="54" spans="1:27" x14ac:dyDescent="0.15">
      <c r="A54" s="43" t="s">
        <v>41</v>
      </c>
      <c r="B54" s="15"/>
      <c r="C54" s="28"/>
      <c r="D54" s="16"/>
      <c r="E54" s="19"/>
      <c r="F54" s="42">
        <f t="shared" si="47"/>
        <v>0</v>
      </c>
      <c r="G54" s="15"/>
      <c r="H54" s="28"/>
      <c r="I54" s="16"/>
      <c r="J54" s="31">
        <v>1</v>
      </c>
      <c r="K54" s="74">
        <f>SUM(G54:J54)</f>
        <v>1</v>
      </c>
      <c r="L54" s="91">
        <f t="shared" si="53"/>
        <v>1</v>
      </c>
      <c r="M54" s="103">
        <v>45843</v>
      </c>
      <c r="N54" s="110" t="s">
        <v>73</v>
      </c>
      <c r="O54" s="15">
        <v>1</v>
      </c>
      <c r="P54" s="28">
        <v>2</v>
      </c>
      <c r="Q54" s="16">
        <v>2</v>
      </c>
      <c r="R54" s="19">
        <v>1</v>
      </c>
      <c r="S54" s="42">
        <f t="shared" si="49"/>
        <v>6</v>
      </c>
      <c r="T54" s="15">
        <v>2</v>
      </c>
      <c r="U54" s="28">
        <v>2</v>
      </c>
      <c r="V54" s="16">
        <v>1</v>
      </c>
      <c r="W54" s="31"/>
      <c r="X54" s="9">
        <f>SUM(T54:W54)</f>
        <v>5</v>
      </c>
      <c r="Y54" s="91">
        <f t="shared" si="54"/>
        <v>11</v>
      </c>
      <c r="Z54" s="104">
        <v>45856</v>
      </c>
    </row>
    <row r="55" spans="1:27" x14ac:dyDescent="0.15">
      <c r="A55" s="43" t="s">
        <v>41</v>
      </c>
      <c r="B55" s="15"/>
      <c r="C55" s="28"/>
      <c r="D55" s="16">
        <v>1</v>
      </c>
      <c r="E55" s="19"/>
      <c r="F55" s="42">
        <f t="shared" si="47"/>
        <v>1</v>
      </c>
      <c r="G55" s="15"/>
      <c r="H55" s="28"/>
      <c r="I55" s="16"/>
      <c r="J55" s="31">
        <v>1</v>
      </c>
      <c r="K55" s="74">
        <f t="shared" si="51"/>
        <v>1</v>
      </c>
      <c r="L55" s="91">
        <f t="shared" si="53"/>
        <v>2</v>
      </c>
      <c r="M55" s="103">
        <v>45845</v>
      </c>
      <c r="N55" s="32" t="s">
        <v>74</v>
      </c>
      <c r="O55" s="15">
        <v>27</v>
      </c>
      <c r="P55" s="28">
        <v>25</v>
      </c>
      <c r="Q55" s="16">
        <v>12</v>
      </c>
      <c r="R55" s="19">
        <v>8</v>
      </c>
      <c r="S55" s="42">
        <f t="shared" ref="S55" si="55">SUM(O55:R55)</f>
        <v>72</v>
      </c>
      <c r="T55" s="15"/>
      <c r="U55" s="28"/>
      <c r="V55" s="16">
        <v>4</v>
      </c>
      <c r="W55" s="31">
        <v>4</v>
      </c>
      <c r="X55" s="9">
        <f t="shared" ref="X55" si="56">SUM(T55:W55)</f>
        <v>8</v>
      </c>
      <c r="Y55" s="91">
        <f t="shared" ref="Y55:Y61" si="57">S55+X55</f>
        <v>80</v>
      </c>
      <c r="Z55" s="104">
        <v>45856</v>
      </c>
    </row>
    <row r="56" spans="1:27" x14ac:dyDescent="0.15">
      <c r="A56" s="43" t="s">
        <v>72</v>
      </c>
      <c r="B56" s="15"/>
      <c r="C56" s="28"/>
      <c r="D56" s="16"/>
      <c r="E56" s="19"/>
      <c r="F56" s="42">
        <f t="shared" si="47"/>
        <v>0</v>
      </c>
      <c r="G56" s="15"/>
      <c r="H56" s="28">
        <v>1</v>
      </c>
      <c r="I56" s="16"/>
      <c r="J56" s="31"/>
      <c r="K56" s="74">
        <f t="shared" si="51"/>
        <v>1</v>
      </c>
      <c r="L56" s="91">
        <f t="shared" si="53"/>
        <v>1</v>
      </c>
      <c r="M56" s="103">
        <v>45847</v>
      </c>
      <c r="N56" s="43" t="s">
        <v>38</v>
      </c>
      <c r="O56" s="15"/>
      <c r="P56" s="28">
        <v>3</v>
      </c>
      <c r="Q56" s="16"/>
      <c r="R56" s="19"/>
      <c r="S56" s="42">
        <f>SUM(O56:R56)</f>
        <v>3</v>
      </c>
      <c r="T56" s="15">
        <v>3</v>
      </c>
      <c r="U56" s="28"/>
      <c r="V56" s="16"/>
      <c r="W56" s="31"/>
      <c r="X56" s="9">
        <f>SUM(T56:W56)</f>
        <v>3</v>
      </c>
      <c r="Y56" s="91">
        <f t="shared" si="57"/>
        <v>6</v>
      </c>
      <c r="Z56" s="104">
        <v>45862</v>
      </c>
    </row>
    <row r="57" spans="1:27" x14ac:dyDescent="0.15">
      <c r="A57" s="43" t="s">
        <v>72</v>
      </c>
      <c r="B57" s="15"/>
      <c r="C57" s="28"/>
      <c r="D57" s="16"/>
      <c r="E57" s="19"/>
      <c r="F57" s="42">
        <f t="shared" si="47"/>
        <v>0</v>
      </c>
      <c r="G57" s="15">
        <v>1</v>
      </c>
      <c r="H57" s="28"/>
      <c r="I57" s="16"/>
      <c r="J57" s="31"/>
      <c r="K57" s="74">
        <f t="shared" si="51"/>
        <v>1</v>
      </c>
      <c r="L57" s="91">
        <f t="shared" si="53"/>
        <v>1</v>
      </c>
      <c r="M57" s="103">
        <v>45853</v>
      </c>
      <c r="N57" s="43" t="s">
        <v>38</v>
      </c>
      <c r="O57" s="15"/>
      <c r="P57" s="28"/>
      <c r="Q57" s="16"/>
      <c r="R57" s="19"/>
      <c r="S57" s="42">
        <f t="shared" ref="S57:S58" si="58">SUM(O57:R57)</f>
        <v>0</v>
      </c>
      <c r="T57" s="15"/>
      <c r="U57" s="28"/>
      <c r="V57" s="16">
        <v>3</v>
      </c>
      <c r="W57" s="31">
        <v>3</v>
      </c>
      <c r="X57" s="9">
        <f t="shared" ref="X57" si="59">SUM(T57:W57)</f>
        <v>6</v>
      </c>
      <c r="Y57" s="91">
        <f t="shared" si="57"/>
        <v>6</v>
      </c>
      <c r="Z57" s="104">
        <v>45866</v>
      </c>
    </row>
    <row r="58" spans="1:27" x14ac:dyDescent="0.15">
      <c r="A58" s="43" t="s">
        <v>41</v>
      </c>
      <c r="B58" s="15"/>
      <c r="C58" s="28">
        <v>2</v>
      </c>
      <c r="D58" s="16"/>
      <c r="E58" s="19">
        <v>1</v>
      </c>
      <c r="F58" s="42">
        <f t="shared" si="47"/>
        <v>3</v>
      </c>
      <c r="G58" s="15"/>
      <c r="H58" s="28"/>
      <c r="I58" s="16"/>
      <c r="J58" s="31"/>
      <c r="K58" s="74">
        <f t="shared" ref="K58" si="60">SUM(G58:J58)</f>
        <v>0</v>
      </c>
      <c r="L58" s="91">
        <f t="shared" si="53"/>
        <v>3</v>
      </c>
      <c r="M58" s="103">
        <v>45852</v>
      </c>
      <c r="N58" s="43" t="s">
        <v>38</v>
      </c>
      <c r="O58" s="15"/>
      <c r="P58" s="28"/>
      <c r="Q58" s="16"/>
      <c r="R58" s="19">
        <v>5</v>
      </c>
      <c r="S58" s="42">
        <f t="shared" si="58"/>
        <v>5</v>
      </c>
      <c r="T58" s="15"/>
      <c r="U58" s="28"/>
      <c r="V58" s="16"/>
      <c r="W58" s="31"/>
      <c r="X58" s="9">
        <f>SUM(T58:W58)</f>
        <v>0</v>
      </c>
      <c r="Y58" s="91">
        <f t="shared" si="57"/>
        <v>5</v>
      </c>
      <c r="Z58" s="104">
        <v>45869</v>
      </c>
    </row>
    <row r="59" spans="1:27" x14ac:dyDescent="0.15">
      <c r="A59" s="43" t="s">
        <v>41</v>
      </c>
      <c r="B59" s="15"/>
      <c r="C59" s="28">
        <v>1</v>
      </c>
      <c r="D59" s="16"/>
      <c r="E59" s="19"/>
      <c r="F59" s="42">
        <f t="shared" si="47"/>
        <v>1</v>
      </c>
      <c r="G59" s="15"/>
      <c r="H59" s="28"/>
      <c r="I59" s="16"/>
      <c r="J59" s="31">
        <v>1</v>
      </c>
      <c r="K59" s="74">
        <f t="shared" si="51"/>
        <v>1</v>
      </c>
      <c r="L59" s="91">
        <f t="shared" si="53"/>
        <v>2</v>
      </c>
      <c r="M59" s="103">
        <v>45857</v>
      </c>
      <c r="N59" s="43" t="s">
        <v>38</v>
      </c>
      <c r="O59" s="15"/>
      <c r="P59" s="28">
        <v>3</v>
      </c>
      <c r="Q59" s="16"/>
      <c r="R59" s="19">
        <v>3</v>
      </c>
      <c r="S59" s="42">
        <f>SUM(O59:R59)</f>
        <v>6</v>
      </c>
      <c r="T59" s="15"/>
      <c r="U59" s="28"/>
      <c r="V59" s="16">
        <v>3</v>
      </c>
      <c r="W59" s="31">
        <v>3</v>
      </c>
      <c r="X59" s="9">
        <f>SUM(T59:W59)</f>
        <v>6</v>
      </c>
      <c r="Y59" s="91">
        <f t="shared" si="57"/>
        <v>12</v>
      </c>
      <c r="Z59" s="104">
        <v>45911</v>
      </c>
    </row>
    <row r="60" spans="1:27" x14ac:dyDescent="0.15">
      <c r="A60" s="43" t="s">
        <v>41</v>
      </c>
      <c r="B60" s="15"/>
      <c r="C60" s="28">
        <v>1</v>
      </c>
      <c r="D60" s="16"/>
      <c r="E60" s="19"/>
      <c r="F60" s="42">
        <f t="shared" si="47"/>
        <v>1</v>
      </c>
      <c r="G60" s="15"/>
      <c r="H60" s="28"/>
      <c r="I60" s="16">
        <v>1</v>
      </c>
      <c r="J60" s="31"/>
      <c r="K60" s="74">
        <f>SUM(G60:J60)</f>
        <v>1</v>
      </c>
      <c r="L60" s="91">
        <f t="shared" si="53"/>
        <v>2</v>
      </c>
      <c r="M60" s="103">
        <v>45860</v>
      </c>
      <c r="N60" s="43" t="s">
        <v>38</v>
      </c>
      <c r="O60" s="15"/>
      <c r="P60" s="28"/>
      <c r="Q60" s="16"/>
      <c r="R60" s="19">
        <v>2</v>
      </c>
      <c r="S60" s="42">
        <f t="shared" ref="S60:S61" si="61">SUM(O60:R60)</f>
        <v>2</v>
      </c>
      <c r="T60" s="15">
        <v>2</v>
      </c>
      <c r="U60" s="28"/>
      <c r="V60" s="16">
        <v>2</v>
      </c>
      <c r="W60" s="31">
        <v>2</v>
      </c>
      <c r="X60" s="9">
        <f t="shared" ref="X60:X61" si="62">SUM(T60:W60)</f>
        <v>6</v>
      </c>
      <c r="Y60" s="91">
        <f t="shared" si="57"/>
        <v>8</v>
      </c>
      <c r="Z60" s="104">
        <v>45917</v>
      </c>
    </row>
    <row r="61" spans="1:27" x14ac:dyDescent="0.15">
      <c r="A61" s="43" t="s">
        <v>41</v>
      </c>
      <c r="B61" s="15"/>
      <c r="C61" s="28"/>
      <c r="D61" s="16"/>
      <c r="E61" s="19"/>
      <c r="F61" s="42">
        <f t="shared" si="47"/>
        <v>0</v>
      </c>
      <c r="G61" s="15"/>
      <c r="H61" s="28"/>
      <c r="I61" s="16">
        <v>2</v>
      </c>
      <c r="J61" s="31"/>
      <c r="K61" s="74">
        <f>SUM(G61:J61)</f>
        <v>2</v>
      </c>
      <c r="L61" s="91">
        <f t="shared" si="53"/>
        <v>2</v>
      </c>
      <c r="M61" s="103">
        <v>45862</v>
      </c>
      <c r="N61" s="43" t="s">
        <v>38</v>
      </c>
      <c r="O61" s="15">
        <v>2</v>
      </c>
      <c r="P61" s="28"/>
      <c r="Q61" s="16">
        <v>2</v>
      </c>
      <c r="R61" s="19">
        <v>2</v>
      </c>
      <c r="S61" s="42">
        <f t="shared" si="61"/>
        <v>6</v>
      </c>
      <c r="T61" s="15">
        <v>2</v>
      </c>
      <c r="U61" s="28">
        <v>2</v>
      </c>
      <c r="V61" s="16"/>
      <c r="W61" s="31"/>
      <c r="X61" s="9">
        <f t="shared" si="62"/>
        <v>4</v>
      </c>
      <c r="Y61" s="91">
        <f t="shared" si="57"/>
        <v>10</v>
      </c>
      <c r="Z61" s="104">
        <v>45926</v>
      </c>
    </row>
    <row r="62" spans="1:27" x14ac:dyDescent="0.15">
      <c r="A62" s="43" t="s">
        <v>41</v>
      </c>
      <c r="B62" s="15"/>
      <c r="C62" s="28"/>
      <c r="D62" s="16"/>
      <c r="E62" s="19">
        <v>1</v>
      </c>
      <c r="F62" s="42">
        <f t="shared" si="47"/>
        <v>1</v>
      </c>
      <c r="G62" s="15"/>
      <c r="H62" s="28"/>
      <c r="I62" s="16"/>
      <c r="J62" s="31">
        <v>1</v>
      </c>
      <c r="K62" s="74">
        <f t="shared" ref="K62:K73" si="63">SUM(G62:J62)</f>
        <v>1</v>
      </c>
      <c r="L62" s="91">
        <f t="shared" si="53"/>
        <v>2</v>
      </c>
      <c r="M62" s="103">
        <v>45863</v>
      </c>
      <c r="N62" s="32"/>
      <c r="O62" s="15"/>
      <c r="P62" s="28"/>
      <c r="Q62" s="16"/>
      <c r="R62" s="19"/>
      <c r="S62" s="42">
        <f t="shared" si="49"/>
        <v>0</v>
      </c>
      <c r="T62" s="15"/>
      <c r="U62" s="28"/>
      <c r="V62" s="16"/>
      <c r="W62" s="31"/>
      <c r="X62" s="9">
        <f t="shared" ref="X62:X65" si="64">SUM(T62:W62)</f>
        <v>0</v>
      </c>
      <c r="Y62" s="91">
        <f t="shared" si="54"/>
        <v>0</v>
      </c>
      <c r="Z62" s="105"/>
    </row>
    <row r="63" spans="1:27" x14ac:dyDescent="0.15">
      <c r="A63" s="43" t="s">
        <v>77</v>
      </c>
      <c r="B63" s="15"/>
      <c r="C63" s="28"/>
      <c r="D63" s="16"/>
      <c r="E63" s="19"/>
      <c r="F63" s="42">
        <f t="shared" si="47"/>
        <v>0</v>
      </c>
      <c r="G63" s="15"/>
      <c r="H63" s="28"/>
      <c r="I63" s="16">
        <v>-3</v>
      </c>
      <c r="J63" s="31">
        <v>-3</v>
      </c>
      <c r="K63" s="74">
        <f t="shared" si="63"/>
        <v>-6</v>
      </c>
      <c r="L63" s="91">
        <f t="shared" si="53"/>
        <v>-6</v>
      </c>
      <c r="M63" s="103">
        <v>45866</v>
      </c>
      <c r="N63" s="43"/>
      <c r="O63" s="15"/>
      <c r="P63" s="28"/>
      <c r="Q63" s="16"/>
      <c r="R63" s="19"/>
      <c r="S63" s="42">
        <f t="shared" si="49"/>
        <v>0</v>
      </c>
      <c r="T63" s="15"/>
      <c r="U63" s="28"/>
      <c r="V63" s="16"/>
      <c r="W63" s="31"/>
      <c r="X63" s="9">
        <f t="shared" si="64"/>
        <v>0</v>
      </c>
      <c r="Y63" s="91">
        <f t="shared" si="54"/>
        <v>0</v>
      </c>
      <c r="Z63" s="105"/>
    </row>
    <row r="64" spans="1:27" x14ac:dyDescent="0.15">
      <c r="A64" s="43" t="s">
        <v>41</v>
      </c>
      <c r="B64" s="15"/>
      <c r="C64" s="28"/>
      <c r="D64" s="16">
        <v>1</v>
      </c>
      <c r="E64" s="19">
        <v>2</v>
      </c>
      <c r="F64" s="42">
        <f t="shared" si="47"/>
        <v>3</v>
      </c>
      <c r="G64" s="15"/>
      <c r="H64" s="28"/>
      <c r="I64" s="16"/>
      <c r="J64" s="31"/>
      <c r="K64" s="74">
        <f t="shared" si="63"/>
        <v>0</v>
      </c>
      <c r="L64" s="91">
        <f t="shared" si="53"/>
        <v>3</v>
      </c>
      <c r="M64" s="103">
        <v>45866</v>
      </c>
      <c r="N64" s="43"/>
      <c r="O64" s="15"/>
      <c r="P64" s="28"/>
      <c r="Q64" s="16"/>
      <c r="R64" s="19"/>
      <c r="S64" s="42">
        <f t="shared" si="49"/>
        <v>0</v>
      </c>
      <c r="T64" s="15"/>
      <c r="U64" s="28"/>
      <c r="V64" s="16"/>
      <c r="W64" s="31"/>
      <c r="X64" s="9">
        <f t="shared" si="64"/>
        <v>0</v>
      </c>
      <c r="Y64" s="91">
        <f t="shared" si="54"/>
        <v>0</v>
      </c>
    </row>
    <row r="65" spans="1:26" x14ac:dyDescent="0.15">
      <c r="A65" s="43" t="s">
        <v>41</v>
      </c>
      <c r="B65" s="15"/>
      <c r="C65" s="28"/>
      <c r="D65" s="16"/>
      <c r="E65" s="19">
        <v>1</v>
      </c>
      <c r="F65" s="42">
        <f t="shared" si="47"/>
        <v>1</v>
      </c>
      <c r="G65" s="38"/>
      <c r="H65" s="39"/>
      <c r="I65" s="40"/>
      <c r="J65" s="47"/>
      <c r="K65" s="107">
        <f t="shared" si="63"/>
        <v>0</v>
      </c>
      <c r="L65" s="91">
        <f t="shared" si="53"/>
        <v>1</v>
      </c>
      <c r="M65" s="103">
        <v>45868</v>
      </c>
      <c r="N65" s="43"/>
      <c r="O65" s="15"/>
      <c r="P65" s="28"/>
      <c r="Q65" s="16"/>
      <c r="R65" s="19"/>
      <c r="S65" s="42">
        <f t="shared" si="49"/>
        <v>0</v>
      </c>
      <c r="T65" s="38"/>
      <c r="U65" s="39"/>
      <c r="V65" s="40"/>
      <c r="W65" s="47"/>
      <c r="X65" s="49">
        <f t="shared" si="64"/>
        <v>0</v>
      </c>
      <c r="Y65" s="91">
        <f t="shared" si="54"/>
        <v>0</v>
      </c>
    </row>
    <row r="66" spans="1:26" x14ac:dyDescent="0.15">
      <c r="A66" s="43" t="s">
        <v>57</v>
      </c>
      <c r="B66" s="15"/>
      <c r="C66" s="28"/>
      <c r="D66" s="16"/>
      <c r="E66" s="19">
        <v>-5</v>
      </c>
      <c r="F66" s="42">
        <f t="shared" si="47"/>
        <v>-5</v>
      </c>
      <c r="G66" s="15"/>
      <c r="H66" s="28"/>
      <c r="I66" s="16"/>
      <c r="J66" s="31"/>
      <c r="K66" s="74">
        <f>SUM(G66:J66)</f>
        <v>0</v>
      </c>
      <c r="L66" s="91">
        <f t="shared" si="53"/>
        <v>-5</v>
      </c>
      <c r="M66" s="103">
        <v>45869</v>
      </c>
      <c r="N66" s="43"/>
      <c r="O66" s="15"/>
      <c r="P66" s="28"/>
      <c r="Q66" s="16"/>
      <c r="R66" s="19"/>
      <c r="S66" s="42">
        <f t="shared" si="49"/>
        <v>0</v>
      </c>
      <c r="T66" s="15"/>
      <c r="U66" s="28"/>
      <c r="V66" s="16"/>
      <c r="W66" s="31"/>
      <c r="X66" s="9">
        <f>SUM(T66:W66)</f>
        <v>0</v>
      </c>
      <c r="Y66" s="91">
        <f t="shared" si="54"/>
        <v>0</v>
      </c>
    </row>
    <row r="67" spans="1:26" x14ac:dyDescent="0.15">
      <c r="A67" s="43" t="s">
        <v>82</v>
      </c>
      <c r="B67" s="15"/>
      <c r="C67" s="28">
        <v>1</v>
      </c>
      <c r="D67" s="16"/>
      <c r="E67" s="19"/>
      <c r="F67" s="42">
        <f t="shared" si="47"/>
        <v>1</v>
      </c>
      <c r="G67" s="15"/>
      <c r="H67" s="16"/>
      <c r="I67" s="28"/>
      <c r="J67" s="48"/>
      <c r="K67" s="74">
        <f t="shared" si="63"/>
        <v>0</v>
      </c>
      <c r="L67" s="91">
        <f t="shared" si="53"/>
        <v>1</v>
      </c>
      <c r="M67" s="103">
        <v>45870</v>
      </c>
      <c r="N67" s="43"/>
      <c r="O67" s="15"/>
      <c r="P67" s="28"/>
      <c r="Q67" s="16"/>
      <c r="R67" s="19"/>
      <c r="S67" s="42">
        <f t="shared" si="49"/>
        <v>0</v>
      </c>
      <c r="T67" s="15"/>
      <c r="U67" s="16"/>
      <c r="V67" s="28"/>
      <c r="W67" s="48"/>
      <c r="X67" s="9">
        <f t="shared" ref="X67:X73" si="65">SUM(T67:W67)</f>
        <v>0</v>
      </c>
      <c r="Y67" s="91">
        <f t="shared" si="54"/>
        <v>0</v>
      </c>
    </row>
    <row r="68" spans="1:26" x14ac:dyDescent="0.15">
      <c r="A68" s="43" t="s">
        <v>41</v>
      </c>
      <c r="B68" s="15">
        <v>1</v>
      </c>
      <c r="C68" s="28"/>
      <c r="D68" s="16"/>
      <c r="E68" s="19"/>
      <c r="F68" s="42">
        <f t="shared" si="47"/>
        <v>1</v>
      </c>
      <c r="G68" s="15"/>
      <c r="H68" s="28"/>
      <c r="I68" s="16"/>
      <c r="J68" s="31"/>
      <c r="K68" s="74">
        <f t="shared" si="63"/>
        <v>0</v>
      </c>
      <c r="L68" s="91">
        <f t="shared" si="53"/>
        <v>1</v>
      </c>
      <c r="M68" s="103">
        <v>45875</v>
      </c>
      <c r="N68" s="43"/>
      <c r="O68" s="15"/>
      <c r="P68" s="28"/>
      <c r="Q68" s="16"/>
      <c r="R68" s="19"/>
      <c r="S68" s="42">
        <f t="shared" si="49"/>
        <v>0</v>
      </c>
      <c r="T68" s="15"/>
      <c r="U68" s="28"/>
      <c r="V68" s="16"/>
      <c r="W68" s="31"/>
      <c r="X68" s="9">
        <f t="shared" si="65"/>
        <v>0</v>
      </c>
      <c r="Y68" s="91">
        <f t="shared" si="54"/>
        <v>0</v>
      </c>
    </row>
    <row r="69" spans="1:26" x14ac:dyDescent="0.15">
      <c r="A69" s="43" t="s">
        <v>41</v>
      </c>
      <c r="B69" s="15">
        <v>1</v>
      </c>
      <c r="C69" s="28"/>
      <c r="D69" s="16"/>
      <c r="E69" s="19">
        <v>1</v>
      </c>
      <c r="F69" s="42">
        <f t="shared" ref="F69:F72" si="66">SUM(B69:E69)</f>
        <v>2</v>
      </c>
      <c r="G69" s="38"/>
      <c r="H69" s="39"/>
      <c r="I69" s="40">
        <v>1</v>
      </c>
      <c r="J69" s="47"/>
      <c r="K69" s="107">
        <f t="shared" si="63"/>
        <v>1</v>
      </c>
      <c r="L69" s="91">
        <f t="shared" si="53"/>
        <v>3</v>
      </c>
      <c r="M69" s="103">
        <v>45887</v>
      </c>
      <c r="N69" s="43"/>
      <c r="O69" s="15"/>
      <c r="P69" s="28"/>
      <c r="Q69" s="16"/>
      <c r="R69" s="19"/>
      <c r="S69" s="42">
        <f t="shared" ref="S69" si="67">SUM(O69:R69)</f>
        <v>0</v>
      </c>
      <c r="T69" s="15"/>
      <c r="U69" s="28"/>
      <c r="V69" s="16"/>
      <c r="W69" s="31"/>
      <c r="X69" s="9">
        <f t="shared" ref="X69" si="68">SUM(T69:W69)</f>
        <v>0</v>
      </c>
      <c r="Y69" s="91">
        <f t="shared" ref="Y69" si="69">S69+X69</f>
        <v>0</v>
      </c>
    </row>
    <row r="70" spans="1:26" x14ac:dyDescent="0.15">
      <c r="A70" s="43" t="s">
        <v>41</v>
      </c>
      <c r="B70" s="15"/>
      <c r="C70" s="28"/>
      <c r="D70" s="16"/>
      <c r="E70" s="19">
        <v>1</v>
      </c>
      <c r="F70" s="42">
        <f t="shared" si="66"/>
        <v>1</v>
      </c>
      <c r="G70" s="15"/>
      <c r="H70" s="28"/>
      <c r="I70" s="16"/>
      <c r="J70" s="31"/>
      <c r="K70" s="74">
        <f t="shared" si="63"/>
        <v>0</v>
      </c>
      <c r="L70" s="91">
        <f t="shared" si="53"/>
        <v>1</v>
      </c>
      <c r="M70" s="103">
        <v>45888</v>
      </c>
      <c r="N70" s="43"/>
      <c r="O70" s="15"/>
      <c r="P70" s="28"/>
      <c r="Q70" s="16"/>
      <c r="R70" s="19"/>
      <c r="S70" s="42">
        <f t="shared" ref="S70:S72" si="70">SUM(O70:R70)</f>
        <v>0</v>
      </c>
      <c r="T70" s="15"/>
      <c r="U70" s="28"/>
      <c r="V70" s="16"/>
      <c r="W70" s="31"/>
      <c r="X70" s="9">
        <f t="shared" ref="X70:X72" si="71">SUM(T70:W70)</f>
        <v>0</v>
      </c>
      <c r="Y70" s="91">
        <f t="shared" ref="Y70:Y72" si="72">S70+X70</f>
        <v>0</v>
      </c>
    </row>
    <row r="71" spans="1:26" x14ac:dyDescent="0.15">
      <c r="A71" s="43" t="s">
        <v>41</v>
      </c>
      <c r="B71" s="15"/>
      <c r="C71" s="28"/>
      <c r="D71" s="16"/>
      <c r="E71" s="19">
        <v>1</v>
      </c>
      <c r="F71" s="42">
        <f t="shared" si="66"/>
        <v>1</v>
      </c>
      <c r="G71" s="15"/>
      <c r="H71" s="28"/>
      <c r="I71" s="16"/>
      <c r="J71" s="31"/>
      <c r="K71" s="74">
        <f t="shared" ref="K71:K72" si="73">SUM(G71:J71)</f>
        <v>0</v>
      </c>
      <c r="L71" s="91">
        <f t="shared" si="53"/>
        <v>1</v>
      </c>
      <c r="M71" s="103">
        <v>45894</v>
      </c>
      <c r="N71" s="43" t="s">
        <v>45</v>
      </c>
      <c r="O71" s="38"/>
      <c r="P71" s="39"/>
      <c r="Q71" s="40"/>
      <c r="R71" s="41"/>
      <c r="S71" s="57">
        <f t="shared" si="70"/>
        <v>0</v>
      </c>
      <c r="T71" s="38"/>
      <c r="U71" s="39"/>
      <c r="V71" s="40"/>
      <c r="W71" s="47"/>
      <c r="X71" s="49">
        <f t="shared" si="71"/>
        <v>0</v>
      </c>
      <c r="Y71" s="91">
        <f t="shared" si="72"/>
        <v>0</v>
      </c>
      <c r="Z71" s="105"/>
    </row>
    <row r="72" spans="1:26" ht="14.25" thickBot="1" x14ac:dyDescent="0.2">
      <c r="A72" s="43" t="s">
        <v>41</v>
      </c>
      <c r="B72" s="34"/>
      <c r="C72" s="35"/>
      <c r="D72" s="36"/>
      <c r="E72" s="37">
        <v>1</v>
      </c>
      <c r="F72" s="42">
        <f t="shared" si="66"/>
        <v>1</v>
      </c>
      <c r="G72" s="34"/>
      <c r="H72" s="36"/>
      <c r="I72" s="35"/>
      <c r="J72" s="59"/>
      <c r="K72" s="75">
        <f t="shared" si="73"/>
        <v>0</v>
      </c>
      <c r="L72" s="108">
        <f t="shared" si="53"/>
        <v>1</v>
      </c>
      <c r="M72" s="103">
        <v>45897</v>
      </c>
      <c r="N72" s="124" t="s">
        <v>33</v>
      </c>
      <c r="O72" s="34"/>
      <c r="P72" s="35"/>
      <c r="Q72" s="36"/>
      <c r="R72" s="37"/>
      <c r="S72" s="125">
        <f t="shared" si="70"/>
        <v>0</v>
      </c>
      <c r="T72" s="34"/>
      <c r="U72" s="35"/>
      <c r="V72" s="36"/>
      <c r="W72" s="58"/>
      <c r="X72" s="10">
        <f t="shared" si="71"/>
        <v>0</v>
      </c>
      <c r="Y72" s="109">
        <f t="shared" si="72"/>
        <v>0</v>
      </c>
      <c r="Z72" s="105" t="s">
        <v>34</v>
      </c>
    </row>
    <row r="73" spans="1:26" ht="14.25" thickBot="1" x14ac:dyDescent="0.2">
      <c r="A73" s="12" t="s">
        <v>8</v>
      </c>
      <c r="B73" s="21">
        <f>SUM(B48:B72)</f>
        <v>2</v>
      </c>
      <c r="C73" s="29">
        <f>SUM(C48:C72)</f>
        <v>6</v>
      </c>
      <c r="D73" s="22">
        <f>SUM(D48:D72)</f>
        <v>2</v>
      </c>
      <c r="E73" s="23">
        <f>SUM(E48:E72)</f>
        <v>7</v>
      </c>
      <c r="F73" s="20">
        <f>SUM(B73:E73)</f>
        <v>17</v>
      </c>
      <c r="G73" s="21">
        <f>SUM(G48:G72)</f>
        <v>1</v>
      </c>
      <c r="H73" s="29">
        <f>SUM(H48:H72)</f>
        <v>2</v>
      </c>
      <c r="I73" s="22">
        <f>SUM(I48:I72)</f>
        <v>3</v>
      </c>
      <c r="J73" s="23">
        <f>SUM(J48:J72)</f>
        <v>1</v>
      </c>
      <c r="K73" s="76">
        <f t="shared" si="63"/>
        <v>7</v>
      </c>
      <c r="L73" s="79">
        <f t="shared" si="53"/>
        <v>24</v>
      </c>
      <c r="N73" s="83" t="s">
        <v>8</v>
      </c>
      <c r="O73" s="21">
        <f>SUM(O48:O72)</f>
        <v>52</v>
      </c>
      <c r="P73" s="29">
        <f>SUM(P48:P72)</f>
        <v>54</v>
      </c>
      <c r="Q73" s="22">
        <f>SUM(Q48:Q72)</f>
        <v>29</v>
      </c>
      <c r="R73" s="23">
        <f>SUM(R48:R72)</f>
        <v>33</v>
      </c>
      <c r="S73" s="44">
        <f>SUM(O73:R73)</f>
        <v>168</v>
      </c>
      <c r="T73" s="21">
        <f>SUM(T48:T72)</f>
        <v>29</v>
      </c>
      <c r="U73" s="29">
        <f>SUM(U48:U72)</f>
        <v>28</v>
      </c>
      <c r="V73" s="22">
        <f>SUM(V48:V72)</f>
        <v>29</v>
      </c>
      <c r="W73" s="23">
        <f>SUM(W48:W72)</f>
        <v>20</v>
      </c>
      <c r="X73" s="44">
        <f t="shared" si="65"/>
        <v>106</v>
      </c>
      <c r="Y73" s="80">
        <f t="shared" si="54"/>
        <v>274</v>
      </c>
    </row>
    <row r="74" spans="1:26" ht="14.25" thickBot="1" x14ac:dyDescent="0.2">
      <c r="A74" s="13" t="s">
        <v>9</v>
      </c>
      <c r="B74" s="24">
        <f t="shared" ref="B74:F74" si="74">B47-B73</f>
        <v>2</v>
      </c>
      <c r="C74" s="30">
        <f t="shared" si="74"/>
        <v>5</v>
      </c>
      <c r="D74" s="25">
        <f t="shared" si="74"/>
        <v>4</v>
      </c>
      <c r="E74" s="26">
        <f t="shared" si="74"/>
        <v>2</v>
      </c>
      <c r="F74" s="66">
        <f t="shared" si="74"/>
        <v>13</v>
      </c>
      <c r="G74" s="24">
        <f t="shared" ref="G74:K74" si="75">G47-G73</f>
        <v>5</v>
      </c>
      <c r="H74" s="30">
        <f t="shared" si="75"/>
        <v>5</v>
      </c>
      <c r="I74" s="25">
        <f t="shared" si="75"/>
        <v>4</v>
      </c>
      <c r="J74" s="26">
        <f t="shared" si="75"/>
        <v>5</v>
      </c>
      <c r="K74" s="77">
        <f t="shared" si="75"/>
        <v>19</v>
      </c>
      <c r="L74" s="80">
        <f t="shared" si="53"/>
        <v>32</v>
      </c>
      <c r="N74" s="13" t="s">
        <v>9</v>
      </c>
      <c r="O74" s="24">
        <f t="shared" ref="O74:X74" si="76">O47-O73</f>
        <v>4</v>
      </c>
      <c r="P74" s="30">
        <f t="shared" si="76"/>
        <v>12</v>
      </c>
      <c r="Q74" s="25">
        <f t="shared" si="76"/>
        <v>53</v>
      </c>
      <c r="R74" s="26">
        <f t="shared" si="76"/>
        <v>47</v>
      </c>
      <c r="S74" s="66">
        <f t="shared" si="76"/>
        <v>116</v>
      </c>
      <c r="T74" s="24">
        <f t="shared" si="76"/>
        <v>47</v>
      </c>
      <c r="U74" s="30">
        <f t="shared" si="76"/>
        <v>59</v>
      </c>
      <c r="V74" s="25">
        <f t="shared" si="76"/>
        <v>59</v>
      </c>
      <c r="W74" s="26">
        <f t="shared" si="76"/>
        <v>51</v>
      </c>
      <c r="X74" s="33">
        <f t="shared" si="76"/>
        <v>216</v>
      </c>
      <c r="Y74" s="80">
        <f t="shared" si="54"/>
        <v>332</v>
      </c>
    </row>
    <row r="75" spans="1:26" x14ac:dyDescent="0.15">
      <c r="G75" s="46"/>
      <c r="H75" s="46"/>
      <c r="I75" s="46"/>
      <c r="J75" s="46"/>
      <c r="K75" s="46"/>
      <c r="O75" s="46">
        <f>O74/$S$36*100</f>
        <v>1.4084507042253522</v>
      </c>
      <c r="P75" s="46">
        <f t="shared" ref="P75:S75" si="77">P74/$S$36*100</f>
        <v>4.225352112676056</v>
      </c>
      <c r="Q75" s="46">
        <f t="shared" si="77"/>
        <v>18.661971830985916</v>
      </c>
      <c r="R75" s="46">
        <f t="shared" si="77"/>
        <v>16.549295774647888</v>
      </c>
      <c r="S75" s="46">
        <f t="shared" si="77"/>
        <v>40.845070422535215</v>
      </c>
      <c r="T75" s="46"/>
      <c r="U75" s="46"/>
      <c r="V75" s="46"/>
      <c r="W75" s="46"/>
      <c r="X75" s="46"/>
    </row>
    <row r="76" spans="1:26" x14ac:dyDescent="0.15">
      <c r="G76" s="46"/>
      <c r="H76" s="46"/>
      <c r="I76" s="46"/>
      <c r="J76" s="46"/>
      <c r="K76" s="46"/>
      <c r="T76" s="46"/>
      <c r="U76" s="46"/>
      <c r="V76" s="46"/>
      <c r="W76" s="46"/>
      <c r="X76" s="46"/>
    </row>
    <row r="77" spans="1:26" ht="19.5" thickBot="1" x14ac:dyDescent="0.25">
      <c r="A77" s="2" t="s">
        <v>21</v>
      </c>
      <c r="B77" s="2"/>
      <c r="C77" s="1"/>
      <c r="D77" s="1"/>
      <c r="E77" s="1"/>
      <c r="F77" s="67" t="s">
        <v>25</v>
      </c>
      <c r="H77" s="1"/>
      <c r="I77" s="1"/>
      <c r="J77" s="1"/>
      <c r="K77" s="67" t="s">
        <v>20</v>
      </c>
      <c r="N77" s="2" t="s">
        <v>22</v>
      </c>
      <c r="O77" s="2"/>
      <c r="P77" s="1"/>
      <c r="Q77" s="1"/>
      <c r="R77" s="67" t="s">
        <v>25</v>
      </c>
      <c r="U77" s="1"/>
      <c r="V77" s="1"/>
      <c r="W77" s="1"/>
      <c r="X77" s="67" t="s">
        <v>20</v>
      </c>
    </row>
    <row r="78" spans="1:26" ht="14.25" thickBot="1" x14ac:dyDescent="0.2">
      <c r="A78" s="5" t="s">
        <v>0</v>
      </c>
      <c r="B78" s="184" t="s">
        <v>18</v>
      </c>
      <c r="C78" s="185"/>
      <c r="D78" s="185"/>
      <c r="E78" s="185"/>
      <c r="F78" s="186"/>
      <c r="G78" s="187" t="s">
        <v>19</v>
      </c>
      <c r="H78" s="188"/>
      <c r="I78" s="188"/>
      <c r="J78" s="188"/>
      <c r="K78" s="188"/>
      <c r="L78" s="182" t="s">
        <v>13</v>
      </c>
      <c r="N78" s="5" t="s">
        <v>0</v>
      </c>
      <c r="O78" s="184" t="s">
        <v>39</v>
      </c>
      <c r="P78" s="185"/>
      <c r="Q78" s="185"/>
      <c r="R78" s="185"/>
      <c r="S78" s="186"/>
      <c r="T78" s="187" t="s">
        <v>40</v>
      </c>
      <c r="U78" s="188"/>
      <c r="V78" s="188"/>
      <c r="W78" s="188"/>
      <c r="X78" s="188"/>
      <c r="Y78" s="182" t="s">
        <v>13</v>
      </c>
    </row>
    <row r="79" spans="1:26" ht="14.25" thickBot="1" x14ac:dyDescent="0.2">
      <c r="A79" s="5" t="s">
        <v>1</v>
      </c>
      <c r="B79" s="3" t="s">
        <v>14</v>
      </c>
      <c r="C79" s="27" t="s">
        <v>15</v>
      </c>
      <c r="D79" s="4" t="s">
        <v>16</v>
      </c>
      <c r="E79" s="14" t="s">
        <v>17</v>
      </c>
      <c r="F79" s="18" t="s">
        <v>2</v>
      </c>
      <c r="G79" s="3" t="s">
        <v>14</v>
      </c>
      <c r="H79" s="27" t="s">
        <v>15</v>
      </c>
      <c r="I79" s="4" t="s">
        <v>16</v>
      </c>
      <c r="J79" s="14" t="s">
        <v>17</v>
      </c>
      <c r="K79" s="68" t="s">
        <v>2</v>
      </c>
      <c r="L79" s="183"/>
      <c r="N79" s="5" t="s">
        <v>1</v>
      </c>
      <c r="O79" s="3" t="s">
        <v>14</v>
      </c>
      <c r="P79" s="27" t="s">
        <v>15</v>
      </c>
      <c r="Q79" s="4" t="s">
        <v>16</v>
      </c>
      <c r="R79" s="14" t="s">
        <v>17</v>
      </c>
      <c r="S79" s="18" t="s">
        <v>2</v>
      </c>
      <c r="T79" s="3" t="s">
        <v>14</v>
      </c>
      <c r="U79" s="27" t="s">
        <v>15</v>
      </c>
      <c r="V79" s="4" t="s">
        <v>16</v>
      </c>
      <c r="W79" s="14" t="s">
        <v>17</v>
      </c>
      <c r="X79" s="68" t="s">
        <v>2</v>
      </c>
      <c r="Y79" s="183"/>
    </row>
    <row r="80" spans="1:26" x14ac:dyDescent="0.15">
      <c r="A80" s="61" t="s">
        <v>10</v>
      </c>
      <c r="B80" s="62">
        <f>B74</f>
        <v>2</v>
      </c>
      <c r="C80" s="63">
        <f>C74</f>
        <v>5</v>
      </c>
      <c r="D80" s="63">
        <f>D74</f>
        <v>4</v>
      </c>
      <c r="E80" s="64">
        <f>E74</f>
        <v>2</v>
      </c>
      <c r="F80" s="65">
        <f>SUM(B80:E80)</f>
        <v>13</v>
      </c>
      <c r="G80" s="62">
        <f>G74</f>
        <v>5</v>
      </c>
      <c r="H80" s="63">
        <f>H74</f>
        <v>5</v>
      </c>
      <c r="I80" s="63">
        <f>I74</f>
        <v>4</v>
      </c>
      <c r="J80" s="64">
        <f>J74</f>
        <v>5</v>
      </c>
      <c r="K80" s="69">
        <f>SUM(G80:J80)</f>
        <v>19</v>
      </c>
      <c r="L80" s="78">
        <f>F80+K80</f>
        <v>32</v>
      </c>
      <c r="N80" s="61" t="s">
        <v>10</v>
      </c>
      <c r="O80" s="62">
        <f>O74</f>
        <v>4</v>
      </c>
      <c r="P80" s="63">
        <f>P74</f>
        <v>12</v>
      </c>
      <c r="Q80" s="63">
        <f>Q74</f>
        <v>53</v>
      </c>
      <c r="R80" s="64">
        <f>R74</f>
        <v>47</v>
      </c>
      <c r="S80" s="65">
        <f>SUM(O80:R80)</f>
        <v>116</v>
      </c>
      <c r="T80" s="62">
        <f>T74</f>
        <v>47</v>
      </c>
      <c r="U80" s="63">
        <f>U74</f>
        <v>59</v>
      </c>
      <c r="V80" s="63">
        <f>V74</f>
        <v>59</v>
      </c>
      <c r="W80" s="81">
        <f>W74</f>
        <v>51</v>
      </c>
      <c r="X80" s="82">
        <f>SUM(T80:W80)</f>
        <v>216</v>
      </c>
      <c r="Y80" s="78">
        <f>S80+X80</f>
        <v>332</v>
      </c>
      <c r="Z80" s="45"/>
    </row>
    <row r="81" spans="1:27" x14ac:dyDescent="0.15">
      <c r="A81" s="43" t="s">
        <v>75</v>
      </c>
      <c r="B81" s="127">
        <v>1</v>
      </c>
      <c r="C81" s="128">
        <v>1</v>
      </c>
      <c r="D81" s="129"/>
      <c r="E81" s="130"/>
      <c r="F81" s="49">
        <f>SUM(B81:E81)</f>
        <v>2</v>
      </c>
      <c r="G81" s="38">
        <v>1</v>
      </c>
      <c r="H81" s="39"/>
      <c r="I81" s="40">
        <v>2</v>
      </c>
      <c r="J81" s="41">
        <v>1</v>
      </c>
      <c r="K81" s="70">
        <f>SUM(G81:J81)</f>
        <v>4</v>
      </c>
      <c r="L81" s="91">
        <f t="shared" ref="L81:L84" si="78">F81+K81</f>
        <v>6</v>
      </c>
      <c r="M81" s="103">
        <v>45875</v>
      </c>
      <c r="N81" s="43" t="s">
        <v>3</v>
      </c>
      <c r="O81" s="38"/>
      <c r="P81" s="39"/>
      <c r="Q81" s="40"/>
      <c r="R81" s="47"/>
      <c r="S81" s="49">
        <f t="shared" ref="S81:S82" si="79">SUM(O81:R81)</f>
        <v>0</v>
      </c>
      <c r="T81" s="38"/>
      <c r="U81" s="39"/>
      <c r="V81" s="40"/>
      <c r="W81" s="47"/>
      <c r="X81" s="49">
        <f t="shared" ref="X81" si="80">SUM(T81:W81)</f>
        <v>0</v>
      </c>
      <c r="Y81" s="91">
        <f t="shared" ref="Y81" si="81">S81+X81</f>
        <v>0</v>
      </c>
      <c r="Z81" s="104"/>
    </row>
    <row r="82" spans="1:27" x14ac:dyDescent="0.15">
      <c r="A82" s="11" t="s">
        <v>83</v>
      </c>
      <c r="B82" s="6">
        <v>0</v>
      </c>
      <c r="C82" s="17">
        <v>0</v>
      </c>
      <c r="D82" s="7">
        <v>0</v>
      </c>
      <c r="E82" s="8">
        <v>0</v>
      </c>
      <c r="F82" s="9">
        <f>SUM(B82:E82)</f>
        <v>0</v>
      </c>
      <c r="G82" s="15">
        <v>0</v>
      </c>
      <c r="H82" s="28">
        <v>0</v>
      </c>
      <c r="I82" s="16">
        <v>0</v>
      </c>
      <c r="J82" s="19">
        <v>0</v>
      </c>
      <c r="K82" s="71">
        <f>SUM(G82:J82)</f>
        <v>0</v>
      </c>
      <c r="L82" s="91">
        <f t="shared" si="78"/>
        <v>0</v>
      </c>
      <c r="M82" s="103">
        <v>45878</v>
      </c>
      <c r="N82" s="43" t="s">
        <v>5</v>
      </c>
      <c r="O82" s="38">
        <v>107</v>
      </c>
      <c r="P82" s="39">
        <v>151</v>
      </c>
      <c r="Q82" s="40">
        <v>129</v>
      </c>
      <c r="R82" s="47">
        <v>43</v>
      </c>
      <c r="S82" s="49">
        <f t="shared" si="79"/>
        <v>430</v>
      </c>
      <c r="T82" s="38"/>
      <c r="U82" s="39"/>
      <c r="V82" s="40"/>
      <c r="W82" s="47"/>
      <c r="X82" s="49">
        <f t="shared" ref="X82" si="82">SUM(T82:W82)</f>
        <v>0</v>
      </c>
      <c r="Y82" s="91">
        <f t="shared" ref="Y82:Y83" si="83">S82+X82</f>
        <v>430</v>
      </c>
      <c r="Z82" s="104" t="s">
        <v>76</v>
      </c>
    </row>
    <row r="83" spans="1:27" x14ac:dyDescent="0.15">
      <c r="A83" s="43" t="s">
        <v>84</v>
      </c>
      <c r="B83" s="15">
        <v>1</v>
      </c>
      <c r="C83" s="28"/>
      <c r="D83" s="16"/>
      <c r="E83" s="19"/>
      <c r="F83" s="9">
        <f t="shared" ref="F83" si="84">SUM(B83:E83)</f>
        <v>1</v>
      </c>
      <c r="G83" s="15">
        <v>1</v>
      </c>
      <c r="H83" s="28"/>
      <c r="I83" s="16"/>
      <c r="J83" s="31"/>
      <c r="K83" s="74">
        <f>SUM(G83:J83)</f>
        <v>1</v>
      </c>
      <c r="L83" s="91">
        <f>F83+K83</f>
        <v>2</v>
      </c>
      <c r="M83" s="103">
        <v>45891</v>
      </c>
      <c r="N83" s="43" t="s">
        <v>6</v>
      </c>
      <c r="O83" s="15">
        <v>8</v>
      </c>
      <c r="P83" s="28">
        <v>5</v>
      </c>
      <c r="Q83" s="16">
        <v>6</v>
      </c>
      <c r="R83" s="31">
        <v>51</v>
      </c>
      <c r="S83" s="9">
        <f>SUM(O83:R83)</f>
        <v>70</v>
      </c>
      <c r="T83" s="15"/>
      <c r="U83" s="28"/>
      <c r="V83" s="16"/>
      <c r="W83" s="31"/>
      <c r="X83" s="9">
        <f>SUM(T83:W83)</f>
        <v>0</v>
      </c>
      <c r="Y83" s="91">
        <f t="shared" si="83"/>
        <v>70</v>
      </c>
      <c r="Z83" s="104" t="s">
        <v>78</v>
      </c>
      <c r="AA83" s="105"/>
    </row>
    <row r="84" spans="1:27" ht="14.25" thickBot="1" x14ac:dyDescent="0.2">
      <c r="A84" s="11" t="s">
        <v>6</v>
      </c>
      <c r="B84" s="6"/>
      <c r="C84" s="17">
        <v>3</v>
      </c>
      <c r="D84" s="7"/>
      <c r="E84" s="8">
        <v>3</v>
      </c>
      <c r="F84" s="10">
        <f>SUM(B84:E84)</f>
        <v>6</v>
      </c>
      <c r="G84" s="34"/>
      <c r="H84" s="35"/>
      <c r="I84" s="36">
        <v>3</v>
      </c>
      <c r="J84" s="37">
        <v>3</v>
      </c>
      <c r="K84" s="72">
        <f>SUM(G84:J84)</f>
        <v>6</v>
      </c>
      <c r="L84" s="91">
        <f t="shared" si="78"/>
        <v>12</v>
      </c>
      <c r="M84" s="103">
        <v>45911</v>
      </c>
      <c r="N84" s="43" t="s">
        <v>6</v>
      </c>
      <c r="O84" s="15"/>
      <c r="P84" s="28"/>
      <c r="Q84" s="16"/>
      <c r="R84" s="31"/>
      <c r="S84" s="9">
        <f>SUM(O84:R84)</f>
        <v>0</v>
      </c>
      <c r="T84" s="15"/>
      <c r="U84" s="28"/>
      <c r="V84" s="16"/>
      <c r="W84" s="31"/>
      <c r="X84" s="9">
        <f>SUM(T84:W84)</f>
        <v>0</v>
      </c>
      <c r="Y84" s="91">
        <f t="shared" ref="Y84" si="85">S84+X84</f>
        <v>0</v>
      </c>
      <c r="Z84" s="104"/>
      <c r="AA84" s="45"/>
    </row>
    <row r="85" spans="1:27" ht="14.25" thickBot="1" x14ac:dyDescent="0.2">
      <c r="A85" s="13" t="s">
        <v>7</v>
      </c>
      <c r="B85" s="50">
        <f t="shared" ref="B85:K85" si="86">SUM(B80:B84)</f>
        <v>4</v>
      </c>
      <c r="C85" s="51">
        <f t="shared" si="86"/>
        <v>9</v>
      </c>
      <c r="D85" s="52">
        <f t="shared" si="86"/>
        <v>4</v>
      </c>
      <c r="E85" s="53">
        <f t="shared" si="86"/>
        <v>5</v>
      </c>
      <c r="F85" s="54">
        <f t="shared" si="86"/>
        <v>22</v>
      </c>
      <c r="G85" s="24">
        <f t="shared" si="86"/>
        <v>7</v>
      </c>
      <c r="H85" s="30">
        <f t="shared" si="86"/>
        <v>5</v>
      </c>
      <c r="I85" s="25">
        <f t="shared" si="86"/>
        <v>9</v>
      </c>
      <c r="J85" s="55">
        <f t="shared" si="86"/>
        <v>9</v>
      </c>
      <c r="K85" s="73">
        <f t="shared" si="86"/>
        <v>30</v>
      </c>
      <c r="L85" s="79">
        <f>F85+K85</f>
        <v>52</v>
      </c>
      <c r="N85" s="13" t="s">
        <v>7</v>
      </c>
      <c r="O85" s="24">
        <f t="shared" ref="O85:X85" si="87">SUM(O80:O84)</f>
        <v>119</v>
      </c>
      <c r="P85" s="30">
        <f t="shared" si="87"/>
        <v>168</v>
      </c>
      <c r="Q85" s="25">
        <f t="shared" si="87"/>
        <v>188</v>
      </c>
      <c r="R85" s="55">
        <f t="shared" si="87"/>
        <v>141</v>
      </c>
      <c r="S85" s="54">
        <f t="shared" si="87"/>
        <v>616</v>
      </c>
      <c r="T85" s="24">
        <f t="shared" si="87"/>
        <v>47</v>
      </c>
      <c r="U85" s="30">
        <f t="shared" si="87"/>
        <v>59</v>
      </c>
      <c r="V85" s="25">
        <f t="shared" si="87"/>
        <v>59</v>
      </c>
      <c r="W85" s="55">
        <f t="shared" si="87"/>
        <v>51</v>
      </c>
      <c r="X85" s="56">
        <f t="shared" si="87"/>
        <v>216</v>
      </c>
      <c r="Y85" s="79">
        <f>S85+X85</f>
        <v>832</v>
      </c>
    </row>
    <row r="86" spans="1:27" x14ac:dyDescent="0.15">
      <c r="A86" s="43" t="s">
        <v>41</v>
      </c>
      <c r="B86" s="38"/>
      <c r="C86" s="39"/>
      <c r="D86" s="40"/>
      <c r="E86" s="41"/>
      <c r="F86" s="57">
        <f t="shared" ref="F86:F110" si="88">SUM(B86:E86)</f>
        <v>0</v>
      </c>
      <c r="G86" s="15"/>
      <c r="H86" s="28"/>
      <c r="I86" s="16"/>
      <c r="J86" s="31">
        <v>1</v>
      </c>
      <c r="K86" s="74">
        <f t="shared" ref="K86:K91" si="89">SUM(G86:J86)</f>
        <v>1</v>
      </c>
      <c r="L86" s="106">
        <f>F86+K86</f>
        <v>1</v>
      </c>
      <c r="M86" s="103">
        <v>45901</v>
      </c>
      <c r="N86" s="43"/>
      <c r="O86" s="38"/>
      <c r="P86" s="39"/>
      <c r="Q86" s="40"/>
      <c r="R86" s="41"/>
      <c r="S86" s="57">
        <f t="shared" ref="S86:S105" si="90">SUM(O86:R86)</f>
        <v>0</v>
      </c>
      <c r="T86" s="15"/>
      <c r="U86" s="28"/>
      <c r="V86" s="16"/>
      <c r="W86" s="31"/>
      <c r="X86" s="9">
        <f t="shared" ref="X86:X91" si="91">SUM(T86:W86)</f>
        <v>0</v>
      </c>
      <c r="Y86" s="106">
        <f>S86+X86</f>
        <v>0</v>
      </c>
      <c r="Z86" s="105"/>
    </row>
    <row r="87" spans="1:27" x14ac:dyDescent="0.15">
      <c r="A87" s="43" t="s">
        <v>41</v>
      </c>
      <c r="B87" s="15"/>
      <c r="C87" s="28"/>
      <c r="D87" s="16"/>
      <c r="E87" s="19"/>
      <c r="F87" s="42">
        <f t="shared" si="88"/>
        <v>0</v>
      </c>
      <c r="G87" s="15"/>
      <c r="H87" s="28"/>
      <c r="I87" s="16"/>
      <c r="J87" s="31">
        <v>1</v>
      </c>
      <c r="K87" s="74">
        <f t="shared" si="89"/>
        <v>1</v>
      </c>
      <c r="L87" s="91">
        <f>F87+K87</f>
        <v>1</v>
      </c>
      <c r="M87" s="103">
        <v>45904</v>
      </c>
      <c r="N87" s="43"/>
      <c r="O87" s="15"/>
      <c r="P87" s="28"/>
      <c r="Q87" s="16"/>
      <c r="R87" s="19"/>
      <c r="S87" s="42">
        <f t="shared" si="90"/>
        <v>0</v>
      </c>
      <c r="T87" s="15"/>
      <c r="U87" s="28"/>
      <c r="V87" s="16"/>
      <c r="W87" s="31"/>
      <c r="X87" s="9">
        <f t="shared" si="91"/>
        <v>0</v>
      </c>
      <c r="Y87" s="91">
        <f>S87+X87</f>
        <v>0</v>
      </c>
      <c r="Z87" s="105"/>
    </row>
    <row r="88" spans="1:27" x14ac:dyDescent="0.15">
      <c r="A88" s="43" t="s">
        <v>87</v>
      </c>
      <c r="B88" s="15"/>
      <c r="C88" s="28"/>
      <c r="D88" s="16"/>
      <c r="E88" s="19"/>
      <c r="F88" s="42">
        <f t="shared" si="88"/>
        <v>0</v>
      </c>
      <c r="G88" s="15"/>
      <c r="H88" s="28"/>
      <c r="I88" s="16"/>
      <c r="J88" s="31">
        <v>1</v>
      </c>
      <c r="K88" s="74">
        <f t="shared" si="89"/>
        <v>1</v>
      </c>
      <c r="L88" s="91">
        <f>F88+K88</f>
        <v>1</v>
      </c>
      <c r="M88" s="103">
        <v>45908</v>
      </c>
      <c r="N88" s="43"/>
      <c r="O88" s="15"/>
      <c r="P88" s="28"/>
      <c r="Q88" s="16"/>
      <c r="R88" s="19"/>
      <c r="S88" s="42">
        <f t="shared" si="90"/>
        <v>0</v>
      </c>
      <c r="T88" s="15"/>
      <c r="U88" s="28"/>
      <c r="V88" s="16"/>
      <c r="W88" s="31"/>
      <c r="X88" s="9">
        <f t="shared" si="91"/>
        <v>0</v>
      </c>
      <c r="Y88" s="91">
        <f>S88+X88</f>
        <v>0</v>
      </c>
      <c r="Z88" s="105"/>
    </row>
    <row r="89" spans="1:27" x14ac:dyDescent="0.15">
      <c r="A89" s="43" t="s">
        <v>41</v>
      </c>
      <c r="B89" s="15"/>
      <c r="C89" s="28"/>
      <c r="D89" s="16"/>
      <c r="E89" s="19"/>
      <c r="F89" s="42">
        <f t="shared" si="88"/>
        <v>0</v>
      </c>
      <c r="G89" s="15"/>
      <c r="H89" s="28"/>
      <c r="I89" s="16">
        <v>1</v>
      </c>
      <c r="J89" s="31"/>
      <c r="K89" s="74">
        <f t="shared" si="89"/>
        <v>1</v>
      </c>
      <c r="L89" s="91">
        <f t="shared" ref="L89:L112" si="92">F89+K89</f>
        <v>1</v>
      </c>
      <c r="M89" s="103">
        <v>45906</v>
      </c>
      <c r="N89" s="43"/>
      <c r="O89" s="15"/>
      <c r="P89" s="28"/>
      <c r="Q89" s="16"/>
      <c r="R89" s="19"/>
      <c r="S89" s="42">
        <f t="shared" si="90"/>
        <v>0</v>
      </c>
      <c r="T89" s="15"/>
      <c r="U89" s="28"/>
      <c r="V89" s="16"/>
      <c r="W89" s="31"/>
      <c r="X89" s="9">
        <f t="shared" si="91"/>
        <v>0</v>
      </c>
      <c r="Y89" s="91">
        <f t="shared" ref="Y89:Y112" si="93">S89+X89</f>
        <v>0</v>
      </c>
      <c r="Z89" s="105"/>
    </row>
    <row r="90" spans="1:27" x14ac:dyDescent="0.15">
      <c r="A90" s="43" t="s">
        <v>87</v>
      </c>
      <c r="B90" s="15"/>
      <c r="C90" s="28"/>
      <c r="D90" s="16"/>
      <c r="E90" s="19"/>
      <c r="F90" s="42">
        <f t="shared" si="88"/>
        <v>0</v>
      </c>
      <c r="G90" s="15">
        <v>1</v>
      </c>
      <c r="H90" s="28"/>
      <c r="I90" s="16">
        <v>1</v>
      </c>
      <c r="J90" s="31"/>
      <c r="K90" s="74">
        <f t="shared" si="89"/>
        <v>2</v>
      </c>
      <c r="L90" s="91">
        <f t="shared" si="92"/>
        <v>2</v>
      </c>
      <c r="M90" s="103">
        <v>45910</v>
      </c>
      <c r="N90" s="43"/>
      <c r="O90" s="15"/>
      <c r="P90" s="28"/>
      <c r="Q90" s="16"/>
      <c r="R90" s="19"/>
      <c r="S90" s="42">
        <f t="shared" si="90"/>
        <v>0</v>
      </c>
      <c r="T90" s="15"/>
      <c r="U90" s="28"/>
      <c r="V90" s="16"/>
      <c r="W90" s="31"/>
      <c r="X90" s="9">
        <f t="shared" si="91"/>
        <v>0</v>
      </c>
      <c r="Y90" s="91">
        <f t="shared" si="93"/>
        <v>0</v>
      </c>
      <c r="Z90" s="105"/>
    </row>
    <row r="91" spans="1:27" x14ac:dyDescent="0.15">
      <c r="A91" s="43" t="s">
        <v>88</v>
      </c>
      <c r="B91" s="15"/>
      <c r="C91" s="28">
        <v>1</v>
      </c>
      <c r="D91" s="16"/>
      <c r="E91" s="19"/>
      <c r="F91" s="42">
        <f t="shared" si="88"/>
        <v>1</v>
      </c>
      <c r="G91" s="15"/>
      <c r="H91" s="28"/>
      <c r="I91" s="16"/>
      <c r="J91" s="31"/>
      <c r="K91" s="74">
        <f t="shared" si="89"/>
        <v>0</v>
      </c>
      <c r="L91" s="91">
        <f t="shared" si="92"/>
        <v>1</v>
      </c>
      <c r="M91" s="103">
        <v>45909</v>
      </c>
      <c r="N91" s="43"/>
      <c r="O91" s="15"/>
      <c r="P91" s="28"/>
      <c r="Q91" s="16"/>
      <c r="R91" s="19"/>
      <c r="S91" s="42">
        <f t="shared" si="90"/>
        <v>0</v>
      </c>
      <c r="T91" s="15"/>
      <c r="U91" s="28"/>
      <c r="V91" s="16"/>
      <c r="W91" s="31"/>
      <c r="X91" s="9">
        <f t="shared" si="91"/>
        <v>0</v>
      </c>
      <c r="Y91" s="91">
        <f t="shared" si="93"/>
        <v>0</v>
      </c>
      <c r="Z91" s="105"/>
    </row>
    <row r="92" spans="1:27" x14ac:dyDescent="0.15">
      <c r="A92" s="43" t="s">
        <v>87</v>
      </c>
      <c r="B92" s="15"/>
      <c r="C92" s="28">
        <v>2</v>
      </c>
      <c r="D92" s="16"/>
      <c r="E92" s="19"/>
      <c r="F92" s="42">
        <f t="shared" si="88"/>
        <v>2</v>
      </c>
      <c r="G92" s="15"/>
      <c r="H92" s="28"/>
      <c r="I92" s="16"/>
      <c r="J92" s="31"/>
      <c r="K92" s="74">
        <f>SUM(G92:J92)</f>
        <v>0</v>
      </c>
      <c r="L92" s="91">
        <f t="shared" si="92"/>
        <v>2</v>
      </c>
      <c r="M92" s="103">
        <v>45911</v>
      </c>
      <c r="N92" s="43"/>
      <c r="O92" s="15"/>
      <c r="P92" s="28"/>
      <c r="Q92" s="16"/>
      <c r="R92" s="19"/>
      <c r="S92" s="42">
        <f t="shared" si="90"/>
        <v>0</v>
      </c>
      <c r="T92" s="15"/>
      <c r="U92" s="28"/>
      <c r="V92" s="16"/>
      <c r="W92" s="31"/>
      <c r="X92" s="9">
        <f>SUM(T92:W92)</f>
        <v>0</v>
      </c>
      <c r="Y92" s="91">
        <f t="shared" si="93"/>
        <v>0</v>
      </c>
      <c r="Z92" s="105"/>
    </row>
    <row r="93" spans="1:27" x14ac:dyDescent="0.15">
      <c r="A93" s="43" t="s">
        <v>89</v>
      </c>
      <c r="B93" s="15"/>
      <c r="C93" s="28"/>
      <c r="D93" s="16"/>
      <c r="E93" s="19"/>
      <c r="F93" s="42">
        <f t="shared" si="88"/>
        <v>0</v>
      </c>
      <c r="G93" s="15">
        <v>1</v>
      </c>
      <c r="H93" s="28"/>
      <c r="I93" s="16"/>
      <c r="J93" s="31"/>
      <c r="K93" s="74">
        <f t="shared" ref="K93:K97" si="94">SUM(G93:J93)</f>
        <v>1</v>
      </c>
      <c r="L93" s="91">
        <f t="shared" si="92"/>
        <v>1</v>
      </c>
      <c r="M93" s="103">
        <v>45911</v>
      </c>
      <c r="N93" s="43"/>
      <c r="O93" s="15"/>
      <c r="P93" s="28"/>
      <c r="Q93" s="16"/>
      <c r="R93" s="19"/>
      <c r="S93" s="42">
        <f t="shared" si="90"/>
        <v>0</v>
      </c>
      <c r="T93" s="15"/>
      <c r="U93" s="28"/>
      <c r="V93" s="16"/>
      <c r="W93" s="31"/>
      <c r="X93" s="9">
        <f t="shared" ref="X93:X97" si="95">SUM(T93:W93)</f>
        <v>0</v>
      </c>
      <c r="Y93" s="91">
        <f t="shared" si="93"/>
        <v>0</v>
      </c>
      <c r="Z93" s="105"/>
    </row>
    <row r="94" spans="1:27" x14ac:dyDescent="0.15">
      <c r="A94" s="43" t="s">
        <v>87</v>
      </c>
      <c r="B94" s="15"/>
      <c r="C94" s="28"/>
      <c r="D94" s="16"/>
      <c r="E94" s="19"/>
      <c r="F94" s="42">
        <f t="shared" si="88"/>
        <v>0</v>
      </c>
      <c r="G94" s="15"/>
      <c r="H94" s="28"/>
      <c r="I94" s="16">
        <v>1</v>
      </c>
      <c r="J94" s="31">
        <v>1</v>
      </c>
      <c r="K94" s="74">
        <f t="shared" si="94"/>
        <v>2</v>
      </c>
      <c r="L94" s="91">
        <f t="shared" si="92"/>
        <v>2</v>
      </c>
      <c r="M94" s="103">
        <v>45912</v>
      </c>
      <c r="N94" s="43"/>
      <c r="O94" s="15"/>
      <c r="P94" s="28"/>
      <c r="Q94" s="16"/>
      <c r="R94" s="19"/>
      <c r="S94" s="42">
        <f t="shared" si="90"/>
        <v>0</v>
      </c>
      <c r="T94" s="15"/>
      <c r="U94" s="28"/>
      <c r="V94" s="16"/>
      <c r="W94" s="31"/>
      <c r="X94" s="9">
        <f t="shared" si="95"/>
        <v>0</v>
      </c>
      <c r="Y94" s="91">
        <f t="shared" si="93"/>
        <v>0</v>
      </c>
      <c r="Z94" s="105"/>
    </row>
    <row r="95" spans="1:27" x14ac:dyDescent="0.15">
      <c r="A95" s="43" t="s">
        <v>87</v>
      </c>
      <c r="B95" s="15"/>
      <c r="C95" s="28"/>
      <c r="D95" s="16">
        <v>1</v>
      </c>
      <c r="E95" s="19">
        <v>1</v>
      </c>
      <c r="F95" s="42">
        <f t="shared" si="88"/>
        <v>2</v>
      </c>
      <c r="G95" s="15">
        <v>1</v>
      </c>
      <c r="H95" s="28"/>
      <c r="I95" s="16">
        <v>4</v>
      </c>
      <c r="J95" s="31">
        <v>4</v>
      </c>
      <c r="K95" s="74">
        <f t="shared" si="94"/>
        <v>9</v>
      </c>
      <c r="L95" s="91">
        <f t="shared" si="92"/>
        <v>11</v>
      </c>
      <c r="M95" s="103">
        <v>45912</v>
      </c>
      <c r="N95" s="32"/>
      <c r="O95" s="15"/>
      <c r="P95" s="28"/>
      <c r="Q95" s="16"/>
      <c r="R95" s="19"/>
      <c r="S95" s="42">
        <f t="shared" si="90"/>
        <v>0</v>
      </c>
      <c r="T95" s="15"/>
      <c r="U95" s="28"/>
      <c r="V95" s="16"/>
      <c r="W95" s="31"/>
      <c r="X95" s="9">
        <f t="shared" si="95"/>
        <v>0</v>
      </c>
      <c r="Y95" s="91">
        <f t="shared" si="93"/>
        <v>0</v>
      </c>
      <c r="Z95" s="105"/>
    </row>
    <row r="96" spans="1:27" x14ac:dyDescent="0.15">
      <c r="A96" s="43" t="s">
        <v>87</v>
      </c>
      <c r="B96" s="15"/>
      <c r="C96" s="28">
        <v>1</v>
      </c>
      <c r="D96" s="16"/>
      <c r="E96" s="19"/>
      <c r="F96" s="42">
        <f t="shared" si="88"/>
        <v>1</v>
      </c>
      <c r="G96" s="15"/>
      <c r="H96" s="28"/>
      <c r="I96" s="16"/>
      <c r="J96" s="31"/>
      <c r="K96" s="74">
        <f t="shared" si="94"/>
        <v>0</v>
      </c>
      <c r="L96" s="91">
        <f t="shared" si="92"/>
        <v>1</v>
      </c>
      <c r="M96" s="103">
        <v>45916</v>
      </c>
      <c r="N96" s="43"/>
      <c r="O96" s="15"/>
      <c r="P96" s="28"/>
      <c r="Q96" s="16"/>
      <c r="R96" s="19"/>
      <c r="S96" s="42">
        <f t="shared" si="90"/>
        <v>0</v>
      </c>
      <c r="T96" s="15"/>
      <c r="U96" s="28"/>
      <c r="V96" s="16"/>
      <c r="W96" s="31"/>
      <c r="X96" s="9">
        <f t="shared" si="95"/>
        <v>0</v>
      </c>
      <c r="Y96" s="91">
        <f t="shared" si="93"/>
        <v>0</v>
      </c>
      <c r="Z96" s="105"/>
    </row>
    <row r="97" spans="1:26" x14ac:dyDescent="0.15">
      <c r="A97" s="43" t="s">
        <v>89</v>
      </c>
      <c r="B97" s="15"/>
      <c r="C97" s="28"/>
      <c r="D97" s="16"/>
      <c r="E97" s="19">
        <v>1</v>
      </c>
      <c r="F97" s="42">
        <f t="shared" si="88"/>
        <v>1</v>
      </c>
      <c r="G97" s="15"/>
      <c r="H97" s="28">
        <v>1</v>
      </c>
      <c r="I97" s="16"/>
      <c r="J97" s="31"/>
      <c r="K97" s="74">
        <f t="shared" si="94"/>
        <v>1</v>
      </c>
      <c r="L97" s="91">
        <f t="shared" si="92"/>
        <v>2</v>
      </c>
      <c r="M97" s="103">
        <v>45916</v>
      </c>
      <c r="N97" s="43"/>
      <c r="O97" s="15"/>
      <c r="P97" s="28"/>
      <c r="Q97" s="16"/>
      <c r="R97" s="19"/>
      <c r="S97" s="42">
        <f t="shared" si="90"/>
        <v>0</v>
      </c>
      <c r="T97" s="15"/>
      <c r="U97" s="28"/>
      <c r="V97" s="16"/>
      <c r="W97" s="31"/>
      <c r="X97" s="9">
        <f t="shared" si="95"/>
        <v>0</v>
      </c>
      <c r="Y97" s="91">
        <f t="shared" si="93"/>
        <v>0</v>
      </c>
      <c r="Z97" s="105"/>
    </row>
    <row r="98" spans="1:26" x14ac:dyDescent="0.15">
      <c r="A98" s="43" t="s">
        <v>87</v>
      </c>
      <c r="B98" s="15"/>
      <c r="C98" s="28"/>
      <c r="D98" s="16"/>
      <c r="E98" s="19">
        <v>1</v>
      </c>
      <c r="F98" s="42">
        <f t="shared" si="88"/>
        <v>1</v>
      </c>
      <c r="G98" s="15">
        <v>3</v>
      </c>
      <c r="H98" s="28"/>
      <c r="I98" s="16"/>
      <c r="J98" s="31"/>
      <c r="K98" s="74">
        <f>SUM(G98:J98)</f>
        <v>3</v>
      </c>
      <c r="L98" s="91">
        <f t="shared" si="92"/>
        <v>4</v>
      </c>
      <c r="M98" s="103">
        <v>45918</v>
      </c>
      <c r="N98" s="43"/>
      <c r="O98" s="15"/>
      <c r="P98" s="28"/>
      <c r="Q98" s="16"/>
      <c r="R98" s="19"/>
      <c r="S98" s="42">
        <f t="shared" si="90"/>
        <v>0</v>
      </c>
      <c r="T98" s="15"/>
      <c r="U98" s="28"/>
      <c r="V98" s="16"/>
      <c r="W98" s="31"/>
      <c r="X98" s="9">
        <f>SUM(T98:W98)</f>
        <v>0</v>
      </c>
      <c r="Y98" s="91">
        <f t="shared" si="93"/>
        <v>0</v>
      </c>
      <c r="Z98" s="105"/>
    </row>
    <row r="99" spans="1:26" x14ac:dyDescent="0.15">
      <c r="A99" s="43" t="s">
        <v>41</v>
      </c>
      <c r="B99" s="15"/>
      <c r="C99" s="28"/>
      <c r="D99" s="16"/>
      <c r="E99" s="19"/>
      <c r="F99" s="42">
        <f t="shared" si="88"/>
        <v>0</v>
      </c>
      <c r="G99" s="15"/>
      <c r="H99" s="28">
        <v>1</v>
      </c>
      <c r="I99" s="16"/>
      <c r="J99" s="31"/>
      <c r="K99" s="74">
        <f>SUM(G99:J99)</f>
        <v>1</v>
      </c>
      <c r="L99" s="91">
        <f t="shared" si="92"/>
        <v>1</v>
      </c>
      <c r="M99" s="103">
        <v>45916</v>
      </c>
      <c r="N99" s="43"/>
      <c r="O99" s="15"/>
      <c r="P99" s="28"/>
      <c r="Q99" s="16"/>
      <c r="R99" s="19"/>
      <c r="S99" s="42">
        <f t="shared" si="90"/>
        <v>0</v>
      </c>
      <c r="T99" s="15"/>
      <c r="U99" s="28"/>
      <c r="V99" s="16"/>
      <c r="W99" s="31"/>
      <c r="X99" s="9">
        <f>SUM(T99:W99)</f>
        <v>0</v>
      </c>
      <c r="Y99" s="91">
        <f t="shared" si="93"/>
        <v>0</v>
      </c>
      <c r="Z99" s="105"/>
    </row>
    <row r="100" spans="1:26" x14ac:dyDescent="0.15">
      <c r="A100" s="32" t="s">
        <v>90</v>
      </c>
      <c r="B100" s="15"/>
      <c r="C100" s="28"/>
      <c r="D100" s="16"/>
      <c r="E100" s="19">
        <v>-2</v>
      </c>
      <c r="F100" s="42">
        <f t="shared" si="88"/>
        <v>-2</v>
      </c>
      <c r="G100" s="15">
        <v>-2</v>
      </c>
      <c r="H100" s="28"/>
      <c r="I100" s="16">
        <v>-2</v>
      </c>
      <c r="J100" s="31">
        <v>-2</v>
      </c>
      <c r="K100" s="74">
        <f t="shared" ref="K100:K103" si="96">SUM(G100:J100)</f>
        <v>-6</v>
      </c>
      <c r="L100" s="91">
        <f t="shared" si="92"/>
        <v>-8</v>
      </c>
      <c r="M100" s="103">
        <v>45917</v>
      </c>
      <c r="N100" s="32"/>
      <c r="O100" s="15"/>
      <c r="P100" s="28"/>
      <c r="Q100" s="16"/>
      <c r="R100" s="19"/>
      <c r="S100" s="42">
        <f t="shared" si="90"/>
        <v>0</v>
      </c>
      <c r="T100" s="15"/>
      <c r="U100" s="28"/>
      <c r="V100" s="16"/>
      <c r="W100" s="31"/>
      <c r="X100" s="9">
        <f t="shared" ref="X100:X103" si="97">SUM(T100:W100)</f>
        <v>0</v>
      </c>
      <c r="Y100" s="91">
        <f t="shared" si="93"/>
        <v>0</v>
      </c>
      <c r="Z100" s="105"/>
    </row>
    <row r="101" spans="1:26" x14ac:dyDescent="0.15">
      <c r="A101" s="43" t="s">
        <v>87</v>
      </c>
      <c r="B101" s="15">
        <v>1</v>
      </c>
      <c r="C101" s="28"/>
      <c r="D101" s="16"/>
      <c r="E101" s="19"/>
      <c r="F101" s="42">
        <f t="shared" si="88"/>
        <v>1</v>
      </c>
      <c r="G101" s="15"/>
      <c r="H101" s="28"/>
      <c r="I101" s="16"/>
      <c r="J101" s="31"/>
      <c r="K101" s="74">
        <f t="shared" si="96"/>
        <v>0</v>
      </c>
      <c r="L101" s="91">
        <f t="shared" si="92"/>
        <v>1</v>
      </c>
      <c r="M101" s="103">
        <v>45919</v>
      </c>
      <c r="N101" s="43"/>
      <c r="O101" s="15"/>
      <c r="P101" s="28"/>
      <c r="Q101" s="16"/>
      <c r="R101" s="19"/>
      <c r="S101" s="42">
        <f t="shared" si="90"/>
        <v>0</v>
      </c>
      <c r="T101" s="15"/>
      <c r="U101" s="28"/>
      <c r="V101" s="16"/>
      <c r="W101" s="31"/>
      <c r="X101" s="9">
        <f t="shared" si="97"/>
        <v>0</v>
      </c>
      <c r="Y101" s="91">
        <f t="shared" si="93"/>
        <v>0</v>
      </c>
      <c r="Z101" s="105"/>
    </row>
    <row r="102" spans="1:26" x14ac:dyDescent="0.15">
      <c r="A102" s="43" t="s">
        <v>89</v>
      </c>
      <c r="B102" s="15"/>
      <c r="C102" s="28"/>
      <c r="D102" s="16"/>
      <c r="E102" s="19">
        <v>1</v>
      </c>
      <c r="F102" s="42">
        <f t="shared" si="88"/>
        <v>1</v>
      </c>
      <c r="G102" s="15">
        <v>1</v>
      </c>
      <c r="H102" s="28"/>
      <c r="I102" s="16"/>
      <c r="J102" s="31"/>
      <c r="K102" s="74">
        <f t="shared" si="96"/>
        <v>1</v>
      </c>
      <c r="L102" s="91">
        <f t="shared" si="92"/>
        <v>2</v>
      </c>
      <c r="M102" s="103">
        <v>45919</v>
      </c>
      <c r="N102" s="43"/>
      <c r="O102" s="15"/>
      <c r="P102" s="28"/>
      <c r="Q102" s="16"/>
      <c r="R102" s="19"/>
      <c r="S102" s="42">
        <f t="shared" si="90"/>
        <v>0</v>
      </c>
      <c r="T102" s="15"/>
      <c r="U102" s="28"/>
      <c r="V102" s="16"/>
      <c r="W102" s="31"/>
      <c r="X102" s="9">
        <f t="shared" si="97"/>
        <v>0</v>
      </c>
      <c r="Y102" s="91">
        <f t="shared" si="93"/>
        <v>0</v>
      </c>
      <c r="Z102" s="105"/>
    </row>
    <row r="103" spans="1:26" x14ac:dyDescent="0.15">
      <c r="A103" s="43" t="s">
        <v>89</v>
      </c>
      <c r="B103" s="15">
        <v>1</v>
      </c>
      <c r="C103" s="28"/>
      <c r="D103" s="16"/>
      <c r="E103" s="19"/>
      <c r="F103" s="42">
        <f t="shared" si="88"/>
        <v>1</v>
      </c>
      <c r="G103" s="38"/>
      <c r="H103" s="39"/>
      <c r="I103" s="40"/>
      <c r="J103" s="47"/>
      <c r="K103" s="107">
        <f t="shared" si="96"/>
        <v>0</v>
      </c>
      <c r="L103" s="91">
        <f t="shared" si="92"/>
        <v>1</v>
      </c>
      <c r="M103" s="103">
        <v>45922</v>
      </c>
      <c r="N103" s="43"/>
      <c r="O103" s="15"/>
      <c r="P103" s="28"/>
      <c r="Q103" s="16"/>
      <c r="R103" s="19"/>
      <c r="S103" s="42">
        <f t="shared" si="90"/>
        <v>0</v>
      </c>
      <c r="T103" s="38"/>
      <c r="U103" s="39"/>
      <c r="V103" s="40"/>
      <c r="W103" s="47"/>
      <c r="X103" s="49">
        <f t="shared" si="97"/>
        <v>0</v>
      </c>
      <c r="Y103" s="91">
        <f t="shared" si="93"/>
        <v>0</v>
      </c>
      <c r="Z103" s="105"/>
    </row>
    <row r="104" spans="1:26" x14ac:dyDescent="0.15">
      <c r="A104" s="43" t="s">
        <v>89</v>
      </c>
      <c r="B104" s="15"/>
      <c r="C104" s="28"/>
      <c r="D104" s="16"/>
      <c r="E104" s="19"/>
      <c r="F104" s="42">
        <f t="shared" si="88"/>
        <v>0</v>
      </c>
      <c r="G104" s="15"/>
      <c r="H104" s="28">
        <v>1</v>
      </c>
      <c r="I104" s="16"/>
      <c r="J104" s="31"/>
      <c r="K104" s="74">
        <f>SUM(G104:J104)</f>
        <v>1</v>
      </c>
      <c r="L104" s="91">
        <f t="shared" si="92"/>
        <v>1</v>
      </c>
      <c r="M104" s="103">
        <v>45924</v>
      </c>
      <c r="N104" s="43"/>
      <c r="O104" s="15"/>
      <c r="P104" s="28"/>
      <c r="Q104" s="16"/>
      <c r="R104" s="19"/>
      <c r="S104" s="42">
        <f t="shared" si="90"/>
        <v>0</v>
      </c>
      <c r="T104" s="15"/>
      <c r="U104" s="28"/>
      <c r="V104" s="16"/>
      <c r="W104" s="31"/>
      <c r="X104" s="9">
        <f>SUM(T104:W104)</f>
        <v>0</v>
      </c>
      <c r="Y104" s="91">
        <f t="shared" si="93"/>
        <v>0</v>
      </c>
      <c r="Z104" s="105"/>
    </row>
    <row r="105" spans="1:26" x14ac:dyDescent="0.15">
      <c r="A105" s="43" t="s">
        <v>87</v>
      </c>
      <c r="B105" s="15">
        <v>1</v>
      </c>
      <c r="C105" s="28"/>
      <c r="D105" s="16"/>
      <c r="E105" s="19"/>
      <c r="F105" s="42">
        <f t="shared" si="88"/>
        <v>1</v>
      </c>
      <c r="G105" s="15"/>
      <c r="H105" s="16"/>
      <c r="I105" s="28"/>
      <c r="J105" s="48"/>
      <c r="K105" s="74">
        <f t="shared" ref="K105:K111" si="98">SUM(G105:J105)</f>
        <v>0</v>
      </c>
      <c r="L105" s="91">
        <f t="shared" si="92"/>
        <v>1</v>
      </c>
      <c r="M105" s="103">
        <v>45926</v>
      </c>
      <c r="N105" s="43"/>
      <c r="O105" s="15"/>
      <c r="P105" s="28"/>
      <c r="Q105" s="16"/>
      <c r="R105" s="19"/>
      <c r="S105" s="42">
        <f t="shared" si="90"/>
        <v>0</v>
      </c>
      <c r="T105" s="15"/>
      <c r="U105" s="16"/>
      <c r="V105" s="28"/>
      <c r="W105" s="48"/>
      <c r="X105" s="9">
        <f t="shared" ref="X105:X111" si="99">SUM(T105:W105)</f>
        <v>0</v>
      </c>
      <c r="Y105" s="91">
        <f t="shared" si="93"/>
        <v>0</v>
      </c>
      <c r="Z105" s="105"/>
    </row>
    <row r="106" spans="1:26" x14ac:dyDescent="0.15">
      <c r="A106" s="43" t="s">
        <v>41</v>
      </c>
      <c r="B106" s="15"/>
      <c r="C106" s="28"/>
      <c r="D106" s="16"/>
      <c r="E106" s="19">
        <v>1</v>
      </c>
      <c r="F106" s="42">
        <f t="shared" si="88"/>
        <v>1</v>
      </c>
      <c r="G106" s="15"/>
      <c r="H106" s="28"/>
      <c r="I106" s="16"/>
      <c r="J106" s="31"/>
      <c r="K106" s="74">
        <f t="shared" si="98"/>
        <v>0</v>
      </c>
      <c r="L106" s="91">
        <f t="shared" si="92"/>
        <v>1</v>
      </c>
      <c r="M106" s="103">
        <v>45924</v>
      </c>
      <c r="N106" s="43"/>
      <c r="O106" s="15"/>
      <c r="P106" s="28"/>
      <c r="Q106" s="16"/>
      <c r="R106" s="19"/>
      <c r="S106" s="42">
        <f t="shared" ref="S106" si="100">SUM(O106:R106)</f>
        <v>0</v>
      </c>
      <c r="T106" s="15"/>
      <c r="U106" s="16"/>
      <c r="V106" s="28"/>
      <c r="W106" s="48"/>
      <c r="X106" s="9">
        <f t="shared" ref="X106" si="101">SUM(T106:W106)</f>
        <v>0</v>
      </c>
      <c r="Y106" s="91">
        <f t="shared" ref="Y106" si="102">S106+X106</f>
        <v>0</v>
      </c>
      <c r="Z106" s="105"/>
    </row>
    <row r="107" spans="1:26" x14ac:dyDescent="0.15">
      <c r="A107" s="32" t="s">
        <v>90</v>
      </c>
      <c r="B107" s="15">
        <v>-2</v>
      </c>
      <c r="C107" s="28"/>
      <c r="D107" s="16">
        <v>-2</v>
      </c>
      <c r="E107" s="19">
        <v>-2</v>
      </c>
      <c r="F107" s="42">
        <f t="shared" si="88"/>
        <v>-6</v>
      </c>
      <c r="G107" s="38">
        <v>-2</v>
      </c>
      <c r="H107" s="39"/>
      <c r="I107" s="40"/>
      <c r="J107" s="47"/>
      <c r="K107" s="107">
        <f t="shared" si="98"/>
        <v>-2</v>
      </c>
      <c r="L107" s="91">
        <f t="shared" si="92"/>
        <v>-8</v>
      </c>
      <c r="M107" s="103">
        <v>45926</v>
      </c>
      <c r="N107" s="43"/>
      <c r="O107" s="15"/>
      <c r="P107" s="28"/>
      <c r="Q107" s="16"/>
      <c r="R107" s="19"/>
      <c r="S107" s="42">
        <f t="shared" ref="S107:S108" si="103">SUM(O107:R107)</f>
        <v>0</v>
      </c>
      <c r="T107" s="15"/>
      <c r="U107" s="16"/>
      <c r="V107" s="28"/>
      <c r="W107" s="48"/>
      <c r="X107" s="9">
        <f t="shared" ref="X107:X108" si="104">SUM(T107:W107)</f>
        <v>0</v>
      </c>
      <c r="Y107" s="91">
        <f t="shared" ref="Y107:Y108" si="105">S107+X107</f>
        <v>0</v>
      </c>
      <c r="Z107" s="105"/>
    </row>
    <row r="108" spans="1:26" x14ac:dyDescent="0.15">
      <c r="A108" s="43" t="s">
        <v>87</v>
      </c>
      <c r="B108" s="15"/>
      <c r="C108" s="28"/>
      <c r="D108" s="16">
        <v>1</v>
      </c>
      <c r="E108" s="19"/>
      <c r="F108" s="42">
        <f t="shared" si="88"/>
        <v>1</v>
      </c>
      <c r="G108" s="15"/>
      <c r="H108" s="28"/>
      <c r="I108" s="16"/>
      <c r="J108" s="31"/>
      <c r="K108" s="74">
        <f t="shared" si="98"/>
        <v>0</v>
      </c>
      <c r="L108" s="91">
        <f t="shared" si="92"/>
        <v>1</v>
      </c>
      <c r="M108" s="103">
        <v>45926</v>
      </c>
      <c r="N108" s="43" t="s">
        <v>81</v>
      </c>
      <c r="O108" s="15"/>
      <c r="P108" s="28"/>
      <c r="Q108" s="16"/>
      <c r="R108" s="19"/>
      <c r="S108" s="42">
        <f t="shared" si="103"/>
        <v>0</v>
      </c>
      <c r="T108" s="15"/>
      <c r="U108" s="16"/>
      <c r="V108" s="28"/>
      <c r="W108" s="48"/>
      <c r="X108" s="9">
        <f t="shared" si="104"/>
        <v>0</v>
      </c>
      <c r="Y108" s="91">
        <f t="shared" si="105"/>
        <v>0</v>
      </c>
      <c r="Z108" s="105" t="s">
        <v>79</v>
      </c>
    </row>
    <row r="109" spans="1:26" x14ac:dyDescent="0.15">
      <c r="A109" s="43" t="s">
        <v>87</v>
      </c>
      <c r="B109" s="15"/>
      <c r="C109" s="28"/>
      <c r="D109" s="16"/>
      <c r="E109" s="19"/>
      <c r="F109" s="42">
        <f t="shared" si="88"/>
        <v>0</v>
      </c>
      <c r="G109" s="15"/>
      <c r="H109" s="28"/>
      <c r="I109" s="16">
        <v>2</v>
      </c>
      <c r="J109" s="31"/>
      <c r="K109" s="74">
        <f t="shared" si="98"/>
        <v>2</v>
      </c>
      <c r="L109" s="91">
        <f t="shared" si="92"/>
        <v>2</v>
      </c>
      <c r="M109" s="103">
        <v>45929</v>
      </c>
      <c r="N109" s="43" t="s">
        <v>80</v>
      </c>
      <c r="O109" s="15"/>
      <c r="P109" s="28"/>
      <c r="Q109" s="16"/>
      <c r="R109" s="19"/>
      <c r="S109" s="42">
        <f t="shared" ref="S109" si="106">SUM(O109:R109)</f>
        <v>0</v>
      </c>
      <c r="T109" s="15"/>
      <c r="U109" s="16"/>
      <c r="V109" s="28"/>
      <c r="W109" s="48"/>
      <c r="X109" s="9">
        <f t="shared" ref="X109" si="107">SUM(T109:W109)</f>
        <v>0</v>
      </c>
      <c r="Y109" s="91">
        <f t="shared" ref="Y109" si="108">S109+X109</f>
        <v>0</v>
      </c>
      <c r="Z109" s="105" t="s">
        <v>79</v>
      </c>
    </row>
    <row r="110" spans="1:26" ht="14.25" thickBot="1" x14ac:dyDescent="0.2">
      <c r="A110" s="43" t="s">
        <v>91</v>
      </c>
      <c r="B110" s="34"/>
      <c r="C110" s="35"/>
      <c r="D110" s="36"/>
      <c r="E110" s="37"/>
      <c r="F110" s="42">
        <f t="shared" si="88"/>
        <v>0</v>
      </c>
      <c r="G110" s="34"/>
      <c r="H110" s="36"/>
      <c r="I110" s="35"/>
      <c r="J110" s="59">
        <v>-1</v>
      </c>
      <c r="K110" s="75">
        <f t="shared" si="98"/>
        <v>-1</v>
      </c>
      <c r="L110" s="108">
        <f t="shared" si="92"/>
        <v>-1</v>
      </c>
      <c r="M110" s="103">
        <v>45924</v>
      </c>
      <c r="N110" s="124" t="s">
        <v>29</v>
      </c>
      <c r="O110" s="34"/>
      <c r="P110" s="35"/>
      <c r="Q110" s="36"/>
      <c r="R110" s="37"/>
      <c r="S110" s="125">
        <f t="shared" ref="S110" si="109">SUM(O110:R110)</f>
        <v>0</v>
      </c>
      <c r="T110" s="34"/>
      <c r="U110" s="35"/>
      <c r="V110" s="36"/>
      <c r="W110" s="58"/>
      <c r="X110" s="10">
        <f t="shared" ref="X110" si="110">SUM(T110:W110)</f>
        <v>0</v>
      </c>
      <c r="Y110" s="109">
        <f t="shared" ref="Y110" si="111">S110+X110</f>
        <v>0</v>
      </c>
      <c r="Z110" s="105"/>
    </row>
    <row r="111" spans="1:26" ht="14.25" thickBot="1" x14ac:dyDescent="0.2">
      <c r="A111" s="12" t="s">
        <v>8</v>
      </c>
      <c r="B111" s="21">
        <f>SUM(B86:B110)</f>
        <v>1</v>
      </c>
      <c r="C111" s="29">
        <f>SUM(C86:C110)</f>
        <v>4</v>
      </c>
      <c r="D111" s="22">
        <f>SUM(D86:D110)</f>
        <v>0</v>
      </c>
      <c r="E111" s="23">
        <f>SUM(E86:E110)</f>
        <v>1</v>
      </c>
      <c r="F111" s="20">
        <f>SUM(B111:E111)</f>
        <v>6</v>
      </c>
      <c r="G111" s="21">
        <f>SUM(G86:G110)</f>
        <v>3</v>
      </c>
      <c r="H111" s="29">
        <f>SUM(H86:H110)</f>
        <v>3</v>
      </c>
      <c r="I111" s="22">
        <f>SUM(I86:I110)</f>
        <v>7</v>
      </c>
      <c r="J111" s="23">
        <f>SUM(J86:J110)</f>
        <v>5</v>
      </c>
      <c r="K111" s="76">
        <f t="shared" si="98"/>
        <v>18</v>
      </c>
      <c r="L111" s="79">
        <f t="shared" si="92"/>
        <v>24</v>
      </c>
      <c r="N111" s="83" t="s">
        <v>8</v>
      </c>
      <c r="O111" s="21">
        <f>SUM(O86:O110)</f>
        <v>0</v>
      </c>
      <c r="P111" s="29">
        <f>SUM(P86:P110)</f>
        <v>0</v>
      </c>
      <c r="Q111" s="22">
        <f>SUM(Q86:Q110)</f>
        <v>0</v>
      </c>
      <c r="R111" s="23">
        <f>SUM(R86:R110)</f>
        <v>0</v>
      </c>
      <c r="S111" s="44">
        <f>SUM(O111:R111)</f>
        <v>0</v>
      </c>
      <c r="T111" s="21">
        <f>SUM(T86:T110)</f>
        <v>0</v>
      </c>
      <c r="U111" s="29">
        <f>SUM(U86:U110)</f>
        <v>0</v>
      </c>
      <c r="V111" s="22">
        <f>SUM(V86:V110)</f>
        <v>0</v>
      </c>
      <c r="W111" s="23">
        <f>SUM(W86:W110)</f>
        <v>0</v>
      </c>
      <c r="X111" s="44">
        <f t="shared" si="99"/>
        <v>0</v>
      </c>
      <c r="Y111" s="80">
        <f t="shared" si="93"/>
        <v>0</v>
      </c>
    </row>
    <row r="112" spans="1:26" ht="14.25" thickBot="1" x14ac:dyDescent="0.2">
      <c r="A112" s="13" t="s">
        <v>9</v>
      </c>
      <c r="B112" s="24">
        <f t="shared" ref="B112:K112" si="112">B85-B111</f>
        <v>3</v>
      </c>
      <c r="C112" s="30">
        <f t="shared" si="112"/>
        <v>5</v>
      </c>
      <c r="D112" s="25">
        <f t="shared" si="112"/>
        <v>4</v>
      </c>
      <c r="E112" s="26">
        <f t="shared" si="112"/>
        <v>4</v>
      </c>
      <c r="F112" s="66">
        <f t="shared" si="112"/>
        <v>16</v>
      </c>
      <c r="G112" s="24">
        <f t="shared" si="112"/>
        <v>4</v>
      </c>
      <c r="H112" s="30">
        <f t="shared" si="112"/>
        <v>2</v>
      </c>
      <c r="I112" s="25">
        <f t="shared" si="112"/>
        <v>2</v>
      </c>
      <c r="J112" s="26">
        <f t="shared" si="112"/>
        <v>4</v>
      </c>
      <c r="K112" s="77">
        <f t="shared" si="112"/>
        <v>12</v>
      </c>
      <c r="L112" s="80">
        <f t="shared" si="92"/>
        <v>28</v>
      </c>
      <c r="N112" s="13" t="s">
        <v>9</v>
      </c>
      <c r="O112" s="24">
        <f t="shared" ref="O112:X112" si="113">O85-O111</f>
        <v>119</v>
      </c>
      <c r="P112" s="30">
        <f t="shared" si="113"/>
        <v>168</v>
      </c>
      <c r="Q112" s="25">
        <f t="shared" si="113"/>
        <v>188</v>
      </c>
      <c r="R112" s="26">
        <f t="shared" si="113"/>
        <v>141</v>
      </c>
      <c r="S112" s="66">
        <f t="shared" si="113"/>
        <v>616</v>
      </c>
      <c r="T112" s="24">
        <f t="shared" si="113"/>
        <v>47</v>
      </c>
      <c r="U112" s="30">
        <f t="shared" si="113"/>
        <v>59</v>
      </c>
      <c r="V112" s="25">
        <f t="shared" si="113"/>
        <v>59</v>
      </c>
      <c r="W112" s="26">
        <f t="shared" si="113"/>
        <v>51</v>
      </c>
      <c r="X112" s="33">
        <f t="shared" si="113"/>
        <v>216</v>
      </c>
      <c r="Y112" s="80">
        <f t="shared" si="93"/>
        <v>832</v>
      </c>
    </row>
    <row r="115" spans="1:27" ht="19.5" thickBot="1" x14ac:dyDescent="0.25">
      <c r="A115" s="2" t="s">
        <v>21</v>
      </c>
      <c r="B115" s="2"/>
      <c r="C115" s="1"/>
      <c r="D115" s="1"/>
      <c r="E115" s="1"/>
      <c r="F115" s="67" t="s">
        <v>86</v>
      </c>
      <c r="H115" s="1"/>
      <c r="I115" s="1"/>
      <c r="J115" s="1"/>
      <c r="K115" s="67"/>
      <c r="N115" s="2" t="s">
        <v>22</v>
      </c>
      <c r="O115" s="2"/>
      <c r="P115" s="1"/>
      <c r="Q115" s="1"/>
      <c r="R115" s="67" t="s">
        <v>85</v>
      </c>
      <c r="U115" s="1"/>
      <c r="V115" s="1"/>
      <c r="W115" s="1"/>
      <c r="X115" s="67" t="s">
        <v>20</v>
      </c>
    </row>
    <row r="116" spans="1:27" ht="14.25" thickBot="1" x14ac:dyDescent="0.2">
      <c r="A116" s="5" t="s">
        <v>0</v>
      </c>
      <c r="B116" s="184" t="s">
        <v>18</v>
      </c>
      <c r="C116" s="185"/>
      <c r="D116" s="185"/>
      <c r="E116" s="185"/>
      <c r="F116" s="186"/>
      <c r="G116" s="187" t="s">
        <v>19</v>
      </c>
      <c r="H116" s="188"/>
      <c r="I116" s="188"/>
      <c r="J116" s="188"/>
      <c r="K116" s="188"/>
      <c r="L116" s="182" t="s">
        <v>13</v>
      </c>
      <c r="N116" s="5" t="s">
        <v>0</v>
      </c>
      <c r="O116" s="184" t="s">
        <v>39</v>
      </c>
      <c r="P116" s="185"/>
      <c r="Q116" s="185"/>
      <c r="R116" s="185"/>
      <c r="S116" s="186"/>
      <c r="T116" s="187" t="s">
        <v>40</v>
      </c>
      <c r="U116" s="188"/>
      <c r="V116" s="188"/>
      <c r="W116" s="188"/>
      <c r="X116" s="188"/>
      <c r="Y116" s="182" t="s">
        <v>13</v>
      </c>
    </row>
    <row r="117" spans="1:27" ht="14.25" thickBot="1" x14ac:dyDescent="0.2">
      <c r="A117" s="5" t="s">
        <v>1</v>
      </c>
      <c r="B117" s="3" t="s">
        <v>14</v>
      </c>
      <c r="C117" s="27" t="s">
        <v>15</v>
      </c>
      <c r="D117" s="4" t="s">
        <v>16</v>
      </c>
      <c r="E117" s="14" t="s">
        <v>17</v>
      </c>
      <c r="F117" s="18" t="s">
        <v>2</v>
      </c>
      <c r="G117" s="3" t="s">
        <v>14</v>
      </c>
      <c r="H117" s="27" t="s">
        <v>15</v>
      </c>
      <c r="I117" s="4" t="s">
        <v>16</v>
      </c>
      <c r="J117" s="14" t="s">
        <v>17</v>
      </c>
      <c r="K117" s="68" t="s">
        <v>2</v>
      </c>
      <c r="L117" s="183"/>
      <c r="N117" s="5" t="s">
        <v>1</v>
      </c>
      <c r="O117" s="3" t="s">
        <v>14</v>
      </c>
      <c r="P117" s="27" t="s">
        <v>15</v>
      </c>
      <c r="Q117" s="4" t="s">
        <v>16</v>
      </c>
      <c r="R117" s="14" t="s">
        <v>17</v>
      </c>
      <c r="S117" s="18" t="s">
        <v>2</v>
      </c>
      <c r="T117" s="3" t="s">
        <v>14</v>
      </c>
      <c r="U117" s="27" t="s">
        <v>15</v>
      </c>
      <c r="V117" s="4" t="s">
        <v>16</v>
      </c>
      <c r="W117" s="14" t="s">
        <v>17</v>
      </c>
      <c r="X117" s="68" t="s">
        <v>2</v>
      </c>
      <c r="Y117" s="183"/>
    </row>
    <row r="118" spans="1:27" x14ac:dyDescent="0.15">
      <c r="A118" s="61" t="s">
        <v>10</v>
      </c>
      <c r="B118" s="62">
        <f>B112</f>
        <v>3</v>
      </c>
      <c r="C118" s="63">
        <f>C112</f>
        <v>5</v>
      </c>
      <c r="D118" s="63">
        <f>D112</f>
        <v>4</v>
      </c>
      <c r="E118" s="64">
        <f>E112</f>
        <v>4</v>
      </c>
      <c r="F118" s="65">
        <f>SUM(B118:E118)</f>
        <v>16</v>
      </c>
      <c r="G118" s="62">
        <f>G112</f>
        <v>4</v>
      </c>
      <c r="H118" s="63">
        <f>H112</f>
        <v>2</v>
      </c>
      <c r="I118" s="63">
        <f>I112</f>
        <v>2</v>
      </c>
      <c r="J118" s="64">
        <f>J112</f>
        <v>4</v>
      </c>
      <c r="K118" s="69">
        <f>SUM(G118:J118)</f>
        <v>12</v>
      </c>
      <c r="L118" s="78">
        <f>F118+K118</f>
        <v>28</v>
      </c>
      <c r="N118" s="61" t="s">
        <v>10</v>
      </c>
      <c r="O118" s="62">
        <f>O112</f>
        <v>119</v>
      </c>
      <c r="P118" s="63">
        <f>P112</f>
        <v>168</v>
      </c>
      <c r="Q118" s="63">
        <f>Q112</f>
        <v>188</v>
      </c>
      <c r="R118" s="64">
        <f>R112</f>
        <v>141</v>
      </c>
      <c r="S118" s="65">
        <f>SUM(O118:R118)</f>
        <v>616</v>
      </c>
      <c r="T118" s="62">
        <f>T112</f>
        <v>47</v>
      </c>
      <c r="U118" s="63">
        <f>U112</f>
        <v>59</v>
      </c>
      <c r="V118" s="63">
        <f>V112</f>
        <v>59</v>
      </c>
      <c r="W118" s="81">
        <f>W112</f>
        <v>51</v>
      </c>
      <c r="X118" s="82">
        <f>SUM(T118:W118)</f>
        <v>216</v>
      </c>
      <c r="Y118" s="78">
        <f>S118+X118</f>
        <v>832</v>
      </c>
    </row>
    <row r="119" spans="1:27" x14ac:dyDescent="0.15">
      <c r="A119" s="11" t="s">
        <v>3</v>
      </c>
      <c r="B119" s="127"/>
      <c r="C119" s="128"/>
      <c r="D119" s="129"/>
      <c r="E119" s="130"/>
      <c r="F119" s="49">
        <f>SUM(B119:E119)</f>
        <v>0</v>
      </c>
      <c r="G119" s="38"/>
      <c r="H119" s="39">
        <v>5</v>
      </c>
      <c r="I119" s="40">
        <v>3</v>
      </c>
      <c r="J119" s="41"/>
      <c r="K119" s="70">
        <f>SUM(G119:J119)</f>
        <v>8</v>
      </c>
      <c r="L119" s="91">
        <f t="shared" ref="L119:L120" si="114">F119+K119</f>
        <v>8</v>
      </c>
      <c r="M119" s="103">
        <v>45937</v>
      </c>
      <c r="N119" s="43" t="s">
        <v>92</v>
      </c>
      <c r="O119" s="38">
        <v>8</v>
      </c>
      <c r="P119" s="39"/>
      <c r="Q119" s="40"/>
      <c r="R119" s="47"/>
      <c r="S119" s="49">
        <f t="shared" ref="S119:S120" si="115">SUM(O119:R119)</f>
        <v>8</v>
      </c>
      <c r="T119" s="38">
        <v>6</v>
      </c>
      <c r="U119" s="39"/>
      <c r="V119" s="40"/>
      <c r="W119" s="47"/>
      <c r="X119" s="49">
        <f t="shared" ref="X119:X120" si="116">SUM(T119:W119)</f>
        <v>6</v>
      </c>
      <c r="Y119" s="91">
        <f t="shared" ref="Y119:Y120" si="117">S119+X119</f>
        <v>14</v>
      </c>
      <c r="Z119" s="104">
        <v>45947</v>
      </c>
    </row>
    <row r="120" spans="1:27" x14ac:dyDescent="0.15">
      <c r="A120" s="131" t="s">
        <v>4</v>
      </c>
      <c r="B120" s="132"/>
      <c r="C120" s="133"/>
      <c r="D120" s="134"/>
      <c r="E120" s="135"/>
      <c r="F120" s="136">
        <f>SUM(B120:E120)</f>
        <v>0</v>
      </c>
      <c r="G120" s="137"/>
      <c r="H120" s="138">
        <v>3</v>
      </c>
      <c r="I120" s="139"/>
      <c r="J120" s="140"/>
      <c r="K120" s="141">
        <f>SUM(G120:J120)</f>
        <v>3</v>
      </c>
      <c r="L120" s="142">
        <f t="shared" si="114"/>
        <v>3</v>
      </c>
      <c r="M120" s="143">
        <v>45944</v>
      </c>
      <c r="N120" s="43" t="s">
        <v>4</v>
      </c>
      <c r="O120" s="38"/>
      <c r="P120" s="39"/>
      <c r="Q120" s="40"/>
      <c r="R120" s="47"/>
      <c r="S120" s="49">
        <f t="shared" si="115"/>
        <v>0</v>
      </c>
      <c r="T120" s="38"/>
      <c r="U120" s="39"/>
      <c r="V120" s="40"/>
      <c r="W120" s="47"/>
      <c r="X120" s="49">
        <f t="shared" si="116"/>
        <v>0</v>
      </c>
      <c r="Y120" s="91">
        <f t="shared" si="117"/>
        <v>0</v>
      </c>
    </row>
    <row r="121" spans="1:27" x14ac:dyDescent="0.15">
      <c r="A121" s="131" t="s">
        <v>5</v>
      </c>
      <c r="B121" s="137"/>
      <c r="C121" s="138"/>
      <c r="D121" s="139"/>
      <c r="E121" s="140">
        <v>3</v>
      </c>
      <c r="F121" s="136">
        <f t="shared" ref="F121" si="118">SUM(B121:E121)</f>
        <v>3</v>
      </c>
      <c r="G121" s="137"/>
      <c r="H121" s="138"/>
      <c r="I121" s="139"/>
      <c r="J121" s="146"/>
      <c r="K121" s="148">
        <f>SUM(G121:J121)</f>
        <v>0</v>
      </c>
      <c r="L121" s="142">
        <f>F121+K121</f>
        <v>3</v>
      </c>
      <c r="M121" s="143">
        <v>45953</v>
      </c>
      <c r="N121" s="43" t="s">
        <v>5</v>
      </c>
      <c r="O121" s="38"/>
      <c r="P121" s="39"/>
      <c r="Q121" s="40"/>
      <c r="R121" s="47"/>
      <c r="S121" s="49">
        <f t="shared" ref="S121" si="119">SUM(O121:R121)</f>
        <v>0</v>
      </c>
      <c r="T121" s="38"/>
      <c r="U121" s="39"/>
      <c r="V121" s="40"/>
      <c r="W121" s="47"/>
      <c r="X121" s="49">
        <f t="shared" ref="X121" si="120">SUM(T121:W121)</f>
        <v>0</v>
      </c>
      <c r="Y121" s="91">
        <f t="shared" ref="Y121:Y122" si="121">S121+X121</f>
        <v>0</v>
      </c>
    </row>
    <row r="122" spans="1:27" ht="14.25" thickBot="1" x14ac:dyDescent="0.2">
      <c r="A122" s="131" t="s">
        <v>6</v>
      </c>
      <c r="B122" s="132"/>
      <c r="C122" s="133"/>
      <c r="D122" s="134">
        <v>3</v>
      </c>
      <c r="E122" s="135"/>
      <c r="F122" s="150">
        <f>SUM(B122:E122)</f>
        <v>3</v>
      </c>
      <c r="G122" s="151"/>
      <c r="H122" s="152"/>
      <c r="I122" s="153"/>
      <c r="J122" s="154">
        <v>3</v>
      </c>
      <c r="K122" s="155">
        <f>SUM(G122:J122)</f>
        <v>3</v>
      </c>
      <c r="L122" s="142">
        <f t="shared" ref="L122" si="122">F122+K122</f>
        <v>6</v>
      </c>
      <c r="M122" s="143">
        <v>45957</v>
      </c>
      <c r="N122" s="43" t="s">
        <v>6</v>
      </c>
      <c r="O122" s="15"/>
      <c r="P122" s="28"/>
      <c r="Q122" s="16"/>
      <c r="R122" s="31"/>
      <c r="S122" s="9">
        <f>SUM(O122:R122)</f>
        <v>0</v>
      </c>
      <c r="T122" s="15"/>
      <c r="U122" s="28"/>
      <c r="V122" s="16"/>
      <c r="W122" s="31"/>
      <c r="X122" s="9">
        <f>SUM(T122:W122)</f>
        <v>0</v>
      </c>
      <c r="Y122" s="91">
        <f t="shared" si="121"/>
        <v>0</v>
      </c>
    </row>
    <row r="123" spans="1:27" ht="14.25" thickBot="1" x14ac:dyDescent="0.2">
      <c r="A123" s="13" t="s">
        <v>7</v>
      </c>
      <c r="B123" s="50">
        <f t="shared" ref="B123:K123" si="123">SUM(B118:B122)</f>
        <v>3</v>
      </c>
      <c r="C123" s="51">
        <f t="shared" si="123"/>
        <v>5</v>
      </c>
      <c r="D123" s="52">
        <f t="shared" si="123"/>
        <v>7</v>
      </c>
      <c r="E123" s="53">
        <f t="shared" si="123"/>
        <v>7</v>
      </c>
      <c r="F123" s="54">
        <f t="shared" si="123"/>
        <v>22</v>
      </c>
      <c r="G123" s="24">
        <f t="shared" si="123"/>
        <v>4</v>
      </c>
      <c r="H123" s="30">
        <f t="shared" si="123"/>
        <v>10</v>
      </c>
      <c r="I123" s="25">
        <f t="shared" si="123"/>
        <v>5</v>
      </c>
      <c r="J123" s="55">
        <f t="shared" si="123"/>
        <v>7</v>
      </c>
      <c r="K123" s="73">
        <f t="shared" si="123"/>
        <v>26</v>
      </c>
      <c r="L123" s="79">
        <f>F123+K123</f>
        <v>48</v>
      </c>
      <c r="N123" s="13" t="s">
        <v>7</v>
      </c>
      <c r="O123" s="24">
        <f t="shared" ref="O123:X123" si="124">SUM(O118:O122)</f>
        <v>127</v>
      </c>
      <c r="P123" s="30">
        <f t="shared" si="124"/>
        <v>168</v>
      </c>
      <c r="Q123" s="25">
        <f t="shared" si="124"/>
        <v>188</v>
      </c>
      <c r="R123" s="55">
        <f t="shared" si="124"/>
        <v>141</v>
      </c>
      <c r="S123" s="54">
        <f t="shared" si="124"/>
        <v>624</v>
      </c>
      <c r="T123" s="24">
        <f t="shared" si="124"/>
        <v>53</v>
      </c>
      <c r="U123" s="30">
        <f t="shared" si="124"/>
        <v>59</v>
      </c>
      <c r="V123" s="25">
        <f t="shared" si="124"/>
        <v>59</v>
      </c>
      <c r="W123" s="55">
        <f t="shared" si="124"/>
        <v>51</v>
      </c>
      <c r="X123" s="56">
        <f t="shared" si="124"/>
        <v>222</v>
      </c>
      <c r="Y123" s="79">
        <f>S123+X123</f>
        <v>846</v>
      </c>
    </row>
    <row r="124" spans="1:27" x14ac:dyDescent="0.15">
      <c r="A124" s="43" t="s">
        <v>41</v>
      </c>
      <c r="B124" s="15"/>
      <c r="C124" s="28"/>
      <c r="D124" s="16"/>
      <c r="E124" s="19"/>
      <c r="F124" s="42">
        <f t="shared" ref="F124:F126" si="125">SUM(B124:E124)</f>
        <v>0</v>
      </c>
      <c r="G124" s="15"/>
      <c r="H124" s="28"/>
      <c r="I124" s="16"/>
      <c r="J124" s="31">
        <v>1</v>
      </c>
      <c r="K124" s="74">
        <f t="shared" ref="K124:K126" si="126">SUM(G124:J124)</f>
        <v>1</v>
      </c>
      <c r="L124" s="91">
        <f t="shared" ref="L124:L126" si="127">F124+K124</f>
        <v>1</v>
      </c>
      <c r="M124" s="103">
        <v>45926</v>
      </c>
      <c r="N124" s="43" t="s">
        <v>93</v>
      </c>
      <c r="O124" s="38"/>
      <c r="P124" s="39"/>
      <c r="Q124" s="40"/>
      <c r="R124" s="41"/>
      <c r="S124" s="57">
        <f t="shared" ref="S124:S145" si="128">SUM(O124:R124)</f>
        <v>0</v>
      </c>
      <c r="T124" s="15"/>
      <c r="U124" s="28">
        <v>5</v>
      </c>
      <c r="V124" s="16">
        <v>3</v>
      </c>
      <c r="W124" s="31"/>
      <c r="X124" s="9">
        <f t="shared" ref="X124:X129" si="129">SUM(T124:W124)</f>
        <v>8</v>
      </c>
      <c r="Y124" s="106">
        <f>S124+X124</f>
        <v>8</v>
      </c>
      <c r="Z124" s="104">
        <v>45937</v>
      </c>
    </row>
    <row r="125" spans="1:27" x14ac:dyDescent="0.15">
      <c r="A125" s="43" t="s">
        <v>87</v>
      </c>
      <c r="B125" s="15"/>
      <c r="C125" s="28"/>
      <c r="D125" s="16"/>
      <c r="E125" s="19"/>
      <c r="F125" s="42">
        <f t="shared" si="125"/>
        <v>0</v>
      </c>
      <c r="G125" s="15"/>
      <c r="H125" s="28">
        <v>1</v>
      </c>
      <c r="I125" s="16"/>
      <c r="J125" s="31"/>
      <c r="K125" s="74">
        <f t="shared" si="126"/>
        <v>1</v>
      </c>
      <c r="L125" s="91">
        <f t="shared" si="127"/>
        <v>1</v>
      </c>
      <c r="M125" s="103">
        <v>45933</v>
      </c>
      <c r="N125" s="144" t="s">
        <v>38</v>
      </c>
      <c r="O125" s="137"/>
      <c r="P125" s="138"/>
      <c r="Q125" s="139"/>
      <c r="R125" s="140"/>
      <c r="S125" s="145">
        <f t="shared" si="128"/>
        <v>0</v>
      </c>
      <c r="T125" s="137"/>
      <c r="U125" s="138">
        <v>3</v>
      </c>
      <c r="V125" s="139"/>
      <c r="W125" s="146"/>
      <c r="X125" s="136">
        <f t="shared" si="129"/>
        <v>3</v>
      </c>
      <c r="Y125" s="142">
        <f>S125+X125</f>
        <v>3</v>
      </c>
      <c r="Z125" s="147">
        <v>45944</v>
      </c>
    </row>
    <row r="126" spans="1:27" x14ac:dyDescent="0.15">
      <c r="A126" s="43" t="s">
        <v>87</v>
      </c>
      <c r="B126" s="15"/>
      <c r="C126" s="28">
        <v>1</v>
      </c>
      <c r="D126" s="16"/>
      <c r="E126" s="19"/>
      <c r="F126" s="42">
        <f t="shared" si="125"/>
        <v>1</v>
      </c>
      <c r="G126" s="15"/>
      <c r="H126" s="28"/>
      <c r="I126" s="16"/>
      <c r="J126" s="31"/>
      <c r="K126" s="74">
        <f t="shared" si="126"/>
        <v>0</v>
      </c>
      <c r="L126" s="91">
        <f t="shared" si="127"/>
        <v>1</v>
      </c>
      <c r="M126" s="103">
        <v>45933</v>
      </c>
      <c r="N126" s="43" t="s">
        <v>87</v>
      </c>
      <c r="O126" s="15"/>
      <c r="P126" s="28"/>
      <c r="Q126" s="16"/>
      <c r="R126" s="19">
        <v>2</v>
      </c>
      <c r="S126" s="42">
        <f t="shared" si="128"/>
        <v>2</v>
      </c>
      <c r="T126" s="15"/>
      <c r="U126" s="28"/>
      <c r="V126" s="16"/>
      <c r="W126" s="31"/>
      <c r="X126" s="9">
        <f t="shared" si="129"/>
        <v>0</v>
      </c>
      <c r="Y126" s="91">
        <f>S126+X126</f>
        <v>2</v>
      </c>
      <c r="Z126" s="104">
        <v>45953</v>
      </c>
    </row>
    <row r="127" spans="1:27" x14ac:dyDescent="0.15">
      <c r="A127" s="43" t="s">
        <v>87</v>
      </c>
      <c r="B127" s="15"/>
      <c r="C127" s="28">
        <v>1</v>
      </c>
      <c r="D127" s="16"/>
      <c r="E127" s="19"/>
      <c r="F127" s="42">
        <f t="shared" ref="F127:F148" si="130">SUM(B127:E127)</f>
        <v>1</v>
      </c>
      <c r="G127" s="15"/>
      <c r="H127" s="28">
        <v>1</v>
      </c>
      <c r="I127" s="16"/>
      <c r="J127" s="31"/>
      <c r="K127" s="74">
        <f t="shared" ref="K127:K128" si="131">SUM(G127:J127)</f>
        <v>1</v>
      </c>
      <c r="L127" s="91">
        <f t="shared" ref="L127:L150" si="132">F127+K127</f>
        <v>2</v>
      </c>
      <c r="M127" s="103">
        <v>45936</v>
      </c>
      <c r="N127" s="144" t="s">
        <v>38</v>
      </c>
      <c r="O127" s="137"/>
      <c r="P127" s="138"/>
      <c r="Q127" s="139"/>
      <c r="R127" s="140">
        <v>3</v>
      </c>
      <c r="S127" s="145">
        <f t="shared" si="128"/>
        <v>3</v>
      </c>
      <c r="T127" s="137"/>
      <c r="U127" s="138"/>
      <c r="V127" s="139"/>
      <c r="W127" s="146"/>
      <c r="X127" s="136">
        <f t="shared" si="129"/>
        <v>0</v>
      </c>
      <c r="Y127" s="142">
        <f t="shared" ref="Y127:Y150" si="133">S127+X127</f>
        <v>3</v>
      </c>
      <c r="Z127" s="147">
        <v>45953</v>
      </c>
    </row>
    <row r="128" spans="1:27" x14ac:dyDescent="0.15">
      <c r="A128" s="43" t="s">
        <v>41</v>
      </c>
      <c r="B128" s="15"/>
      <c r="C128" s="28"/>
      <c r="D128" s="16"/>
      <c r="E128" s="19">
        <v>1</v>
      </c>
      <c r="F128" s="42">
        <f t="shared" si="130"/>
        <v>1</v>
      </c>
      <c r="G128" s="15"/>
      <c r="H128" s="28"/>
      <c r="I128" s="16"/>
      <c r="J128" s="31"/>
      <c r="K128" s="74">
        <f t="shared" si="131"/>
        <v>0</v>
      </c>
      <c r="L128" s="91">
        <f t="shared" si="132"/>
        <v>1</v>
      </c>
      <c r="M128" s="103">
        <v>45933</v>
      </c>
      <c r="N128" s="43" t="s">
        <v>87</v>
      </c>
      <c r="O128" s="15"/>
      <c r="P128" s="28"/>
      <c r="Q128" s="16"/>
      <c r="R128" s="19"/>
      <c r="S128" s="42">
        <f t="shared" si="128"/>
        <v>0</v>
      </c>
      <c r="T128" s="15"/>
      <c r="U128" s="28">
        <v>2</v>
      </c>
      <c r="V128" s="16">
        <v>2</v>
      </c>
      <c r="W128" s="31">
        <v>1</v>
      </c>
      <c r="X128" s="9">
        <f t="shared" si="129"/>
        <v>5</v>
      </c>
      <c r="Y128" s="91">
        <f t="shared" si="133"/>
        <v>5</v>
      </c>
      <c r="Z128" s="104">
        <v>45954</v>
      </c>
      <c r="AA128" s="105"/>
    </row>
    <row r="129" spans="1:26" x14ac:dyDescent="0.15">
      <c r="A129" s="43" t="s">
        <v>87</v>
      </c>
      <c r="B129" s="15"/>
      <c r="C129" s="28"/>
      <c r="D129" s="16">
        <v>1</v>
      </c>
      <c r="E129" s="19"/>
      <c r="F129" s="42"/>
      <c r="G129" s="15"/>
      <c r="H129" s="28">
        <v>2</v>
      </c>
      <c r="I129" s="16"/>
      <c r="J129" s="31"/>
      <c r="K129" s="74"/>
      <c r="L129" s="91"/>
      <c r="M129" s="103">
        <v>45939</v>
      </c>
      <c r="N129" s="144" t="s">
        <v>38</v>
      </c>
      <c r="O129" s="137"/>
      <c r="P129" s="138"/>
      <c r="Q129" s="139">
        <v>3</v>
      </c>
      <c r="R129" s="140"/>
      <c r="S129" s="145">
        <f t="shared" si="128"/>
        <v>3</v>
      </c>
      <c r="T129" s="137"/>
      <c r="U129" s="138"/>
      <c r="V129" s="139"/>
      <c r="W129" s="146">
        <v>3</v>
      </c>
      <c r="X129" s="136">
        <f t="shared" si="129"/>
        <v>3</v>
      </c>
      <c r="Y129" s="142">
        <f t="shared" si="133"/>
        <v>6</v>
      </c>
      <c r="Z129" s="147">
        <v>45957</v>
      </c>
    </row>
    <row r="130" spans="1:26" x14ac:dyDescent="0.15">
      <c r="A130" s="43" t="s">
        <v>87</v>
      </c>
      <c r="B130" s="15"/>
      <c r="C130" s="28"/>
      <c r="D130" s="16"/>
      <c r="E130" s="19">
        <v>1</v>
      </c>
      <c r="F130" s="42">
        <f t="shared" si="130"/>
        <v>1</v>
      </c>
      <c r="G130" s="15"/>
      <c r="H130" s="28">
        <v>1</v>
      </c>
      <c r="I130" s="16">
        <v>1</v>
      </c>
      <c r="J130" s="31"/>
      <c r="K130" s="74">
        <f>SUM(G130:J130)</f>
        <v>2</v>
      </c>
      <c r="L130" s="91">
        <f t="shared" si="132"/>
        <v>3</v>
      </c>
      <c r="M130" s="103">
        <v>45940</v>
      </c>
      <c r="N130" s="144" t="s">
        <v>38</v>
      </c>
      <c r="O130" s="137"/>
      <c r="P130" s="138">
        <v>2</v>
      </c>
      <c r="Q130" s="139"/>
      <c r="R130" s="140">
        <v>2</v>
      </c>
      <c r="S130" s="145">
        <f t="shared" si="128"/>
        <v>4</v>
      </c>
      <c r="T130" s="137">
        <v>2</v>
      </c>
      <c r="U130" s="138"/>
      <c r="V130" s="139"/>
      <c r="W130" s="146"/>
      <c r="X130" s="136">
        <f>SUM(T130:W130)</f>
        <v>2</v>
      </c>
      <c r="Y130" s="142">
        <f t="shared" si="133"/>
        <v>6</v>
      </c>
      <c r="Z130" s="147">
        <v>46029</v>
      </c>
    </row>
    <row r="131" spans="1:26" x14ac:dyDescent="0.15">
      <c r="A131" s="43" t="s">
        <v>41</v>
      </c>
      <c r="B131" s="15"/>
      <c r="C131" s="28"/>
      <c r="D131" s="16"/>
      <c r="E131" s="19"/>
      <c r="F131" s="42">
        <f t="shared" si="130"/>
        <v>0</v>
      </c>
      <c r="G131" s="15"/>
      <c r="H131" s="28"/>
      <c r="I131" s="16"/>
      <c r="J131" s="31">
        <v>1</v>
      </c>
      <c r="K131" s="74">
        <f t="shared" ref="K131:K135" si="134">SUM(G131:J131)</f>
        <v>1</v>
      </c>
      <c r="L131" s="91">
        <f t="shared" si="132"/>
        <v>1</v>
      </c>
      <c r="M131" s="103">
        <v>45939</v>
      </c>
      <c r="N131" s="144" t="s">
        <v>38</v>
      </c>
      <c r="O131" s="137"/>
      <c r="P131" s="138"/>
      <c r="Q131" s="139"/>
      <c r="R131" s="140"/>
      <c r="S131" s="145">
        <f t="shared" si="128"/>
        <v>0</v>
      </c>
      <c r="T131" s="137"/>
      <c r="U131" s="138">
        <v>2</v>
      </c>
      <c r="V131" s="139"/>
      <c r="W131" s="146">
        <v>2</v>
      </c>
      <c r="X131" s="136">
        <f t="shared" ref="X131:X135" si="135">SUM(T131:W131)</f>
        <v>4</v>
      </c>
      <c r="Y131" s="142">
        <f t="shared" si="133"/>
        <v>4</v>
      </c>
      <c r="Z131" s="147">
        <v>46079</v>
      </c>
    </row>
    <row r="132" spans="1:26" x14ac:dyDescent="0.15">
      <c r="A132" s="43" t="s">
        <v>87</v>
      </c>
      <c r="B132" s="15"/>
      <c r="C132" s="28"/>
      <c r="D132" s="16"/>
      <c r="E132" s="19"/>
      <c r="F132" s="42">
        <f t="shared" si="130"/>
        <v>0</v>
      </c>
      <c r="G132" s="15"/>
      <c r="H132" s="28">
        <v>1</v>
      </c>
      <c r="I132" s="16"/>
      <c r="J132" s="31"/>
      <c r="K132" s="74">
        <f t="shared" si="134"/>
        <v>1</v>
      </c>
      <c r="L132" s="91">
        <f t="shared" si="132"/>
        <v>1</v>
      </c>
      <c r="M132" s="103">
        <v>45944</v>
      </c>
      <c r="N132" s="144" t="s">
        <v>38</v>
      </c>
      <c r="O132" s="15"/>
      <c r="P132" s="28"/>
      <c r="Q132" s="16"/>
      <c r="R132" s="19">
        <v>2</v>
      </c>
      <c r="S132" s="42">
        <f t="shared" si="128"/>
        <v>2</v>
      </c>
      <c r="T132" s="15"/>
      <c r="U132" s="28"/>
      <c r="V132" s="16"/>
      <c r="W132" s="31"/>
      <c r="X132" s="9">
        <f t="shared" si="135"/>
        <v>0</v>
      </c>
      <c r="Y132" s="91">
        <f t="shared" si="133"/>
        <v>2</v>
      </c>
      <c r="Z132" s="167">
        <v>46112</v>
      </c>
    </row>
    <row r="133" spans="1:26" x14ac:dyDescent="0.15">
      <c r="A133" s="43" t="s">
        <v>41</v>
      </c>
      <c r="B133" s="15"/>
      <c r="C133" s="28"/>
      <c r="D133" s="16"/>
      <c r="E133" s="19">
        <v>1</v>
      </c>
      <c r="F133" s="42">
        <f t="shared" si="130"/>
        <v>1</v>
      </c>
      <c r="G133" s="15"/>
      <c r="H133" s="28"/>
      <c r="I133" s="16"/>
      <c r="J133" s="31"/>
      <c r="K133" s="74">
        <f t="shared" si="134"/>
        <v>0</v>
      </c>
      <c r="L133" s="91">
        <f t="shared" si="132"/>
        <v>1</v>
      </c>
      <c r="M133" s="103">
        <v>45948</v>
      </c>
      <c r="N133" s="144" t="s">
        <v>38</v>
      </c>
      <c r="O133" s="137"/>
      <c r="P133" s="138"/>
      <c r="Q133" s="139"/>
      <c r="R133" s="140">
        <v>2</v>
      </c>
      <c r="S133" s="145">
        <f t="shared" si="128"/>
        <v>2</v>
      </c>
      <c r="T133" s="137">
        <v>2</v>
      </c>
      <c r="U133" s="138">
        <v>2</v>
      </c>
      <c r="V133" s="139"/>
      <c r="W133" s="146"/>
      <c r="X133" s="136">
        <f t="shared" si="135"/>
        <v>4</v>
      </c>
      <c r="Y133" s="142">
        <f t="shared" si="133"/>
        <v>6</v>
      </c>
      <c r="Z133" s="147">
        <v>46119</v>
      </c>
    </row>
    <row r="134" spans="1:26" x14ac:dyDescent="0.15">
      <c r="A134" s="43" t="s">
        <v>87</v>
      </c>
      <c r="B134" s="15"/>
      <c r="C134" s="28"/>
      <c r="D134" s="16"/>
      <c r="E134" s="19">
        <v>1</v>
      </c>
      <c r="F134" s="42">
        <f t="shared" si="130"/>
        <v>1</v>
      </c>
      <c r="G134" s="15"/>
      <c r="H134" s="28"/>
      <c r="I134" s="16"/>
      <c r="J134" s="31"/>
      <c r="K134" s="74">
        <f t="shared" si="134"/>
        <v>0</v>
      </c>
      <c r="L134" s="91">
        <f t="shared" si="132"/>
        <v>1</v>
      </c>
      <c r="M134" s="103">
        <v>45954</v>
      </c>
      <c r="N134" s="144" t="s">
        <v>38</v>
      </c>
      <c r="O134" s="137"/>
      <c r="P134" s="138">
        <v>2</v>
      </c>
      <c r="Q134" s="139"/>
      <c r="R134" s="140"/>
      <c r="S134" s="145">
        <f t="shared" si="128"/>
        <v>2</v>
      </c>
      <c r="T134" s="137"/>
      <c r="U134" s="138"/>
      <c r="V134" s="139"/>
      <c r="W134" s="146">
        <v>2</v>
      </c>
      <c r="X134" s="136">
        <f t="shared" si="135"/>
        <v>2</v>
      </c>
      <c r="Y134" s="142">
        <f t="shared" si="133"/>
        <v>4</v>
      </c>
      <c r="Z134" s="147">
        <v>46120</v>
      </c>
    </row>
    <row r="135" spans="1:26" x14ac:dyDescent="0.15">
      <c r="A135" s="43" t="s">
        <v>94</v>
      </c>
      <c r="B135" s="15"/>
      <c r="C135" s="28"/>
      <c r="D135" s="16">
        <v>1</v>
      </c>
      <c r="E135" s="19">
        <v>-1</v>
      </c>
      <c r="F135" s="42">
        <f t="shared" si="130"/>
        <v>0</v>
      </c>
      <c r="G135" s="15"/>
      <c r="H135" s="28"/>
      <c r="I135" s="16"/>
      <c r="J135" s="31"/>
      <c r="K135" s="74">
        <f t="shared" si="134"/>
        <v>0</v>
      </c>
      <c r="L135" s="91">
        <f t="shared" si="132"/>
        <v>0</v>
      </c>
      <c r="M135" s="149">
        <v>45953</v>
      </c>
      <c r="N135" s="144" t="s">
        <v>38</v>
      </c>
      <c r="O135" s="137"/>
      <c r="P135" s="138">
        <v>2</v>
      </c>
      <c r="Q135" s="139"/>
      <c r="R135" s="140"/>
      <c r="S135" s="145">
        <f t="shared" si="128"/>
        <v>2</v>
      </c>
      <c r="T135" s="137"/>
      <c r="U135" s="138"/>
      <c r="V135" s="139"/>
      <c r="W135" s="146"/>
      <c r="X135" s="136">
        <f t="shared" si="135"/>
        <v>0</v>
      </c>
      <c r="Y135" s="142">
        <f t="shared" si="133"/>
        <v>2</v>
      </c>
      <c r="Z135" s="147">
        <v>46136</v>
      </c>
    </row>
    <row r="136" spans="1:26" x14ac:dyDescent="0.15">
      <c r="A136" s="43" t="s">
        <v>41</v>
      </c>
      <c r="B136" s="15"/>
      <c r="C136" s="28"/>
      <c r="D136" s="16"/>
      <c r="E136" s="19"/>
      <c r="F136" s="42">
        <f t="shared" si="130"/>
        <v>0</v>
      </c>
      <c r="G136" s="15"/>
      <c r="H136" s="28"/>
      <c r="I136" s="16"/>
      <c r="J136" s="31">
        <v>1</v>
      </c>
      <c r="K136" s="74">
        <f>SUM(G136:J136)</f>
        <v>1</v>
      </c>
      <c r="L136" s="91">
        <f t="shared" si="132"/>
        <v>1</v>
      </c>
      <c r="M136" s="149">
        <v>45954</v>
      </c>
      <c r="N136" s="144" t="s">
        <v>38</v>
      </c>
      <c r="O136" s="137"/>
      <c r="P136" s="138"/>
      <c r="Q136" s="139"/>
      <c r="R136" s="140"/>
      <c r="S136" s="145">
        <f t="shared" si="128"/>
        <v>0</v>
      </c>
      <c r="T136" s="137"/>
      <c r="U136" s="138">
        <v>3</v>
      </c>
      <c r="V136" s="139"/>
      <c r="W136" s="146">
        <v>2</v>
      </c>
      <c r="X136" s="136">
        <f>SUM(T136:W136)</f>
        <v>5</v>
      </c>
      <c r="Y136" s="142">
        <f t="shared" si="133"/>
        <v>5</v>
      </c>
      <c r="Z136" s="147">
        <v>46153</v>
      </c>
    </row>
    <row r="137" spans="1:26" x14ac:dyDescent="0.15">
      <c r="A137" s="43" t="s">
        <v>41</v>
      </c>
      <c r="B137" s="15"/>
      <c r="C137" s="28"/>
      <c r="D137" s="16"/>
      <c r="E137" s="19"/>
      <c r="F137" s="42">
        <f t="shared" si="130"/>
        <v>0</v>
      </c>
      <c r="G137" s="15">
        <v>1</v>
      </c>
      <c r="H137" s="28"/>
      <c r="I137" s="16"/>
      <c r="J137" s="31"/>
      <c r="K137" s="74">
        <f>SUM(G137:J137)</f>
        <v>1</v>
      </c>
      <c r="L137" s="91">
        <f t="shared" si="132"/>
        <v>1</v>
      </c>
      <c r="M137" s="149">
        <v>45957</v>
      </c>
      <c r="N137" s="43"/>
      <c r="O137" s="15"/>
      <c r="P137" s="28"/>
      <c r="Q137" s="16"/>
      <c r="R137" s="19"/>
      <c r="S137" s="42">
        <f t="shared" si="128"/>
        <v>0</v>
      </c>
      <c r="T137" s="15"/>
      <c r="U137" s="28"/>
      <c r="V137" s="16"/>
      <c r="W137" s="31"/>
      <c r="X137" s="9">
        <f>SUM(T137:W137)</f>
        <v>0</v>
      </c>
      <c r="Y137" s="91">
        <f t="shared" si="133"/>
        <v>0</v>
      </c>
    </row>
    <row r="138" spans="1:26" x14ac:dyDescent="0.15">
      <c r="A138" s="43" t="s">
        <v>87</v>
      </c>
      <c r="B138" s="15"/>
      <c r="C138" s="28"/>
      <c r="D138" s="16">
        <v>1</v>
      </c>
      <c r="E138" s="19"/>
      <c r="F138" s="42">
        <f t="shared" si="130"/>
        <v>1</v>
      </c>
      <c r="G138" s="15"/>
      <c r="H138" s="28"/>
      <c r="I138" s="16"/>
      <c r="J138" s="31"/>
      <c r="K138" s="74">
        <f t="shared" ref="K138:K141" si="136">SUM(G138:J138)</f>
        <v>0</v>
      </c>
      <c r="L138" s="91">
        <f t="shared" si="132"/>
        <v>1</v>
      </c>
      <c r="M138" s="103">
        <v>45961</v>
      </c>
      <c r="N138" s="32"/>
      <c r="O138" s="15"/>
      <c r="P138" s="28"/>
      <c r="Q138" s="16"/>
      <c r="R138" s="19"/>
      <c r="S138" s="42">
        <f t="shared" si="128"/>
        <v>0</v>
      </c>
      <c r="T138" s="15"/>
      <c r="U138" s="28"/>
      <c r="V138" s="16"/>
      <c r="W138" s="31"/>
      <c r="X138" s="9">
        <f t="shared" ref="X138:X141" si="137">SUM(T138:W138)</f>
        <v>0</v>
      </c>
      <c r="Y138" s="91">
        <f t="shared" si="133"/>
        <v>0</v>
      </c>
    </row>
    <row r="139" spans="1:26" x14ac:dyDescent="0.15">
      <c r="A139" s="43" t="s">
        <v>91</v>
      </c>
      <c r="B139" s="15">
        <v>-1</v>
      </c>
      <c r="C139" s="28"/>
      <c r="D139" s="16">
        <v>-1</v>
      </c>
      <c r="E139" s="19"/>
      <c r="F139" s="42">
        <f t="shared" si="130"/>
        <v>-2</v>
      </c>
      <c r="G139" s="15"/>
      <c r="H139" s="28">
        <v>-1</v>
      </c>
      <c r="I139" s="16">
        <v>-1</v>
      </c>
      <c r="J139" s="31"/>
      <c r="K139" s="74">
        <f t="shared" si="136"/>
        <v>-2</v>
      </c>
      <c r="L139" s="91">
        <f t="shared" si="132"/>
        <v>-4</v>
      </c>
      <c r="M139" s="103">
        <v>45960</v>
      </c>
      <c r="N139" s="43"/>
      <c r="O139" s="15"/>
      <c r="P139" s="28"/>
      <c r="Q139" s="16"/>
      <c r="R139" s="19"/>
      <c r="S139" s="42">
        <f t="shared" si="128"/>
        <v>0</v>
      </c>
      <c r="T139" s="15"/>
      <c r="U139" s="28"/>
      <c r="V139" s="16"/>
      <c r="W139" s="31"/>
      <c r="X139" s="9">
        <f t="shared" si="137"/>
        <v>0</v>
      </c>
      <c r="Y139" s="91">
        <f t="shared" si="133"/>
        <v>0</v>
      </c>
    </row>
    <row r="140" spans="1:26" x14ac:dyDescent="0.15">
      <c r="A140" s="43" t="s">
        <v>87</v>
      </c>
      <c r="B140" s="15"/>
      <c r="C140" s="28">
        <v>1</v>
      </c>
      <c r="D140" s="16"/>
      <c r="E140" s="19"/>
      <c r="F140" s="42">
        <f t="shared" si="130"/>
        <v>1</v>
      </c>
      <c r="G140" s="15"/>
      <c r="H140" s="28"/>
      <c r="I140" s="16"/>
      <c r="J140" s="31"/>
      <c r="K140" s="74">
        <f t="shared" si="136"/>
        <v>0</v>
      </c>
      <c r="L140" s="91">
        <f t="shared" si="132"/>
        <v>1</v>
      </c>
      <c r="M140" s="103">
        <v>45975</v>
      </c>
      <c r="N140" s="43"/>
      <c r="O140" s="15"/>
      <c r="P140" s="28"/>
      <c r="Q140" s="16"/>
      <c r="R140" s="19"/>
      <c r="S140" s="42">
        <f t="shared" si="128"/>
        <v>0</v>
      </c>
      <c r="T140" s="15"/>
      <c r="U140" s="28"/>
      <c r="V140" s="16"/>
      <c r="W140" s="31"/>
      <c r="X140" s="9">
        <f t="shared" si="137"/>
        <v>0</v>
      </c>
      <c r="Y140" s="91">
        <f t="shared" si="133"/>
        <v>0</v>
      </c>
    </row>
    <row r="141" spans="1:26" x14ac:dyDescent="0.15">
      <c r="A141" s="43" t="s">
        <v>87</v>
      </c>
      <c r="B141" s="15"/>
      <c r="C141" s="28"/>
      <c r="D141" s="16"/>
      <c r="E141" s="19">
        <v>1</v>
      </c>
      <c r="F141" s="42">
        <f t="shared" si="130"/>
        <v>1</v>
      </c>
      <c r="G141" s="38"/>
      <c r="H141" s="39"/>
      <c r="I141" s="40"/>
      <c r="J141" s="47"/>
      <c r="K141" s="107">
        <f t="shared" si="136"/>
        <v>0</v>
      </c>
      <c r="L141" s="91">
        <f t="shared" si="132"/>
        <v>1</v>
      </c>
      <c r="M141" s="103">
        <v>45982</v>
      </c>
      <c r="N141" s="43"/>
      <c r="O141" s="15"/>
      <c r="P141" s="28"/>
      <c r="Q141" s="16"/>
      <c r="R141" s="19"/>
      <c r="S141" s="42">
        <f t="shared" si="128"/>
        <v>0</v>
      </c>
      <c r="T141" s="38"/>
      <c r="U141" s="39"/>
      <c r="V141" s="40"/>
      <c r="W141" s="47"/>
      <c r="X141" s="49">
        <f t="shared" si="137"/>
        <v>0</v>
      </c>
      <c r="Y141" s="91">
        <f t="shared" si="133"/>
        <v>0</v>
      </c>
    </row>
    <row r="142" spans="1:26" x14ac:dyDescent="0.15">
      <c r="A142" s="43" t="s">
        <v>95</v>
      </c>
      <c r="B142" s="15"/>
      <c r="C142" s="28"/>
      <c r="D142" s="16"/>
      <c r="E142" s="19"/>
      <c r="F142" s="42">
        <f t="shared" si="130"/>
        <v>0</v>
      </c>
      <c r="G142" s="15"/>
      <c r="H142" s="28">
        <v>1</v>
      </c>
      <c r="I142" s="16"/>
      <c r="J142" s="31"/>
      <c r="K142" s="74">
        <f>SUM(G142:J142)</f>
        <v>1</v>
      </c>
      <c r="L142" s="91">
        <f t="shared" si="132"/>
        <v>1</v>
      </c>
      <c r="M142" s="103">
        <v>45983</v>
      </c>
      <c r="N142" s="43"/>
      <c r="O142" s="15"/>
      <c r="P142" s="28"/>
      <c r="Q142" s="16"/>
      <c r="R142" s="19"/>
      <c r="S142" s="42">
        <f t="shared" si="128"/>
        <v>0</v>
      </c>
      <c r="T142" s="15"/>
      <c r="U142" s="28"/>
      <c r="V142" s="16"/>
      <c r="W142" s="31"/>
      <c r="X142" s="9">
        <f>SUM(T142:W142)</f>
        <v>0</v>
      </c>
      <c r="Y142" s="91">
        <f t="shared" si="133"/>
        <v>0</v>
      </c>
    </row>
    <row r="143" spans="1:26" x14ac:dyDescent="0.15">
      <c r="A143" s="43" t="s">
        <v>41</v>
      </c>
      <c r="B143" s="15"/>
      <c r="C143" s="28"/>
      <c r="D143" s="16"/>
      <c r="E143" s="19"/>
      <c r="F143" s="42">
        <f t="shared" si="130"/>
        <v>0</v>
      </c>
      <c r="G143" s="15"/>
      <c r="H143" s="16"/>
      <c r="I143" s="28"/>
      <c r="J143" s="48">
        <v>1</v>
      </c>
      <c r="K143" s="74">
        <f t="shared" ref="K143:K149" si="138">SUM(G143:J143)</f>
        <v>1</v>
      </c>
      <c r="L143" s="91">
        <f t="shared" si="132"/>
        <v>1</v>
      </c>
      <c r="M143" s="149">
        <v>45986</v>
      </c>
      <c r="N143" s="43"/>
      <c r="O143" s="15"/>
      <c r="P143" s="28"/>
      <c r="Q143" s="16"/>
      <c r="R143" s="19"/>
      <c r="S143" s="42">
        <f t="shared" si="128"/>
        <v>0</v>
      </c>
      <c r="T143" s="15"/>
      <c r="U143" s="16"/>
      <c r="V143" s="28"/>
      <c r="W143" s="48"/>
      <c r="X143" s="9">
        <f t="shared" ref="X143:X149" si="139">SUM(T143:W143)</f>
        <v>0</v>
      </c>
      <c r="Y143" s="91">
        <f t="shared" si="133"/>
        <v>0</v>
      </c>
    </row>
    <row r="144" spans="1:26" x14ac:dyDescent="0.15">
      <c r="A144" s="43" t="s">
        <v>41</v>
      </c>
      <c r="B144" s="15"/>
      <c r="C144" s="28"/>
      <c r="D144" s="16"/>
      <c r="E144" s="19"/>
      <c r="F144" s="42">
        <f t="shared" si="130"/>
        <v>0</v>
      </c>
      <c r="G144" s="15"/>
      <c r="H144" s="28">
        <v>1</v>
      </c>
      <c r="I144" s="16"/>
      <c r="J144" s="31"/>
      <c r="K144" s="74">
        <f t="shared" si="138"/>
        <v>1</v>
      </c>
      <c r="L144" s="91">
        <f t="shared" si="132"/>
        <v>1</v>
      </c>
      <c r="M144" s="149">
        <v>45995</v>
      </c>
      <c r="N144" s="43"/>
      <c r="O144" s="15"/>
      <c r="P144" s="28"/>
      <c r="Q144" s="16"/>
      <c r="R144" s="19"/>
      <c r="S144" s="42">
        <f t="shared" si="128"/>
        <v>0</v>
      </c>
      <c r="T144" s="15"/>
      <c r="U144" s="16"/>
      <c r="V144" s="28"/>
      <c r="W144" s="48"/>
      <c r="X144" s="9">
        <f t="shared" si="139"/>
        <v>0</v>
      </c>
      <c r="Y144" s="91">
        <f t="shared" si="133"/>
        <v>0</v>
      </c>
    </row>
    <row r="145" spans="1:27" x14ac:dyDescent="0.15">
      <c r="A145" s="43" t="s">
        <v>96</v>
      </c>
      <c r="B145" s="15">
        <v>1</v>
      </c>
      <c r="C145" s="28"/>
      <c r="D145" s="16"/>
      <c r="E145" s="19"/>
      <c r="F145" s="42">
        <f t="shared" si="130"/>
        <v>1</v>
      </c>
      <c r="G145" s="38">
        <v>1</v>
      </c>
      <c r="H145" s="39"/>
      <c r="I145" s="40"/>
      <c r="J145" s="47"/>
      <c r="K145" s="107">
        <f t="shared" si="138"/>
        <v>1</v>
      </c>
      <c r="L145" s="91">
        <f t="shared" si="132"/>
        <v>2</v>
      </c>
      <c r="M145" s="149">
        <v>46006</v>
      </c>
      <c r="N145" s="43"/>
      <c r="O145" s="15"/>
      <c r="P145" s="28"/>
      <c r="Q145" s="16"/>
      <c r="R145" s="19"/>
      <c r="S145" s="42">
        <f t="shared" si="128"/>
        <v>0</v>
      </c>
      <c r="T145" s="15"/>
      <c r="U145" s="16"/>
      <c r="V145" s="28"/>
      <c r="W145" s="48"/>
      <c r="X145" s="9">
        <f t="shared" si="139"/>
        <v>0</v>
      </c>
      <c r="Y145" s="91">
        <f t="shared" si="133"/>
        <v>0</v>
      </c>
    </row>
    <row r="146" spans="1:27" x14ac:dyDescent="0.15">
      <c r="A146" s="43" t="s">
        <v>41</v>
      </c>
      <c r="B146" s="15"/>
      <c r="C146" s="28"/>
      <c r="D146" s="16"/>
      <c r="E146" s="19">
        <v>1</v>
      </c>
      <c r="F146" s="42">
        <f t="shared" si="130"/>
        <v>1</v>
      </c>
      <c r="G146" s="15"/>
      <c r="H146" s="28"/>
      <c r="I146" s="16">
        <v>1</v>
      </c>
      <c r="J146" s="31"/>
      <c r="K146" s="74">
        <f t="shared" si="138"/>
        <v>1</v>
      </c>
      <c r="L146" s="91">
        <f t="shared" si="132"/>
        <v>2</v>
      </c>
      <c r="M146" s="149">
        <v>46013</v>
      </c>
      <c r="N146" s="43"/>
      <c r="O146" s="15"/>
      <c r="P146" s="28"/>
      <c r="Q146" s="16"/>
      <c r="R146" s="19"/>
      <c r="S146" s="42">
        <f t="shared" ref="S146:S148" si="140">SUM(O146:R146)</f>
        <v>0</v>
      </c>
      <c r="T146" s="15"/>
      <c r="U146" s="16"/>
      <c r="V146" s="28"/>
      <c r="W146" s="48"/>
      <c r="X146" s="9">
        <f t="shared" ref="X146:X148" si="141">SUM(T146:W146)</f>
        <v>0</v>
      </c>
      <c r="Y146" s="91">
        <f t="shared" ref="Y146:Y148" si="142">S146+X146</f>
        <v>0</v>
      </c>
    </row>
    <row r="147" spans="1:27" x14ac:dyDescent="0.15">
      <c r="A147" s="43" t="s">
        <v>87</v>
      </c>
      <c r="B147" s="15"/>
      <c r="C147" s="28"/>
      <c r="D147" s="16"/>
      <c r="E147" s="19"/>
      <c r="F147" s="42">
        <f t="shared" si="130"/>
        <v>0</v>
      </c>
      <c r="G147" s="15"/>
      <c r="H147" s="28"/>
      <c r="I147" s="16">
        <v>1</v>
      </c>
      <c r="J147" s="31"/>
      <c r="K147" s="74">
        <f t="shared" si="138"/>
        <v>1</v>
      </c>
      <c r="L147" s="91">
        <f t="shared" si="132"/>
        <v>1</v>
      </c>
      <c r="M147" s="103">
        <v>46029</v>
      </c>
      <c r="N147" s="43"/>
      <c r="O147" s="15"/>
      <c r="P147" s="28"/>
      <c r="Q147" s="16"/>
      <c r="R147" s="19"/>
      <c r="S147" s="42">
        <f t="shared" si="140"/>
        <v>0</v>
      </c>
      <c r="T147" s="15"/>
      <c r="U147" s="16"/>
      <c r="V147" s="28"/>
      <c r="W147" s="48"/>
      <c r="X147" s="9">
        <f t="shared" si="141"/>
        <v>0</v>
      </c>
      <c r="Y147" s="91">
        <f t="shared" si="142"/>
        <v>0</v>
      </c>
    </row>
    <row r="148" spans="1:27" ht="14.25" thickBot="1" x14ac:dyDescent="0.2">
      <c r="A148" s="43" t="s">
        <v>89</v>
      </c>
      <c r="B148" s="34"/>
      <c r="C148" s="35"/>
      <c r="D148" s="36"/>
      <c r="E148" s="37">
        <v>1</v>
      </c>
      <c r="F148" s="42">
        <f t="shared" si="130"/>
        <v>1</v>
      </c>
      <c r="G148" s="34"/>
      <c r="H148" s="36"/>
      <c r="I148" s="35"/>
      <c r="J148" s="59"/>
      <c r="K148" s="75">
        <f t="shared" si="138"/>
        <v>0</v>
      </c>
      <c r="L148" s="108">
        <f t="shared" si="132"/>
        <v>1</v>
      </c>
      <c r="M148" s="103">
        <v>46030</v>
      </c>
      <c r="N148" s="124"/>
      <c r="O148" s="34"/>
      <c r="P148" s="35"/>
      <c r="Q148" s="36"/>
      <c r="R148" s="37"/>
      <c r="S148" s="125">
        <f t="shared" si="140"/>
        <v>0</v>
      </c>
      <c r="T148" s="34"/>
      <c r="U148" s="36"/>
      <c r="V148" s="35"/>
      <c r="W148" s="59"/>
      <c r="X148" s="10">
        <f t="shared" si="141"/>
        <v>0</v>
      </c>
      <c r="Y148" s="109">
        <f t="shared" si="142"/>
        <v>0</v>
      </c>
    </row>
    <row r="149" spans="1:27" ht="14.25" thickBot="1" x14ac:dyDescent="0.2">
      <c r="A149" s="12" t="s">
        <v>8</v>
      </c>
      <c r="B149" s="21">
        <f>SUM(B124:B148)</f>
        <v>0</v>
      </c>
      <c r="C149" s="29">
        <f>SUM(C124:C148)</f>
        <v>3</v>
      </c>
      <c r="D149" s="22">
        <f>SUM(D124:D148)</f>
        <v>2</v>
      </c>
      <c r="E149" s="23">
        <f>SUM(E124:E148)</f>
        <v>6</v>
      </c>
      <c r="F149" s="20">
        <f>SUM(B149:E149)</f>
        <v>11</v>
      </c>
      <c r="G149" s="21">
        <f>SUM(G124:G148)</f>
        <v>2</v>
      </c>
      <c r="H149" s="29">
        <f>SUM(H124:H148)</f>
        <v>7</v>
      </c>
      <c r="I149" s="22">
        <f>SUM(I124:I148)</f>
        <v>2</v>
      </c>
      <c r="J149" s="23">
        <f>SUM(J124:J148)</f>
        <v>4</v>
      </c>
      <c r="K149" s="76">
        <f t="shared" si="138"/>
        <v>15</v>
      </c>
      <c r="L149" s="79">
        <f t="shared" si="132"/>
        <v>26</v>
      </c>
      <c r="N149" s="83" t="s">
        <v>8</v>
      </c>
      <c r="O149" s="21">
        <f>SUM(O124:O148)</f>
        <v>0</v>
      </c>
      <c r="P149" s="29">
        <f>SUM(P124:P148)</f>
        <v>6</v>
      </c>
      <c r="Q149" s="22">
        <f>SUM(Q124:Q148)</f>
        <v>3</v>
      </c>
      <c r="R149" s="23">
        <f>SUM(R124:R148)</f>
        <v>11</v>
      </c>
      <c r="S149" s="44">
        <f>SUM(O149:R149)</f>
        <v>20</v>
      </c>
      <c r="T149" s="21">
        <f>SUM(T124:T148)</f>
        <v>4</v>
      </c>
      <c r="U149" s="29">
        <f>SUM(U124:U148)</f>
        <v>17</v>
      </c>
      <c r="V149" s="22">
        <f>SUM(V124:V148)</f>
        <v>5</v>
      </c>
      <c r="W149" s="23">
        <f>SUM(W124:W148)</f>
        <v>10</v>
      </c>
      <c r="X149" s="44">
        <f t="shared" si="139"/>
        <v>36</v>
      </c>
      <c r="Y149" s="80">
        <f t="shared" si="133"/>
        <v>56</v>
      </c>
    </row>
    <row r="150" spans="1:27" ht="14.25" thickBot="1" x14ac:dyDescent="0.2">
      <c r="A150" s="13" t="s">
        <v>9</v>
      </c>
      <c r="B150" s="24">
        <f t="shared" ref="B150:K150" si="143">B123-B149</f>
        <v>3</v>
      </c>
      <c r="C150" s="30">
        <f t="shared" si="143"/>
        <v>2</v>
      </c>
      <c r="D150" s="25">
        <f t="shared" si="143"/>
        <v>5</v>
      </c>
      <c r="E150" s="26">
        <f t="shared" si="143"/>
        <v>1</v>
      </c>
      <c r="F150" s="66">
        <f t="shared" si="143"/>
        <v>11</v>
      </c>
      <c r="G150" s="24">
        <f t="shared" si="143"/>
        <v>2</v>
      </c>
      <c r="H150" s="30">
        <f t="shared" si="143"/>
        <v>3</v>
      </c>
      <c r="I150" s="25">
        <f t="shared" si="143"/>
        <v>3</v>
      </c>
      <c r="J150" s="26">
        <f t="shared" si="143"/>
        <v>3</v>
      </c>
      <c r="K150" s="77">
        <f t="shared" si="143"/>
        <v>11</v>
      </c>
      <c r="L150" s="80">
        <f t="shared" si="132"/>
        <v>22</v>
      </c>
      <c r="N150" s="13" t="s">
        <v>9</v>
      </c>
      <c r="O150" s="24">
        <f t="shared" ref="O150:X150" si="144">O123-O149</f>
        <v>127</v>
      </c>
      <c r="P150" s="30">
        <f t="shared" si="144"/>
        <v>162</v>
      </c>
      <c r="Q150" s="25">
        <f t="shared" si="144"/>
        <v>185</v>
      </c>
      <c r="R150" s="26">
        <f t="shared" si="144"/>
        <v>130</v>
      </c>
      <c r="S150" s="66">
        <f t="shared" si="144"/>
        <v>604</v>
      </c>
      <c r="T150" s="24">
        <f t="shared" si="144"/>
        <v>49</v>
      </c>
      <c r="U150" s="30">
        <f t="shared" si="144"/>
        <v>42</v>
      </c>
      <c r="V150" s="25">
        <f t="shared" si="144"/>
        <v>54</v>
      </c>
      <c r="W150" s="26">
        <f t="shared" si="144"/>
        <v>41</v>
      </c>
      <c r="X150" s="33">
        <f t="shared" si="144"/>
        <v>186</v>
      </c>
      <c r="Y150" s="80">
        <f t="shared" si="133"/>
        <v>790</v>
      </c>
    </row>
    <row r="153" spans="1:27" ht="19.5" thickBot="1" x14ac:dyDescent="0.25">
      <c r="A153" s="2" t="s">
        <v>21</v>
      </c>
      <c r="B153" s="2"/>
      <c r="C153" s="1"/>
      <c r="D153" s="1"/>
      <c r="E153" s="1"/>
      <c r="F153" s="67" t="s">
        <v>86</v>
      </c>
      <c r="H153" s="1"/>
      <c r="I153" s="1"/>
      <c r="J153" s="1"/>
      <c r="K153" s="67"/>
      <c r="N153" s="2" t="s">
        <v>22</v>
      </c>
      <c r="O153" s="2"/>
      <c r="P153" s="1"/>
      <c r="Q153" s="1"/>
      <c r="R153" s="67" t="s">
        <v>85</v>
      </c>
      <c r="U153" s="1"/>
      <c r="V153" s="1"/>
      <c r="W153" s="1"/>
      <c r="X153" s="67" t="s">
        <v>20</v>
      </c>
    </row>
    <row r="154" spans="1:27" ht="14.25" thickBot="1" x14ac:dyDescent="0.2">
      <c r="A154" s="5" t="s">
        <v>0</v>
      </c>
      <c r="B154" s="184" t="s">
        <v>18</v>
      </c>
      <c r="C154" s="185"/>
      <c r="D154" s="185"/>
      <c r="E154" s="185"/>
      <c r="F154" s="186"/>
      <c r="G154" s="187" t="s">
        <v>19</v>
      </c>
      <c r="H154" s="188"/>
      <c r="I154" s="188"/>
      <c r="J154" s="188"/>
      <c r="K154" s="188"/>
      <c r="L154" s="182" t="s">
        <v>13</v>
      </c>
      <c r="N154" s="5" t="s">
        <v>0</v>
      </c>
      <c r="O154" s="184" t="s">
        <v>39</v>
      </c>
      <c r="P154" s="185"/>
      <c r="Q154" s="185"/>
      <c r="R154" s="185"/>
      <c r="S154" s="186"/>
      <c r="T154" s="187" t="s">
        <v>40</v>
      </c>
      <c r="U154" s="188"/>
      <c r="V154" s="188"/>
      <c r="W154" s="188"/>
      <c r="X154" s="188"/>
      <c r="Y154" s="182" t="s">
        <v>13</v>
      </c>
    </row>
    <row r="155" spans="1:27" ht="14.25" thickBot="1" x14ac:dyDescent="0.2">
      <c r="A155" s="5" t="s">
        <v>1</v>
      </c>
      <c r="B155" s="3" t="s">
        <v>14</v>
      </c>
      <c r="C155" s="27" t="s">
        <v>15</v>
      </c>
      <c r="D155" s="4" t="s">
        <v>16</v>
      </c>
      <c r="E155" s="14" t="s">
        <v>17</v>
      </c>
      <c r="F155" s="18" t="s">
        <v>2</v>
      </c>
      <c r="G155" s="3" t="s">
        <v>14</v>
      </c>
      <c r="H155" s="27" t="s">
        <v>15</v>
      </c>
      <c r="I155" s="4" t="s">
        <v>16</v>
      </c>
      <c r="J155" s="14" t="s">
        <v>17</v>
      </c>
      <c r="K155" s="68" t="s">
        <v>2</v>
      </c>
      <c r="L155" s="183"/>
      <c r="N155" s="5" t="s">
        <v>1</v>
      </c>
      <c r="O155" s="3" t="s">
        <v>14</v>
      </c>
      <c r="P155" s="27" t="s">
        <v>15</v>
      </c>
      <c r="Q155" s="4" t="s">
        <v>16</v>
      </c>
      <c r="R155" s="14" t="s">
        <v>17</v>
      </c>
      <c r="S155" s="18" t="s">
        <v>2</v>
      </c>
      <c r="T155" s="3" t="s">
        <v>14</v>
      </c>
      <c r="U155" s="27" t="s">
        <v>15</v>
      </c>
      <c r="V155" s="4" t="s">
        <v>16</v>
      </c>
      <c r="W155" s="14" t="s">
        <v>17</v>
      </c>
      <c r="X155" s="68" t="s">
        <v>2</v>
      </c>
      <c r="Y155" s="183"/>
    </row>
    <row r="156" spans="1:27" x14ac:dyDescent="0.15">
      <c r="A156" s="61" t="s">
        <v>10</v>
      </c>
      <c r="B156" s="62">
        <f>B150</f>
        <v>3</v>
      </c>
      <c r="C156" s="63">
        <f>C150</f>
        <v>2</v>
      </c>
      <c r="D156" s="63">
        <f>D150</f>
        <v>5</v>
      </c>
      <c r="E156" s="64">
        <f>E150</f>
        <v>1</v>
      </c>
      <c r="F156" s="65">
        <f>SUM(B156:E156)</f>
        <v>11</v>
      </c>
      <c r="G156" s="62">
        <f>G150</f>
        <v>2</v>
      </c>
      <c r="H156" s="63">
        <f>H150</f>
        <v>3</v>
      </c>
      <c r="I156" s="63">
        <f>I150</f>
        <v>3</v>
      </c>
      <c r="J156" s="64">
        <f>J150</f>
        <v>3</v>
      </c>
      <c r="K156" s="69">
        <f>SUM(G156:J156)</f>
        <v>11</v>
      </c>
      <c r="L156" s="78">
        <f>F156+K156</f>
        <v>22</v>
      </c>
      <c r="N156" s="61" t="s">
        <v>10</v>
      </c>
      <c r="O156" s="62">
        <f>O150</f>
        <v>127</v>
      </c>
      <c r="P156" s="63">
        <f>P150</f>
        <v>162</v>
      </c>
      <c r="Q156" s="63">
        <f>Q150</f>
        <v>185</v>
      </c>
      <c r="R156" s="64">
        <f>R150</f>
        <v>130</v>
      </c>
      <c r="S156" s="65">
        <f>SUM(O156:R156)</f>
        <v>604</v>
      </c>
      <c r="T156" s="62">
        <f>T150</f>
        <v>49</v>
      </c>
      <c r="U156" s="63">
        <f>U150</f>
        <v>42</v>
      </c>
      <c r="V156" s="63">
        <f>V150</f>
        <v>54</v>
      </c>
      <c r="W156" s="81">
        <f>W150</f>
        <v>41</v>
      </c>
      <c r="X156" s="82">
        <f>SUM(T156:W156)</f>
        <v>186</v>
      </c>
      <c r="Y156" s="78">
        <f>S156+X156</f>
        <v>790</v>
      </c>
    </row>
    <row r="157" spans="1:27" x14ac:dyDescent="0.15">
      <c r="A157" s="131" t="s">
        <v>3</v>
      </c>
      <c r="B157" s="156"/>
      <c r="C157" s="157">
        <v>2</v>
      </c>
      <c r="D157" s="158"/>
      <c r="E157" s="159">
        <v>2</v>
      </c>
      <c r="F157" s="160">
        <f>SUM(B157:E157)</f>
        <v>4</v>
      </c>
      <c r="G157" s="161">
        <v>2</v>
      </c>
      <c r="H157" s="162"/>
      <c r="I157" s="163"/>
      <c r="J157" s="164"/>
      <c r="K157" s="165">
        <f>SUM(G157:J157)</f>
        <v>2</v>
      </c>
      <c r="L157" s="142">
        <f t="shared" ref="L157:L158" si="145">F157+K157</f>
        <v>6</v>
      </c>
      <c r="M157" s="143">
        <v>46029</v>
      </c>
      <c r="N157" s="43" t="s">
        <v>3</v>
      </c>
      <c r="O157" s="38"/>
      <c r="P157" s="39"/>
      <c r="Q157" s="40"/>
      <c r="R157" s="47"/>
      <c r="S157" s="49">
        <f t="shared" ref="S157" si="146">SUM(O157:R157)</f>
        <v>0</v>
      </c>
      <c r="T157" s="38">
        <v>50</v>
      </c>
      <c r="U157" s="39">
        <v>70</v>
      </c>
      <c r="V157" s="40">
        <v>60</v>
      </c>
      <c r="W157" s="47">
        <v>40</v>
      </c>
      <c r="X157" s="49">
        <f t="shared" ref="X157:X159" si="147">SUM(T157:W157)</f>
        <v>220</v>
      </c>
      <c r="Y157" s="91">
        <f t="shared" ref="Y157:Y160" si="148">S157+X157</f>
        <v>220</v>
      </c>
      <c r="Z157" s="104" t="s">
        <v>108</v>
      </c>
      <c r="AA157" s="105"/>
    </row>
    <row r="158" spans="1:27" x14ac:dyDescent="0.15">
      <c r="A158" s="11" t="s">
        <v>4</v>
      </c>
      <c r="B158" s="6"/>
      <c r="C158" s="17"/>
      <c r="D158" s="7"/>
      <c r="E158" s="8"/>
      <c r="F158" s="9">
        <f>SUM(B158:E158)</f>
        <v>0</v>
      </c>
      <c r="G158" s="15"/>
      <c r="H158" s="28">
        <v>2</v>
      </c>
      <c r="I158" s="16"/>
      <c r="J158" s="19">
        <v>2</v>
      </c>
      <c r="K158" s="71">
        <f>SUM(G158:J158)</f>
        <v>4</v>
      </c>
      <c r="L158" s="91">
        <f t="shared" si="145"/>
        <v>4</v>
      </c>
      <c r="M158" s="103">
        <v>46079</v>
      </c>
      <c r="N158" s="43" t="s">
        <v>4</v>
      </c>
      <c r="O158" s="15"/>
      <c r="P158" s="28"/>
      <c r="Q158" s="16"/>
      <c r="R158" s="31"/>
      <c r="S158" s="9">
        <f>SUM(O158:R158)</f>
        <v>0</v>
      </c>
      <c r="T158" s="15">
        <v>48</v>
      </c>
      <c r="U158" s="28">
        <v>61</v>
      </c>
      <c r="V158" s="16">
        <v>50</v>
      </c>
      <c r="W158" s="31">
        <v>40</v>
      </c>
      <c r="X158" s="49">
        <f t="shared" si="147"/>
        <v>199</v>
      </c>
      <c r="Y158" s="91">
        <f t="shared" si="148"/>
        <v>199</v>
      </c>
      <c r="Z158" s="104" t="s">
        <v>108</v>
      </c>
      <c r="AA158" s="105"/>
    </row>
    <row r="159" spans="1:27" x14ac:dyDescent="0.15">
      <c r="A159" s="131" t="s">
        <v>5</v>
      </c>
      <c r="B159" s="137"/>
      <c r="C159" s="138"/>
      <c r="D159" s="139"/>
      <c r="E159" s="140">
        <v>2</v>
      </c>
      <c r="F159" s="136">
        <f t="shared" ref="F159" si="149">SUM(B159:E159)</f>
        <v>2</v>
      </c>
      <c r="G159" s="137"/>
      <c r="H159" s="138"/>
      <c r="I159" s="139"/>
      <c r="J159" s="146"/>
      <c r="K159" s="148">
        <f>SUM(G159:J159)</f>
        <v>0</v>
      </c>
      <c r="L159" s="142">
        <f>F159+K159</f>
        <v>2</v>
      </c>
      <c r="M159" s="143">
        <v>46112</v>
      </c>
      <c r="N159" s="43" t="s">
        <v>103</v>
      </c>
      <c r="O159" s="38"/>
      <c r="P159" s="39"/>
      <c r="Q159" s="40"/>
      <c r="R159" s="47"/>
      <c r="S159" s="49">
        <f t="shared" ref="S159" si="150">SUM(O159:R159)</f>
        <v>0</v>
      </c>
      <c r="T159" s="38">
        <v>0</v>
      </c>
      <c r="U159" s="39">
        <v>5</v>
      </c>
      <c r="V159" s="40">
        <v>3</v>
      </c>
      <c r="W159" s="47">
        <v>4</v>
      </c>
      <c r="X159" s="49">
        <f t="shared" si="147"/>
        <v>12</v>
      </c>
      <c r="Y159" s="91">
        <f t="shared" si="148"/>
        <v>12</v>
      </c>
      <c r="Z159" s="104" t="s">
        <v>108</v>
      </c>
      <c r="AA159" s="105"/>
    </row>
    <row r="160" spans="1:27" ht="14.25" thickBot="1" x14ac:dyDescent="0.2">
      <c r="A160" s="131" t="s">
        <v>6</v>
      </c>
      <c r="B160" s="132"/>
      <c r="C160" s="133"/>
      <c r="D160" s="134"/>
      <c r="E160" s="135">
        <v>2</v>
      </c>
      <c r="F160" s="150">
        <f>SUM(B160:E160)</f>
        <v>2</v>
      </c>
      <c r="G160" s="151">
        <v>2</v>
      </c>
      <c r="H160" s="152">
        <v>2</v>
      </c>
      <c r="I160" s="153"/>
      <c r="J160" s="154"/>
      <c r="K160" s="155">
        <f>SUM(G160:J160)</f>
        <v>4</v>
      </c>
      <c r="L160" s="142">
        <f t="shared" ref="L160" si="151">F160+K160</f>
        <v>6</v>
      </c>
      <c r="M160" s="143">
        <v>46119</v>
      </c>
      <c r="N160" s="43" t="s">
        <v>6</v>
      </c>
      <c r="O160" s="15"/>
      <c r="P160" s="28"/>
      <c r="Q160" s="16"/>
      <c r="R160" s="31"/>
      <c r="S160" s="9">
        <f>SUM(O160:R160)</f>
        <v>0</v>
      </c>
      <c r="T160" s="15"/>
      <c r="U160" s="28"/>
      <c r="V160" s="16"/>
      <c r="W160" s="31"/>
      <c r="X160" s="9">
        <f>SUM(T160:W160)</f>
        <v>0</v>
      </c>
      <c r="Y160" s="91">
        <f t="shared" si="148"/>
        <v>0</v>
      </c>
    </row>
    <row r="161" spans="1:27" ht="14.25" thickBot="1" x14ac:dyDescent="0.2">
      <c r="A161" s="13" t="s">
        <v>7</v>
      </c>
      <c r="B161" s="50">
        <f t="shared" ref="B161:K161" si="152">SUM(B156:B160)</f>
        <v>3</v>
      </c>
      <c r="C161" s="51">
        <f t="shared" si="152"/>
        <v>4</v>
      </c>
      <c r="D161" s="52">
        <f t="shared" si="152"/>
        <v>5</v>
      </c>
      <c r="E161" s="53">
        <f t="shared" si="152"/>
        <v>7</v>
      </c>
      <c r="F161" s="54">
        <f t="shared" si="152"/>
        <v>19</v>
      </c>
      <c r="G161" s="24">
        <f t="shared" si="152"/>
        <v>6</v>
      </c>
      <c r="H161" s="30">
        <f t="shared" si="152"/>
        <v>7</v>
      </c>
      <c r="I161" s="25">
        <f t="shared" si="152"/>
        <v>3</v>
      </c>
      <c r="J161" s="55">
        <f t="shared" si="152"/>
        <v>5</v>
      </c>
      <c r="K161" s="73">
        <f t="shared" si="152"/>
        <v>21</v>
      </c>
      <c r="L161" s="79">
        <f>F161+K161</f>
        <v>40</v>
      </c>
      <c r="N161" s="13" t="s">
        <v>7</v>
      </c>
      <c r="O161" s="24">
        <f t="shared" ref="O161:X161" si="153">SUM(O156:O160)</f>
        <v>127</v>
      </c>
      <c r="P161" s="30">
        <f t="shared" si="153"/>
        <v>162</v>
      </c>
      <c r="Q161" s="25">
        <f t="shared" si="153"/>
        <v>185</v>
      </c>
      <c r="R161" s="55">
        <f t="shared" si="153"/>
        <v>130</v>
      </c>
      <c r="S161" s="54">
        <f t="shared" si="153"/>
        <v>604</v>
      </c>
      <c r="T161" s="24">
        <f t="shared" si="153"/>
        <v>147</v>
      </c>
      <c r="U161" s="30">
        <f t="shared" si="153"/>
        <v>178</v>
      </c>
      <c r="V161" s="25">
        <f t="shared" si="153"/>
        <v>167</v>
      </c>
      <c r="W161" s="55">
        <f t="shared" si="153"/>
        <v>125</v>
      </c>
      <c r="X161" s="56">
        <f t="shared" si="153"/>
        <v>617</v>
      </c>
      <c r="Y161" s="79">
        <f>S161+X161</f>
        <v>1221</v>
      </c>
    </row>
    <row r="162" spans="1:27" x14ac:dyDescent="0.15">
      <c r="A162" s="43" t="s">
        <v>99</v>
      </c>
      <c r="B162" s="15"/>
      <c r="C162" s="28"/>
      <c r="D162" s="16"/>
      <c r="E162" s="19">
        <v>1</v>
      </c>
      <c r="F162" s="42">
        <f t="shared" ref="F162" si="154">SUM(B162:E162)</f>
        <v>1</v>
      </c>
      <c r="G162" s="15"/>
      <c r="H162" s="28"/>
      <c r="I162" s="16"/>
      <c r="J162" s="31"/>
      <c r="K162" s="74">
        <f t="shared" ref="K162" si="155">SUM(G162:J162)</f>
        <v>0</v>
      </c>
      <c r="L162" s="91">
        <f t="shared" ref="L162" si="156">F162+K162</f>
        <v>1</v>
      </c>
      <c r="M162" s="149">
        <v>46031</v>
      </c>
      <c r="N162" s="126" t="s">
        <v>104</v>
      </c>
      <c r="O162" s="38">
        <v>3</v>
      </c>
      <c r="P162" s="39">
        <v>3</v>
      </c>
      <c r="Q162" s="40">
        <v>3</v>
      </c>
      <c r="R162" s="41">
        <v>3</v>
      </c>
      <c r="S162" s="57">
        <f t="shared" ref="S162:S186" si="157">SUM(O162:R162)</f>
        <v>12</v>
      </c>
      <c r="T162" s="15">
        <v>3</v>
      </c>
      <c r="U162" s="28">
        <v>3</v>
      </c>
      <c r="V162" s="16">
        <v>3</v>
      </c>
      <c r="W162" s="31">
        <v>3</v>
      </c>
      <c r="X162" s="9">
        <f t="shared" ref="X162:X167" si="158">SUM(T162:W162)</f>
        <v>12</v>
      </c>
      <c r="Y162" s="106">
        <f>S162+X162</f>
        <v>24</v>
      </c>
      <c r="Z162" s="104">
        <v>46136</v>
      </c>
    </row>
    <row r="163" spans="1:27" x14ac:dyDescent="0.15">
      <c r="A163" s="43" t="s">
        <v>41</v>
      </c>
      <c r="B163" s="15"/>
      <c r="C163" s="28"/>
      <c r="D163" s="16">
        <v>1</v>
      </c>
      <c r="E163" s="19"/>
      <c r="F163" s="42">
        <f t="shared" ref="F163:F186" si="159">SUM(B163:E163)</f>
        <v>1</v>
      </c>
      <c r="G163" s="15"/>
      <c r="H163" s="28"/>
      <c r="I163" s="16"/>
      <c r="J163" s="31"/>
      <c r="K163" s="74">
        <f t="shared" ref="K163:K167" si="160">SUM(G163:J163)</f>
        <v>0</v>
      </c>
      <c r="L163" s="91">
        <f t="shared" ref="L163:L188" si="161">F163+K163</f>
        <v>1</v>
      </c>
      <c r="M163" s="149">
        <v>46037</v>
      </c>
      <c r="N163" s="43" t="s">
        <v>106</v>
      </c>
      <c r="O163" s="15">
        <v>12</v>
      </c>
      <c r="P163" s="28">
        <v>15</v>
      </c>
      <c r="Q163" s="16">
        <v>8</v>
      </c>
      <c r="R163" s="19">
        <v>7</v>
      </c>
      <c r="S163" s="42">
        <f t="shared" ref="S163:S164" si="162">SUM(O163:R163)</f>
        <v>42</v>
      </c>
      <c r="T163" s="15">
        <v>8</v>
      </c>
      <c r="U163" s="16">
        <v>10</v>
      </c>
      <c r="V163" s="28">
        <v>5</v>
      </c>
      <c r="W163" s="48">
        <v>5</v>
      </c>
      <c r="X163" s="9">
        <f t="shared" si="158"/>
        <v>28</v>
      </c>
      <c r="Y163" s="91">
        <f t="shared" ref="Y163:Y164" si="163">S163+X163</f>
        <v>70</v>
      </c>
      <c r="Z163" s="104">
        <v>46162</v>
      </c>
    </row>
    <row r="164" spans="1:27" x14ac:dyDescent="0.15">
      <c r="A164" s="43" t="s">
        <v>41</v>
      </c>
      <c r="B164" s="15"/>
      <c r="C164" s="28"/>
      <c r="D164" s="16"/>
      <c r="E164" s="19"/>
      <c r="F164" s="42">
        <f t="shared" si="159"/>
        <v>0</v>
      </c>
      <c r="G164" s="15"/>
      <c r="H164" s="28"/>
      <c r="I164" s="16"/>
      <c r="J164" s="31">
        <v>1</v>
      </c>
      <c r="K164" s="74">
        <f t="shared" si="160"/>
        <v>1</v>
      </c>
      <c r="L164" s="91">
        <f t="shared" si="161"/>
        <v>1</v>
      </c>
      <c r="M164" s="149">
        <v>46039</v>
      </c>
      <c r="N164" s="110" t="s">
        <v>105</v>
      </c>
      <c r="O164" s="15">
        <v>9</v>
      </c>
      <c r="P164" s="28">
        <v>15</v>
      </c>
      <c r="Q164" s="16">
        <v>9</v>
      </c>
      <c r="R164" s="19">
        <v>8</v>
      </c>
      <c r="S164" s="42">
        <f t="shared" si="162"/>
        <v>41</v>
      </c>
      <c r="T164" s="15">
        <v>10</v>
      </c>
      <c r="U164" s="16">
        <v>12</v>
      </c>
      <c r="V164" s="28">
        <v>8</v>
      </c>
      <c r="W164" s="48">
        <v>10</v>
      </c>
      <c r="X164" s="9">
        <f t="shared" si="158"/>
        <v>40</v>
      </c>
      <c r="Y164" s="91">
        <f t="shared" si="163"/>
        <v>81</v>
      </c>
      <c r="Z164" s="104">
        <v>46162</v>
      </c>
    </row>
    <row r="165" spans="1:27" x14ac:dyDescent="0.15">
      <c r="A165" s="43" t="s">
        <v>41</v>
      </c>
      <c r="B165" s="15"/>
      <c r="C165" s="28"/>
      <c r="D165" s="16"/>
      <c r="E165" s="19"/>
      <c r="F165" s="42">
        <f t="shared" si="159"/>
        <v>0</v>
      </c>
      <c r="G165" s="15"/>
      <c r="H165" s="28">
        <v>1</v>
      </c>
      <c r="I165" s="16"/>
      <c r="J165" s="31"/>
      <c r="K165" s="74">
        <f t="shared" si="160"/>
        <v>1</v>
      </c>
      <c r="L165" s="91">
        <f t="shared" si="161"/>
        <v>1</v>
      </c>
      <c r="M165" s="149">
        <v>46065</v>
      </c>
      <c r="N165" s="32" t="s">
        <v>109</v>
      </c>
      <c r="O165" s="15">
        <v>10</v>
      </c>
      <c r="P165" s="28">
        <v>16</v>
      </c>
      <c r="Q165" s="16">
        <v>5</v>
      </c>
      <c r="R165" s="19">
        <v>10</v>
      </c>
      <c r="S165" s="42">
        <f t="shared" si="157"/>
        <v>41</v>
      </c>
      <c r="T165" s="15">
        <v>5</v>
      </c>
      <c r="U165" s="28">
        <v>12</v>
      </c>
      <c r="V165" s="16">
        <v>6</v>
      </c>
      <c r="W165" s="31">
        <v>3</v>
      </c>
      <c r="X165" s="9">
        <f t="shared" si="158"/>
        <v>26</v>
      </c>
      <c r="Y165" s="91">
        <f t="shared" ref="Y165:Y188" si="164">S165+X165</f>
        <v>67</v>
      </c>
      <c r="Z165" s="104">
        <v>46165</v>
      </c>
      <c r="AA165" s="105"/>
    </row>
    <row r="166" spans="1:27" x14ac:dyDescent="0.15">
      <c r="A166" s="43" t="s">
        <v>41</v>
      </c>
      <c r="B166" s="15"/>
      <c r="C166" s="28"/>
      <c r="D166" s="16"/>
      <c r="E166" s="19"/>
      <c r="F166" s="42">
        <f t="shared" si="159"/>
        <v>0</v>
      </c>
      <c r="G166" s="15"/>
      <c r="H166" s="28">
        <v>1</v>
      </c>
      <c r="I166" s="16">
        <v>1</v>
      </c>
      <c r="J166" s="31">
        <v>1</v>
      </c>
      <c r="K166" s="74">
        <f t="shared" si="160"/>
        <v>3</v>
      </c>
      <c r="L166" s="91">
        <f t="shared" si="161"/>
        <v>3</v>
      </c>
      <c r="M166" s="149">
        <v>46077</v>
      </c>
      <c r="N166" s="32" t="s">
        <v>111</v>
      </c>
      <c r="O166" s="15">
        <v>8</v>
      </c>
      <c r="P166" s="28">
        <v>17</v>
      </c>
      <c r="Q166" s="16">
        <v>5</v>
      </c>
      <c r="R166" s="19">
        <v>8</v>
      </c>
      <c r="S166" s="42">
        <f t="shared" si="157"/>
        <v>38</v>
      </c>
      <c r="T166" s="15">
        <v>7</v>
      </c>
      <c r="U166" s="28">
        <v>3</v>
      </c>
      <c r="V166" s="16">
        <v>6</v>
      </c>
      <c r="W166" s="31">
        <v>5</v>
      </c>
      <c r="X166" s="9">
        <f t="shared" si="158"/>
        <v>21</v>
      </c>
      <c r="Y166" s="91">
        <f t="shared" si="164"/>
        <v>59</v>
      </c>
      <c r="Z166" s="104">
        <v>46169</v>
      </c>
      <c r="AA166" s="105"/>
    </row>
    <row r="167" spans="1:27" x14ac:dyDescent="0.15">
      <c r="A167" s="43" t="s">
        <v>41</v>
      </c>
      <c r="B167" s="15"/>
      <c r="C167" s="28"/>
      <c r="D167" s="16"/>
      <c r="E167" s="19"/>
      <c r="F167" s="42">
        <f t="shared" si="159"/>
        <v>0</v>
      </c>
      <c r="G167" s="15">
        <v>1</v>
      </c>
      <c r="H167" s="28"/>
      <c r="I167" s="16"/>
      <c r="J167" s="31"/>
      <c r="K167" s="74">
        <f t="shared" si="160"/>
        <v>1</v>
      </c>
      <c r="L167" s="91">
        <f t="shared" si="161"/>
        <v>1</v>
      </c>
      <c r="M167" s="149">
        <v>46078</v>
      </c>
      <c r="N167" s="43"/>
      <c r="O167" s="15"/>
      <c r="P167" s="28"/>
      <c r="Q167" s="16"/>
      <c r="R167" s="19"/>
      <c r="S167" s="42">
        <f t="shared" si="157"/>
        <v>0</v>
      </c>
      <c r="T167" s="15"/>
      <c r="U167" s="28"/>
      <c r="V167" s="16"/>
      <c r="W167" s="31"/>
      <c r="X167" s="9">
        <f t="shared" si="158"/>
        <v>0</v>
      </c>
      <c r="Y167" s="91">
        <f t="shared" si="164"/>
        <v>0</v>
      </c>
      <c r="Z167" s="105"/>
    </row>
    <row r="168" spans="1:27" x14ac:dyDescent="0.15">
      <c r="A168" s="43" t="s">
        <v>41</v>
      </c>
      <c r="B168" s="15"/>
      <c r="C168" s="28"/>
      <c r="D168" s="16"/>
      <c r="E168" s="19"/>
      <c r="F168" s="42">
        <f t="shared" si="159"/>
        <v>0</v>
      </c>
      <c r="G168" s="15">
        <v>1</v>
      </c>
      <c r="H168" s="28"/>
      <c r="I168" s="16"/>
      <c r="J168" s="31"/>
      <c r="K168" s="74">
        <f>SUM(G168:J168)</f>
        <v>1</v>
      </c>
      <c r="L168" s="91">
        <f t="shared" si="161"/>
        <v>1</v>
      </c>
      <c r="M168" s="149">
        <v>46080</v>
      </c>
      <c r="N168" s="43"/>
      <c r="O168" s="15"/>
      <c r="P168" s="28"/>
      <c r="Q168" s="16"/>
      <c r="R168" s="19"/>
      <c r="S168" s="42">
        <f t="shared" si="157"/>
        <v>0</v>
      </c>
      <c r="T168" s="15"/>
      <c r="U168" s="28"/>
      <c r="V168" s="16"/>
      <c r="W168" s="31"/>
      <c r="X168" s="9">
        <f>SUM(T168:W168)</f>
        <v>0</v>
      </c>
      <c r="Y168" s="91">
        <f t="shared" si="164"/>
        <v>0</v>
      </c>
    </row>
    <row r="169" spans="1:27" x14ac:dyDescent="0.15">
      <c r="A169" s="43" t="s">
        <v>101</v>
      </c>
      <c r="B169" s="15"/>
      <c r="C169" s="28"/>
      <c r="D169" s="16"/>
      <c r="E169" s="19"/>
      <c r="F169" s="42">
        <f t="shared" si="159"/>
        <v>0</v>
      </c>
      <c r="G169" s="15"/>
      <c r="H169" s="28">
        <v>1</v>
      </c>
      <c r="I169" s="16">
        <v>-1</v>
      </c>
      <c r="J169" s="31"/>
      <c r="K169" s="74">
        <f t="shared" ref="K169:K173" si="165">SUM(G169:J169)</f>
        <v>0</v>
      </c>
      <c r="L169" s="91">
        <f t="shared" si="161"/>
        <v>0</v>
      </c>
      <c r="M169" s="149">
        <v>46083</v>
      </c>
      <c r="N169" s="43"/>
      <c r="O169" s="15"/>
      <c r="P169" s="28"/>
      <c r="Q169" s="16"/>
      <c r="R169" s="19"/>
      <c r="S169" s="42">
        <f t="shared" si="157"/>
        <v>0</v>
      </c>
      <c r="T169" s="15"/>
      <c r="U169" s="28"/>
      <c r="V169" s="16"/>
      <c r="W169" s="31"/>
      <c r="X169" s="9">
        <f t="shared" ref="X169:X173" si="166">SUM(T169:W169)</f>
        <v>0</v>
      </c>
      <c r="Y169" s="91">
        <f t="shared" si="164"/>
        <v>0</v>
      </c>
    </row>
    <row r="170" spans="1:27" x14ac:dyDescent="0.15">
      <c r="A170" s="43" t="s">
        <v>41</v>
      </c>
      <c r="B170" s="15"/>
      <c r="C170" s="28">
        <v>1</v>
      </c>
      <c r="D170" s="16"/>
      <c r="E170" s="19"/>
      <c r="F170" s="42">
        <f t="shared" si="159"/>
        <v>1</v>
      </c>
      <c r="G170" s="15"/>
      <c r="H170" s="28"/>
      <c r="I170" s="16"/>
      <c r="J170" s="31"/>
      <c r="K170" s="74">
        <f t="shared" si="165"/>
        <v>0</v>
      </c>
      <c r="L170" s="91">
        <f t="shared" si="161"/>
        <v>1</v>
      </c>
      <c r="M170" s="149">
        <v>46097</v>
      </c>
      <c r="N170" s="43"/>
      <c r="O170" s="15"/>
      <c r="P170" s="28"/>
      <c r="Q170" s="16"/>
      <c r="R170" s="19"/>
      <c r="S170" s="42">
        <f t="shared" si="157"/>
        <v>0</v>
      </c>
      <c r="T170" s="15"/>
      <c r="U170" s="28"/>
      <c r="V170" s="16"/>
      <c r="W170" s="31"/>
      <c r="X170" s="9">
        <f t="shared" si="166"/>
        <v>0</v>
      </c>
      <c r="Y170" s="91">
        <f t="shared" si="164"/>
        <v>0</v>
      </c>
    </row>
    <row r="171" spans="1:27" x14ac:dyDescent="0.15">
      <c r="A171" s="43" t="s">
        <v>41</v>
      </c>
      <c r="B171" s="15"/>
      <c r="C171" s="28">
        <v>1</v>
      </c>
      <c r="D171" s="16"/>
      <c r="E171" s="19">
        <v>1</v>
      </c>
      <c r="F171" s="42">
        <f t="shared" si="159"/>
        <v>2</v>
      </c>
      <c r="G171" s="15"/>
      <c r="H171" s="28"/>
      <c r="I171" s="16"/>
      <c r="J171" s="31"/>
      <c r="K171" s="74">
        <f t="shared" si="165"/>
        <v>0</v>
      </c>
      <c r="L171" s="91">
        <f t="shared" si="161"/>
        <v>2</v>
      </c>
      <c r="M171" s="149">
        <v>46104</v>
      </c>
      <c r="N171" s="32"/>
      <c r="O171" s="15"/>
      <c r="P171" s="28"/>
      <c r="Q171" s="16"/>
      <c r="R171" s="19"/>
      <c r="S171" s="42">
        <f t="shared" si="157"/>
        <v>0</v>
      </c>
      <c r="T171" s="15"/>
      <c r="U171" s="28"/>
      <c r="V171" s="16"/>
      <c r="W171" s="31"/>
      <c r="X171" s="9">
        <f t="shared" si="166"/>
        <v>0</v>
      </c>
      <c r="Y171" s="91">
        <f t="shared" si="164"/>
        <v>0</v>
      </c>
    </row>
    <row r="172" spans="1:27" x14ac:dyDescent="0.15">
      <c r="A172" s="43" t="s">
        <v>102</v>
      </c>
      <c r="B172" s="15"/>
      <c r="C172" s="28">
        <v>-1</v>
      </c>
      <c r="D172" s="16">
        <v>1</v>
      </c>
      <c r="E172" s="19"/>
      <c r="F172" s="42">
        <f t="shared" si="159"/>
        <v>0</v>
      </c>
      <c r="G172" s="15"/>
      <c r="H172" s="28"/>
      <c r="I172" s="16"/>
      <c r="J172" s="31"/>
      <c r="K172" s="74">
        <f t="shared" si="165"/>
        <v>0</v>
      </c>
      <c r="L172" s="91">
        <f t="shared" si="161"/>
        <v>0</v>
      </c>
      <c r="M172" s="149">
        <v>46105</v>
      </c>
      <c r="N172" s="43"/>
      <c r="O172" s="15"/>
      <c r="P172" s="28"/>
      <c r="Q172" s="16"/>
      <c r="R172" s="19"/>
      <c r="S172" s="42">
        <f t="shared" si="157"/>
        <v>0</v>
      </c>
      <c r="T172" s="15"/>
      <c r="U172" s="28"/>
      <c r="V172" s="16"/>
      <c r="W172" s="31"/>
      <c r="X172" s="9">
        <f t="shared" si="166"/>
        <v>0</v>
      </c>
      <c r="Y172" s="91">
        <f t="shared" si="164"/>
        <v>0</v>
      </c>
    </row>
    <row r="173" spans="1:27" x14ac:dyDescent="0.15">
      <c r="A173" s="43" t="s">
        <v>41</v>
      </c>
      <c r="B173" s="15"/>
      <c r="C173" s="28">
        <v>1</v>
      </c>
      <c r="D173" s="16"/>
      <c r="E173" s="19"/>
      <c r="F173" s="42">
        <f t="shared" si="159"/>
        <v>1</v>
      </c>
      <c r="G173" s="15"/>
      <c r="H173" s="28"/>
      <c r="I173" s="16"/>
      <c r="J173" s="31"/>
      <c r="K173" s="74">
        <f t="shared" si="165"/>
        <v>0</v>
      </c>
      <c r="L173" s="91">
        <f t="shared" si="161"/>
        <v>1</v>
      </c>
      <c r="M173" s="149">
        <v>46111</v>
      </c>
      <c r="N173" s="43"/>
      <c r="O173" s="15"/>
      <c r="P173" s="28"/>
      <c r="Q173" s="16"/>
      <c r="R173" s="19"/>
      <c r="S173" s="42">
        <f t="shared" si="157"/>
        <v>0</v>
      </c>
      <c r="T173" s="15"/>
      <c r="U173" s="28"/>
      <c r="V173" s="16"/>
      <c r="W173" s="31"/>
      <c r="X173" s="9">
        <f t="shared" si="166"/>
        <v>0</v>
      </c>
      <c r="Y173" s="91">
        <f t="shared" si="164"/>
        <v>0</v>
      </c>
    </row>
    <row r="174" spans="1:27" x14ac:dyDescent="0.15">
      <c r="A174" s="43" t="s">
        <v>41</v>
      </c>
      <c r="B174" s="15"/>
      <c r="C174" s="28"/>
      <c r="D174" s="16"/>
      <c r="E174" s="19"/>
      <c r="F174" s="42">
        <f t="shared" si="159"/>
        <v>0</v>
      </c>
      <c r="G174" s="15"/>
      <c r="H174" s="28"/>
      <c r="I174" s="16"/>
      <c r="J174" s="31">
        <v>1</v>
      </c>
      <c r="K174" s="74">
        <f>SUM(G174:J174)</f>
        <v>1</v>
      </c>
      <c r="L174" s="91">
        <f t="shared" si="161"/>
        <v>1</v>
      </c>
      <c r="M174" s="149">
        <v>46112</v>
      </c>
      <c r="N174" s="43"/>
      <c r="O174" s="15"/>
      <c r="P174" s="28"/>
      <c r="Q174" s="16"/>
      <c r="R174" s="19"/>
      <c r="S174" s="42">
        <f t="shared" si="157"/>
        <v>0</v>
      </c>
      <c r="T174" s="15"/>
      <c r="U174" s="28"/>
      <c r="V174" s="16"/>
      <c r="W174" s="31"/>
      <c r="X174" s="9">
        <f>SUM(T174:W174)</f>
        <v>0</v>
      </c>
      <c r="Y174" s="91">
        <f t="shared" si="164"/>
        <v>0</v>
      </c>
    </row>
    <row r="175" spans="1:27" x14ac:dyDescent="0.15">
      <c r="A175" s="43" t="s">
        <v>41</v>
      </c>
      <c r="B175" s="15"/>
      <c r="C175" s="28"/>
      <c r="D175" s="16"/>
      <c r="E175" s="19">
        <v>1</v>
      </c>
      <c r="F175" s="42">
        <f t="shared" si="159"/>
        <v>1</v>
      </c>
      <c r="G175" s="15"/>
      <c r="H175" s="28"/>
      <c r="I175" s="16"/>
      <c r="J175" s="31"/>
      <c r="K175" s="74">
        <f>SUM(G175:J175)</f>
        <v>0</v>
      </c>
      <c r="L175" s="91">
        <f t="shared" si="161"/>
        <v>1</v>
      </c>
      <c r="M175" s="149">
        <v>46114</v>
      </c>
      <c r="N175" s="43"/>
      <c r="O175" s="15"/>
      <c r="P175" s="28"/>
      <c r="Q175" s="16"/>
      <c r="R175" s="19"/>
      <c r="S175" s="42">
        <f t="shared" si="157"/>
        <v>0</v>
      </c>
      <c r="T175" s="15"/>
      <c r="U175" s="28"/>
      <c r="V175" s="16"/>
      <c r="W175" s="31"/>
      <c r="X175" s="9">
        <f>SUM(T175:W175)</f>
        <v>0</v>
      </c>
      <c r="Y175" s="91">
        <f t="shared" si="164"/>
        <v>0</v>
      </c>
    </row>
    <row r="176" spans="1:27" x14ac:dyDescent="0.15">
      <c r="A176" s="43" t="s">
        <v>41</v>
      </c>
      <c r="B176" s="15"/>
      <c r="C176" s="28"/>
      <c r="D176" s="16"/>
      <c r="E176" s="19">
        <v>1</v>
      </c>
      <c r="F176" s="42">
        <f t="shared" si="159"/>
        <v>1</v>
      </c>
      <c r="G176" s="15">
        <v>1</v>
      </c>
      <c r="H176" s="28">
        <v>1</v>
      </c>
      <c r="I176" s="16"/>
      <c r="J176" s="31"/>
      <c r="K176" s="74">
        <f t="shared" ref="K176:K179" si="167">SUM(G176:J176)</f>
        <v>2</v>
      </c>
      <c r="L176" s="91">
        <f t="shared" si="161"/>
        <v>3</v>
      </c>
      <c r="M176" s="149">
        <v>46118</v>
      </c>
      <c r="N176" s="32"/>
      <c r="O176" s="15"/>
      <c r="P176" s="28"/>
      <c r="Q176" s="16"/>
      <c r="R176" s="19"/>
      <c r="S176" s="42">
        <f t="shared" si="157"/>
        <v>0</v>
      </c>
      <c r="T176" s="15"/>
      <c r="U176" s="28"/>
      <c r="V176" s="16"/>
      <c r="W176" s="31"/>
      <c r="X176" s="9">
        <f t="shared" ref="X176:X179" si="168">SUM(T176:W176)</f>
        <v>0</v>
      </c>
      <c r="Y176" s="91">
        <f t="shared" si="164"/>
        <v>0</v>
      </c>
    </row>
    <row r="177" spans="1:27" x14ac:dyDescent="0.15">
      <c r="A177" s="43" t="s">
        <v>41</v>
      </c>
      <c r="B177" s="15"/>
      <c r="C177" s="28">
        <v>1</v>
      </c>
      <c r="D177" s="16"/>
      <c r="E177" s="19"/>
      <c r="F177" s="42">
        <f t="shared" si="159"/>
        <v>1</v>
      </c>
      <c r="G177" s="15"/>
      <c r="H177" s="28"/>
      <c r="I177" s="16"/>
      <c r="J177" s="31">
        <v>1</v>
      </c>
      <c r="K177" s="74">
        <f t="shared" si="167"/>
        <v>1</v>
      </c>
      <c r="L177" s="91">
        <f t="shared" si="161"/>
        <v>2</v>
      </c>
      <c r="M177" s="149">
        <v>46119</v>
      </c>
      <c r="N177" s="43"/>
      <c r="O177" s="15"/>
      <c r="P177" s="28"/>
      <c r="Q177" s="16"/>
      <c r="R177" s="19"/>
      <c r="S177" s="42">
        <f t="shared" si="157"/>
        <v>0</v>
      </c>
      <c r="T177" s="15"/>
      <c r="U177" s="28"/>
      <c r="V177" s="16"/>
      <c r="W177" s="31"/>
      <c r="X177" s="9">
        <f t="shared" si="168"/>
        <v>0</v>
      </c>
      <c r="Y177" s="91">
        <f t="shared" si="164"/>
        <v>0</v>
      </c>
    </row>
    <row r="178" spans="1:27" x14ac:dyDescent="0.15">
      <c r="A178" s="144" t="s">
        <v>57</v>
      </c>
      <c r="B178" s="137"/>
      <c r="C178" s="138">
        <v>-2</v>
      </c>
      <c r="D178" s="139"/>
      <c r="E178" s="140"/>
      <c r="F178" s="145">
        <f t="shared" si="159"/>
        <v>-2</v>
      </c>
      <c r="G178" s="137"/>
      <c r="H178" s="138"/>
      <c r="I178" s="139"/>
      <c r="J178" s="146">
        <v>-2</v>
      </c>
      <c r="K178" s="148">
        <f t="shared" si="167"/>
        <v>-2</v>
      </c>
      <c r="L178" s="142">
        <f t="shared" si="161"/>
        <v>-4</v>
      </c>
      <c r="M178" s="143">
        <v>46120</v>
      </c>
      <c r="N178" s="43"/>
      <c r="O178" s="15"/>
      <c r="P178" s="28"/>
      <c r="Q178" s="16"/>
      <c r="R178" s="19"/>
      <c r="S178" s="42">
        <f t="shared" si="157"/>
        <v>0</v>
      </c>
      <c r="T178" s="15"/>
      <c r="U178" s="28"/>
      <c r="V178" s="16"/>
      <c r="W178" s="31"/>
      <c r="X178" s="9">
        <f t="shared" si="168"/>
        <v>0</v>
      </c>
      <c r="Y178" s="91">
        <f t="shared" si="164"/>
        <v>0</v>
      </c>
    </row>
    <row r="179" spans="1:27" x14ac:dyDescent="0.15">
      <c r="A179" s="43" t="s">
        <v>41</v>
      </c>
      <c r="B179" s="15"/>
      <c r="C179" s="28">
        <v>1</v>
      </c>
      <c r="D179" s="16"/>
      <c r="E179" s="19"/>
      <c r="F179" s="42">
        <f t="shared" si="159"/>
        <v>1</v>
      </c>
      <c r="G179" s="38"/>
      <c r="H179" s="39"/>
      <c r="I179" s="40"/>
      <c r="J179" s="47"/>
      <c r="K179" s="107">
        <f t="shared" si="167"/>
        <v>0</v>
      </c>
      <c r="L179" s="91">
        <f t="shared" si="161"/>
        <v>1</v>
      </c>
      <c r="M179" s="149">
        <v>46125</v>
      </c>
      <c r="N179" s="43"/>
      <c r="O179" s="15"/>
      <c r="P179" s="28"/>
      <c r="Q179" s="16"/>
      <c r="R179" s="19"/>
      <c r="S179" s="42">
        <f t="shared" si="157"/>
        <v>0</v>
      </c>
      <c r="T179" s="38"/>
      <c r="U179" s="39"/>
      <c r="V179" s="40"/>
      <c r="W179" s="47"/>
      <c r="X179" s="49">
        <f t="shared" si="168"/>
        <v>0</v>
      </c>
      <c r="Y179" s="91">
        <f t="shared" si="164"/>
        <v>0</v>
      </c>
    </row>
    <row r="180" spans="1:27" x14ac:dyDescent="0.15">
      <c r="A180" s="43" t="s">
        <v>41</v>
      </c>
      <c r="B180" s="15"/>
      <c r="C180" s="28"/>
      <c r="D180" s="16"/>
      <c r="E180" s="19"/>
      <c r="F180" s="42">
        <f t="shared" si="159"/>
        <v>0</v>
      </c>
      <c r="G180" s="15"/>
      <c r="H180" s="28">
        <v>1</v>
      </c>
      <c r="I180" s="16"/>
      <c r="J180" s="31"/>
      <c r="K180" s="74">
        <f>SUM(G180:J180)</f>
        <v>1</v>
      </c>
      <c r="L180" s="91">
        <f t="shared" si="161"/>
        <v>1</v>
      </c>
      <c r="M180" s="149">
        <v>46134</v>
      </c>
      <c r="N180" s="43"/>
      <c r="O180" s="15"/>
      <c r="P180" s="28"/>
      <c r="Q180" s="16"/>
      <c r="R180" s="19"/>
      <c r="S180" s="42">
        <f t="shared" si="157"/>
        <v>0</v>
      </c>
      <c r="T180" s="15"/>
      <c r="U180" s="28"/>
      <c r="V180" s="16"/>
      <c r="W180" s="31"/>
      <c r="X180" s="9">
        <f>SUM(T180:W180)</f>
        <v>0</v>
      </c>
      <c r="Y180" s="91">
        <f t="shared" si="164"/>
        <v>0</v>
      </c>
    </row>
    <row r="181" spans="1:27" x14ac:dyDescent="0.15">
      <c r="A181" s="43" t="s">
        <v>41</v>
      </c>
      <c r="B181" s="15"/>
      <c r="C181" s="28">
        <v>1</v>
      </c>
      <c r="D181" s="16"/>
      <c r="E181" s="19"/>
      <c r="F181" s="42">
        <f t="shared" si="159"/>
        <v>1</v>
      </c>
      <c r="G181" s="15"/>
      <c r="H181" s="16"/>
      <c r="I181" s="28"/>
      <c r="J181" s="48"/>
      <c r="K181" s="74">
        <f t="shared" ref="K181:K187" si="169">SUM(G181:J181)</f>
        <v>0</v>
      </c>
      <c r="L181" s="91">
        <f t="shared" si="161"/>
        <v>1</v>
      </c>
      <c r="M181" s="149">
        <v>46135</v>
      </c>
      <c r="N181" s="43"/>
      <c r="O181" s="15"/>
      <c r="P181" s="28"/>
      <c r="Q181" s="16"/>
      <c r="R181" s="19"/>
      <c r="S181" s="42">
        <f t="shared" si="157"/>
        <v>0</v>
      </c>
      <c r="T181" s="15"/>
      <c r="U181" s="16"/>
      <c r="V181" s="28"/>
      <c r="W181" s="48"/>
      <c r="X181" s="9">
        <f t="shared" ref="X181:X187" si="170">SUM(T181:W181)</f>
        <v>0</v>
      </c>
      <c r="Y181" s="91">
        <f t="shared" si="164"/>
        <v>0</v>
      </c>
    </row>
    <row r="182" spans="1:27" x14ac:dyDescent="0.15">
      <c r="A182" s="144" t="s">
        <v>57</v>
      </c>
      <c r="B182" s="137"/>
      <c r="C182" s="138">
        <v>-2</v>
      </c>
      <c r="D182" s="139"/>
      <c r="E182" s="140"/>
      <c r="F182" s="145">
        <f t="shared" si="159"/>
        <v>-2</v>
      </c>
      <c r="G182" s="137"/>
      <c r="H182" s="138"/>
      <c r="I182" s="139"/>
      <c r="J182" s="146"/>
      <c r="K182" s="148">
        <f t="shared" si="169"/>
        <v>0</v>
      </c>
      <c r="L182" s="142">
        <f t="shared" si="161"/>
        <v>-2</v>
      </c>
      <c r="M182" s="143">
        <v>46136</v>
      </c>
      <c r="N182" s="43"/>
      <c r="O182" s="15"/>
      <c r="P182" s="28"/>
      <c r="Q182" s="16"/>
      <c r="R182" s="19"/>
      <c r="S182" s="42">
        <f t="shared" si="157"/>
        <v>0</v>
      </c>
      <c r="T182" s="15"/>
      <c r="U182" s="16"/>
      <c r="V182" s="28"/>
      <c r="W182" s="48"/>
      <c r="X182" s="9">
        <f t="shared" si="170"/>
        <v>0</v>
      </c>
      <c r="Y182" s="91">
        <f t="shared" si="164"/>
        <v>0</v>
      </c>
    </row>
    <row r="183" spans="1:27" x14ac:dyDescent="0.15">
      <c r="A183" s="43" t="s">
        <v>41</v>
      </c>
      <c r="B183" s="15"/>
      <c r="C183" s="28"/>
      <c r="D183" s="16">
        <v>1</v>
      </c>
      <c r="E183" s="19"/>
      <c r="F183" s="42">
        <f t="shared" si="159"/>
        <v>1</v>
      </c>
      <c r="G183" s="38">
        <v>1</v>
      </c>
      <c r="H183" s="39"/>
      <c r="I183" s="40"/>
      <c r="J183" s="47">
        <v>1</v>
      </c>
      <c r="K183" s="107">
        <f t="shared" si="169"/>
        <v>2</v>
      </c>
      <c r="L183" s="91">
        <f t="shared" si="161"/>
        <v>3</v>
      </c>
      <c r="M183" s="149">
        <v>46139</v>
      </c>
      <c r="N183" s="43"/>
      <c r="O183" s="15"/>
      <c r="P183" s="28"/>
      <c r="Q183" s="16"/>
      <c r="R183" s="19"/>
      <c r="S183" s="42">
        <f t="shared" ref="S183:S184" si="171">SUM(O183:R183)</f>
        <v>0</v>
      </c>
      <c r="T183" s="15"/>
      <c r="U183" s="16"/>
      <c r="V183" s="28"/>
      <c r="W183" s="48"/>
      <c r="X183" s="9">
        <f t="shared" ref="X183:X184" si="172">SUM(T183:W183)</f>
        <v>0</v>
      </c>
      <c r="Y183" s="91">
        <f t="shared" ref="Y183:Y184" si="173">S183+X183</f>
        <v>0</v>
      </c>
    </row>
    <row r="184" spans="1:27" x14ac:dyDescent="0.15">
      <c r="A184" s="43" t="s">
        <v>41</v>
      </c>
      <c r="B184" s="15"/>
      <c r="C184" s="28"/>
      <c r="D184" s="16"/>
      <c r="E184" s="19"/>
      <c r="F184" s="42">
        <f t="shared" si="159"/>
        <v>0</v>
      </c>
      <c r="G184" s="15"/>
      <c r="H184" s="28">
        <v>2</v>
      </c>
      <c r="I184" s="16">
        <v>1</v>
      </c>
      <c r="J184" s="31">
        <v>1</v>
      </c>
      <c r="K184" s="74">
        <f t="shared" si="169"/>
        <v>4</v>
      </c>
      <c r="L184" s="91">
        <f t="shared" si="161"/>
        <v>4</v>
      </c>
      <c r="M184" s="149">
        <v>46149</v>
      </c>
      <c r="N184" s="43"/>
      <c r="O184" s="15"/>
      <c r="P184" s="28"/>
      <c r="Q184" s="16"/>
      <c r="R184" s="19"/>
      <c r="S184" s="42">
        <f t="shared" si="171"/>
        <v>0</v>
      </c>
      <c r="T184" s="15"/>
      <c r="U184" s="16"/>
      <c r="V184" s="28"/>
      <c r="W184" s="48"/>
      <c r="X184" s="9">
        <f t="shared" si="172"/>
        <v>0</v>
      </c>
      <c r="Y184" s="91">
        <f t="shared" si="173"/>
        <v>0</v>
      </c>
    </row>
    <row r="185" spans="1:27" x14ac:dyDescent="0.15">
      <c r="A185" s="144" t="s">
        <v>57</v>
      </c>
      <c r="B185" s="137"/>
      <c r="C185" s="138"/>
      <c r="D185" s="139"/>
      <c r="E185" s="140"/>
      <c r="F185" s="145">
        <f t="shared" si="159"/>
        <v>0</v>
      </c>
      <c r="G185" s="137"/>
      <c r="H185" s="138">
        <v>-3</v>
      </c>
      <c r="I185" s="139"/>
      <c r="J185" s="146">
        <v>-2</v>
      </c>
      <c r="K185" s="148">
        <f t="shared" si="169"/>
        <v>-5</v>
      </c>
      <c r="L185" s="142">
        <f t="shared" si="161"/>
        <v>-5</v>
      </c>
      <c r="M185" s="143">
        <v>46153</v>
      </c>
      <c r="N185" s="111" t="s">
        <v>28</v>
      </c>
      <c r="O185" s="168"/>
      <c r="P185" s="169"/>
      <c r="Q185" s="170"/>
      <c r="R185" s="171"/>
      <c r="S185" s="172">
        <f t="shared" si="157"/>
        <v>0</v>
      </c>
      <c r="T185" s="168"/>
      <c r="U185" s="170"/>
      <c r="V185" s="169"/>
      <c r="W185" s="173"/>
      <c r="X185" s="174">
        <f t="shared" si="170"/>
        <v>0</v>
      </c>
      <c r="Y185" s="118">
        <f t="shared" si="164"/>
        <v>0</v>
      </c>
      <c r="Z185" s="105"/>
      <c r="AA185" s="105"/>
    </row>
    <row r="186" spans="1:27" ht="14.25" thickBot="1" x14ac:dyDescent="0.2">
      <c r="A186" s="43" t="s">
        <v>41</v>
      </c>
      <c r="B186" s="34"/>
      <c r="C186" s="35"/>
      <c r="D186" s="36"/>
      <c r="E186" s="37"/>
      <c r="F186" s="42">
        <f t="shared" si="159"/>
        <v>0</v>
      </c>
      <c r="G186" s="34"/>
      <c r="H186" s="36"/>
      <c r="I186" s="35"/>
      <c r="J186" s="59">
        <v>1</v>
      </c>
      <c r="K186" s="75">
        <f t="shared" si="169"/>
        <v>1</v>
      </c>
      <c r="L186" s="108">
        <f t="shared" si="161"/>
        <v>1</v>
      </c>
      <c r="M186" s="149">
        <v>46153</v>
      </c>
      <c r="N186" s="120" t="s">
        <v>97</v>
      </c>
      <c r="O186" s="34"/>
      <c r="P186" s="35"/>
      <c r="Q186" s="36"/>
      <c r="R186" s="37"/>
      <c r="S186" s="125">
        <f t="shared" si="157"/>
        <v>0</v>
      </c>
      <c r="T186" s="34"/>
      <c r="U186" s="36"/>
      <c r="V186" s="35"/>
      <c r="W186" s="59"/>
      <c r="X186" s="10">
        <f t="shared" si="170"/>
        <v>0</v>
      </c>
      <c r="Y186" s="109">
        <f t="shared" si="164"/>
        <v>0</v>
      </c>
      <c r="Z186" s="105" t="s">
        <v>98</v>
      </c>
      <c r="AA186" s="105"/>
    </row>
    <row r="187" spans="1:27" ht="14.25" thickBot="1" x14ac:dyDescent="0.2">
      <c r="A187" s="12" t="s">
        <v>8</v>
      </c>
      <c r="B187" s="21">
        <f>SUM(B162:B186)</f>
        <v>0</v>
      </c>
      <c r="C187" s="29">
        <f>SUM(C162:C186)</f>
        <v>1</v>
      </c>
      <c r="D187" s="22">
        <f>SUM(D162:D186)</f>
        <v>3</v>
      </c>
      <c r="E187" s="23">
        <f>SUM(E162:E186)</f>
        <v>4</v>
      </c>
      <c r="F187" s="20">
        <f>SUM(B187:E187)</f>
        <v>8</v>
      </c>
      <c r="G187" s="21">
        <f>SUM(G162:G186)</f>
        <v>4</v>
      </c>
      <c r="H187" s="29">
        <f>SUM(H162:H186)</f>
        <v>4</v>
      </c>
      <c r="I187" s="22">
        <f>SUM(I162:I186)</f>
        <v>1</v>
      </c>
      <c r="J187" s="23">
        <f>SUM(J162:J186)</f>
        <v>3</v>
      </c>
      <c r="K187" s="76">
        <f t="shared" si="169"/>
        <v>12</v>
      </c>
      <c r="L187" s="79">
        <f t="shared" si="161"/>
        <v>20</v>
      </c>
      <c r="N187" s="83" t="s">
        <v>8</v>
      </c>
      <c r="O187" s="21">
        <f>SUM(O162:O186)</f>
        <v>42</v>
      </c>
      <c r="P187" s="29">
        <f>SUM(P162:P186)</f>
        <v>66</v>
      </c>
      <c r="Q187" s="22">
        <f>SUM(Q162:Q186)</f>
        <v>30</v>
      </c>
      <c r="R187" s="23">
        <f>SUM(R162:R186)</f>
        <v>36</v>
      </c>
      <c r="S187" s="44">
        <f>SUM(O187:R187)</f>
        <v>174</v>
      </c>
      <c r="T187" s="21">
        <f>SUM(T162:T186)</f>
        <v>33</v>
      </c>
      <c r="U187" s="29">
        <f>SUM(U162:U186)</f>
        <v>40</v>
      </c>
      <c r="V187" s="22">
        <f>SUM(V162:V186)</f>
        <v>28</v>
      </c>
      <c r="W187" s="23">
        <f>SUM(W162:W186)</f>
        <v>26</v>
      </c>
      <c r="X187" s="44">
        <f t="shared" si="170"/>
        <v>127</v>
      </c>
      <c r="Y187" s="80">
        <f t="shared" si="164"/>
        <v>301</v>
      </c>
    </row>
    <row r="188" spans="1:27" ht="14.25" thickBot="1" x14ac:dyDescent="0.2">
      <c r="A188" s="13" t="s">
        <v>9</v>
      </c>
      <c r="B188" s="24">
        <f t="shared" ref="B188:K188" si="174">B161-B187</f>
        <v>3</v>
      </c>
      <c r="C188" s="30">
        <f t="shared" si="174"/>
        <v>3</v>
      </c>
      <c r="D188" s="25">
        <f t="shared" si="174"/>
        <v>2</v>
      </c>
      <c r="E188" s="26">
        <f t="shared" si="174"/>
        <v>3</v>
      </c>
      <c r="F188" s="66">
        <f t="shared" si="174"/>
        <v>11</v>
      </c>
      <c r="G188" s="24">
        <f t="shared" si="174"/>
        <v>2</v>
      </c>
      <c r="H188" s="30">
        <f t="shared" si="174"/>
        <v>3</v>
      </c>
      <c r="I188" s="25">
        <f t="shared" si="174"/>
        <v>2</v>
      </c>
      <c r="J188" s="26">
        <f t="shared" si="174"/>
        <v>2</v>
      </c>
      <c r="K188" s="77">
        <f t="shared" si="174"/>
        <v>9</v>
      </c>
      <c r="L188" s="80">
        <f t="shared" si="161"/>
        <v>20</v>
      </c>
      <c r="N188" s="13" t="s">
        <v>9</v>
      </c>
      <c r="O188" s="24">
        <f t="shared" ref="O188:X188" si="175">O161-O187</f>
        <v>85</v>
      </c>
      <c r="P188" s="30">
        <f t="shared" si="175"/>
        <v>96</v>
      </c>
      <c r="Q188" s="25">
        <f t="shared" si="175"/>
        <v>155</v>
      </c>
      <c r="R188" s="26">
        <f t="shared" si="175"/>
        <v>94</v>
      </c>
      <c r="S188" s="66">
        <f t="shared" si="175"/>
        <v>430</v>
      </c>
      <c r="T188" s="24">
        <f t="shared" si="175"/>
        <v>114</v>
      </c>
      <c r="U188" s="30">
        <f t="shared" si="175"/>
        <v>138</v>
      </c>
      <c r="V188" s="25">
        <f t="shared" si="175"/>
        <v>139</v>
      </c>
      <c r="W188" s="26">
        <f t="shared" si="175"/>
        <v>99</v>
      </c>
      <c r="X188" s="33">
        <f t="shared" si="175"/>
        <v>490</v>
      </c>
      <c r="Y188" s="80">
        <f t="shared" si="164"/>
        <v>920</v>
      </c>
      <c r="Z188" s="166" t="s">
        <v>100</v>
      </c>
    </row>
    <row r="191" spans="1:27" ht="19.5" thickBot="1" x14ac:dyDescent="0.25">
      <c r="A191" s="2" t="s">
        <v>21</v>
      </c>
      <c r="B191" s="2"/>
      <c r="C191" s="1"/>
      <c r="D191" s="1"/>
      <c r="E191" s="1"/>
      <c r="F191" s="67" t="s">
        <v>86</v>
      </c>
      <c r="H191" s="1"/>
      <c r="I191" s="1"/>
      <c r="J191" s="1"/>
      <c r="K191" s="67"/>
      <c r="N191" s="2" t="s">
        <v>22</v>
      </c>
      <c r="O191" s="2"/>
      <c r="P191" s="1"/>
      <c r="Q191" s="1"/>
      <c r="R191" s="67" t="s">
        <v>85</v>
      </c>
      <c r="U191" s="1"/>
      <c r="V191" s="1"/>
      <c r="W191" s="1"/>
      <c r="X191" s="67" t="s">
        <v>20</v>
      </c>
    </row>
    <row r="192" spans="1:27" ht="14.25" thickBot="1" x14ac:dyDescent="0.2">
      <c r="A192" s="5" t="s">
        <v>0</v>
      </c>
      <c r="B192" s="184" t="s">
        <v>18</v>
      </c>
      <c r="C192" s="185"/>
      <c r="D192" s="185"/>
      <c r="E192" s="185"/>
      <c r="F192" s="186"/>
      <c r="G192" s="187" t="s">
        <v>19</v>
      </c>
      <c r="H192" s="188"/>
      <c r="I192" s="188"/>
      <c r="J192" s="188"/>
      <c r="K192" s="188"/>
      <c r="L192" s="182" t="s">
        <v>13</v>
      </c>
      <c r="N192" s="5" t="s">
        <v>0</v>
      </c>
      <c r="O192" s="184" t="s">
        <v>39</v>
      </c>
      <c r="P192" s="185"/>
      <c r="Q192" s="185"/>
      <c r="R192" s="185"/>
      <c r="S192" s="186"/>
      <c r="T192" s="187" t="s">
        <v>40</v>
      </c>
      <c r="U192" s="188"/>
      <c r="V192" s="188"/>
      <c r="W192" s="188"/>
      <c r="X192" s="188"/>
      <c r="Y192" s="182" t="s">
        <v>13</v>
      </c>
    </row>
    <row r="193" spans="1:27" ht="14.25" thickBot="1" x14ac:dyDescent="0.2">
      <c r="A193" s="5" t="s">
        <v>1</v>
      </c>
      <c r="B193" s="3" t="s">
        <v>14</v>
      </c>
      <c r="C193" s="27" t="s">
        <v>15</v>
      </c>
      <c r="D193" s="4" t="s">
        <v>16</v>
      </c>
      <c r="E193" s="14" t="s">
        <v>17</v>
      </c>
      <c r="F193" s="18" t="s">
        <v>2</v>
      </c>
      <c r="G193" s="3" t="s">
        <v>14</v>
      </c>
      <c r="H193" s="27" t="s">
        <v>15</v>
      </c>
      <c r="I193" s="4" t="s">
        <v>16</v>
      </c>
      <c r="J193" s="14" t="s">
        <v>17</v>
      </c>
      <c r="K193" s="68" t="s">
        <v>2</v>
      </c>
      <c r="L193" s="183"/>
      <c r="N193" s="5" t="s">
        <v>1</v>
      </c>
      <c r="O193" s="3" t="s">
        <v>14</v>
      </c>
      <c r="P193" s="27" t="s">
        <v>15</v>
      </c>
      <c r="Q193" s="4" t="s">
        <v>16</v>
      </c>
      <c r="R193" s="14" t="s">
        <v>17</v>
      </c>
      <c r="S193" s="18" t="s">
        <v>2</v>
      </c>
      <c r="T193" s="3" t="s">
        <v>14</v>
      </c>
      <c r="U193" s="27" t="s">
        <v>15</v>
      </c>
      <c r="V193" s="4" t="s">
        <v>16</v>
      </c>
      <c r="W193" s="14" t="s">
        <v>17</v>
      </c>
      <c r="X193" s="68" t="s">
        <v>2</v>
      </c>
      <c r="Y193" s="183"/>
    </row>
    <row r="194" spans="1:27" x14ac:dyDescent="0.15">
      <c r="A194" s="61" t="s">
        <v>10</v>
      </c>
      <c r="B194" s="62">
        <f>B188</f>
        <v>3</v>
      </c>
      <c r="C194" s="63">
        <f>C188</f>
        <v>3</v>
      </c>
      <c r="D194" s="63">
        <f>D188</f>
        <v>2</v>
      </c>
      <c r="E194" s="64">
        <f>E188</f>
        <v>3</v>
      </c>
      <c r="F194" s="65">
        <f>SUM(B194:E194)</f>
        <v>11</v>
      </c>
      <c r="G194" s="62">
        <f>G188</f>
        <v>2</v>
      </c>
      <c r="H194" s="63">
        <f>H188</f>
        <v>3</v>
      </c>
      <c r="I194" s="63">
        <f>I188</f>
        <v>2</v>
      </c>
      <c r="J194" s="64">
        <f>J188</f>
        <v>2</v>
      </c>
      <c r="K194" s="69">
        <f>SUM(G194:J194)</f>
        <v>9</v>
      </c>
      <c r="L194" s="78">
        <f>F194+K194</f>
        <v>20</v>
      </c>
      <c r="N194" s="61" t="s">
        <v>10</v>
      </c>
      <c r="O194" s="62">
        <f>O188</f>
        <v>85</v>
      </c>
      <c r="P194" s="63">
        <f>P188</f>
        <v>96</v>
      </c>
      <c r="Q194" s="63">
        <f>Q188</f>
        <v>155</v>
      </c>
      <c r="R194" s="64">
        <f>R188</f>
        <v>94</v>
      </c>
      <c r="S194" s="65">
        <f>SUM(O194:R194)</f>
        <v>430</v>
      </c>
      <c r="T194" s="62">
        <f>T188</f>
        <v>114</v>
      </c>
      <c r="U194" s="63">
        <f>U188</f>
        <v>138</v>
      </c>
      <c r="V194" s="63">
        <f>V188</f>
        <v>139</v>
      </c>
      <c r="W194" s="81">
        <f>W188</f>
        <v>99</v>
      </c>
      <c r="X194" s="82">
        <f>SUM(T194:W194)</f>
        <v>490</v>
      </c>
      <c r="Y194" s="78">
        <f>S194+X194</f>
        <v>920</v>
      </c>
    </row>
    <row r="195" spans="1:27" x14ac:dyDescent="0.15">
      <c r="A195" s="11" t="s">
        <v>3</v>
      </c>
      <c r="B195" s="127"/>
      <c r="C195" s="128">
        <v>3</v>
      </c>
      <c r="D195" s="129">
        <v>3</v>
      </c>
      <c r="E195" s="130"/>
      <c r="F195" s="49">
        <f>SUM(B195:E195)</f>
        <v>6</v>
      </c>
      <c r="G195" s="38"/>
      <c r="H195" s="39"/>
      <c r="I195" s="40"/>
      <c r="J195" s="41"/>
      <c r="K195" s="70">
        <f>SUM(G195:J195)</f>
        <v>0</v>
      </c>
      <c r="L195" s="91">
        <f t="shared" ref="L195:L196" si="176">F195+K195</f>
        <v>6</v>
      </c>
      <c r="M195" s="103">
        <v>46167</v>
      </c>
      <c r="N195" s="144" t="s">
        <v>3</v>
      </c>
      <c r="O195" s="85"/>
      <c r="P195" s="86"/>
      <c r="Q195" s="87"/>
      <c r="R195" s="98"/>
      <c r="S195" s="99">
        <f t="shared" ref="S195" si="177">SUM(O195:R195)</f>
        <v>0</v>
      </c>
      <c r="T195" s="85"/>
      <c r="U195" s="86"/>
      <c r="V195" s="87"/>
      <c r="W195" s="98"/>
      <c r="X195" s="99">
        <f t="shared" ref="X195:X197" si="178">SUM(T195:W195)</f>
        <v>0</v>
      </c>
      <c r="Y195" s="78">
        <f t="shared" ref="Y195:Y198" si="179">S195+X195</f>
        <v>0</v>
      </c>
    </row>
    <row r="196" spans="1:27" x14ac:dyDescent="0.15">
      <c r="A196" s="11" t="s">
        <v>4</v>
      </c>
      <c r="B196" s="6"/>
      <c r="C196" s="17"/>
      <c r="D196" s="7"/>
      <c r="E196" s="8">
        <v>3</v>
      </c>
      <c r="F196" s="9">
        <f>SUM(B196:E196)</f>
        <v>3</v>
      </c>
      <c r="G196" s="15"/>
      <c r="H196" s="28"/>
      <c r="I196" s="16"/>
      <c r="J196" s="19"/>
      <c r="K196" s="71">
        <f>SUM(G196:J196)</f>
        <v>0</v>
      </c>
      <c r="L196" s="91">
        <f t="shared" si="176"/>
        <v>3</v>
      </c>
      <c r="M196" s="103">
        <v>46176</v>
      </c>
      <c r="N196" s="144" t="s">
        <v>4</v>
      </c>
      <c r="O196" s="88"/>
      <c r="P196" s="89"/>
      <c r="Q196" s="90"/>
      <c r="R196" s="100"/>
      <c r="S196" s="101">
        <f>SUM(O196:R196)</f>
        <v>0</v>
      </c>
      <c r="T196" s="88"/>
      <c r="U196" s="89"/>
      <c r="V196" s="90"/>
      <c r="W196" s="100"/>
      <c r="X196" s="99">
        <f t="shared" si="178"/>
        <v>0</v>
      </c>
      <c r="Y196" s="78">
        <f t="shared" si="179"/>
        <v>0</v>
      </c>
    </row>
    <row r="197" spans="1:27" x14ac:dyDescent="0.15">
      <c r="A197" s="11" t="s">
        <v>5</v>
      </c>
      <c r="B197" s="15"/>
      <c r="C197" s="28"/>
      <c r="D197" s="16"/>
      <c r="E197" s="19"/>
      <c r="F197" s="9">
        <f t="shared" ref="F197" si="180">SUM(B197:E197)</f>
        <v>0</v>
      </c>
      <c r="G197" s="15">
        <v>2</v>
      </c>
      <c r="H197" s="28"/>
      <c r="I197" s="16"/>
      <c r="J197" s="31"/>
      <c r="K197" s="74">
        <f>SUM(G197:J197)</f>
        <v>2</v>
      </c>
      <c r="L197" s="91">
        <f>F197+K197</f>
        <v>2</v>
      </c>
      <c r="M197" s="103">
        <v>46178</v>
      </c>
      <c r="N197" s="144" t="s">
        <v>5</v>
      </c>
      <c r="O197" s="85"/>
      <c r="P197" s="86"/>
      <c r="Q197" s="87"/>
      <c r="R197" s="98"/>
      <c r="S197" s="99">
        <f t="shared" ref="S197" si="181">SUM(O197:R197)</f>
        <v>0</v>
      </c>
      <c r="T197" s="85"/>
      <c r="U197" s="86"/>
      <c r="V197" s="87"/>
      <c r="W197" s="98"/>
      <c r="X197" s="99">
        <f t="shared" si="178"/>
        <v>0</v>
      </c>
      <c r="Y197" s="78">
        <f t="shared" si="179"/>
        <v>0</v>
      </c>
    </row>
    <row r="198" spans="1:27" ht="14.25" thickBot="1" x14ac:dyDescent="0.2">
      <c r="A198" s="131" t="s">
        <v>6</v>
      </c>
      <c r="B198" s="132"/>
      <c r="C198" s="133"/>
      <c r="D198" s="134"/>
      <c r="E198" s="135"/>
      <c r="F198" s="150">
        <f>SUM(B198:E198)</f>
        <v>0</v>
      </c>
      <c r="G198" s="151"/>
      <c r="H198" s="152"/>
      <c r="I198" s="153"/>
      <c r="J198" s="154">
        <v>3</v>
      </c>
      <c r="K198" s="155">
        <f>SUM(G198:J198)</f>
        <v>3</v>
      </c>
      <c r="L198" s="142">
        <f t="shared" ref="L198" si="182">F198+K198</f>
        <v>3</v>
      </c>
      <c r="M198" s="143">
        <v>46182</v>
      </c>
      <c r="N198" s="144" t="s">
        <v>6</v>
      </c>
      <c r="O198" s="15"/>
      <c r="P198" s="28"/>
      <c r="Q198" s="16"/>
      <c r="R198" s="31"/>
      <c r="S198" s="9">
        <f>SUM(O198:R198)</f>
        <v>0</v>
      </c>
      <c r="T198" s="15"/>
      <c r="U198" s="28"/>
      <c r="V198" s="16"/>
      <c r="W198" s="31"/>
      <c r="X198" s="9">
        <f>SUM(T198:W198)</f>
        <v>0</v>
      </c>
      <c r="Y198" s="91">
        <f t="shared" si="179"/>
        <v>0</v>
      </c>
    </row>
    <row r="199" spans="1:27" ht="14.25" thickBot="1" x14ac:dyDescent="0.2">
      <c r="A199" s="13" t="s">
        <v>7</v>
      </c>
      <c r="B199" s="50">
        <f t="shared" ref="B199:K199" si="183">SUM(B194:B198)</f>
        <v>3</v>
      </c>
      <c r="C199" s="51">
        <f t="shared" si="183"/>
        <v>6</v>
      </c>
      <c r="D199" s="52">
        <f t="shared" si="183"/>
        <v>5</v>
      </c>
      <c r="E199" s="53">
        <f t="shared" si="183"/>
        <v>6</v>
      </c>
      <c r="F199" s="54">
        <f t="shared" si="183"/>
        <v>20</v>
      </c>
      <c r="G199" s="24">
        <f t="shared" si="183"/>
        <v>4</v>
      </c>
      <c r="H199" s="30">
        <f t="shared" si="183"/>
        <v>3</v>
      </c>
      <c r="I199" s="25">
        <f t="shared" si="183"/>
        <v>2</v>
      </c>
      <c r="J199" s="55">
        <f t="shared" si="183"/>
        <v>5</v>
      </c>
      <c r="K199" s="73">
        <f t="shared" si="183"/>
        <v>14</v>
      </c>
      <c r="L199" s="79">
        <f>F199+K199</f>
        <v>34</v>
      </c>
      <c r="N199" s="13" t="s">
        <v>7</v>
      </c>
      <c r="O199" s="24">
        <f t="shared" ref="O199:X199" si="184">SUM(O194:O198)</f>
        <v>85</v>
      </c>
      <c r="P199" s="30">
        <f t="shared" si="184"/>
        <v>96</v>
      </c>
      <c r="Q199" s="25">
        <f t="shared" si="184"/>
        <v>155</v>
      </c>
      <c r="R199" s="55">
        <f t="shared" si="184"/>
        <v>94</v>
      </c>
      <c r="S199" s="54">
        <f t="shared" si="184"/>
        <v>430</v>
      </c>
      <c r="T199" s="24">
        <f t="shared" si="184"/>
        <v>114</v>
      </c>
      <c r="U199" s="30">
        <f t="shared" si="184"/>
        <v>138</v>
      </c>
      <c r="V199" s="25">
        <f t="shared" si="184"/>
        <v>139</v>
      </c>
      <c r="W199" s="55">
        <f t="shared" si="184"/>
        <v>99</v>
      </c>
      <c r="X199" s="56">
        <f t="shared" si="184"/>
        <v>490</v>
      </c>
      <c r="Y199" s="79">
        <f>S199+X199</f>
        <v>920</v>
      </c>
    </row>
    <row r="200" spans="1:27" x14ac:dyDescent="0.15">
      <c r="A200" s="43" t="s">
        <v>41</v>
      </c>
      <c r="B200" s="15"/>
      <c r="C200" s="28">
        <v>1</v>
      </c>
      <c r="D200" s="16"/>
      <c r="E200" s="19">
        <v>1</v>
      </c>
      <c r="F200" s="42">
        <f t="shared" ref="F200:F224" si="185">SUM(B200:E200)</f>
        <v>2</v>
      </c>
      <c r="G200" s="15"/>
      <c r="H200" s="28"/>
      <c r="I200" s="16"/>
      <c r="J200" s="31"/>
      <c r="K200" s="74">
        <f t="shared" ref="K200:K205" si="186">SUM(G200:J200)</f>
        <v>0</v>
      </c>
      <c r="L200" s="91">
        <f t="shared" ref="L200:L226" si="187">F200+K200</f>
        <v>2</v>
      </c>
      <c r="M200" s="149">
        <v>46160</v>
      </c>
      <c r="N200" s="126" t="s">
        <v>110</v>
      </c>
      <c r="O200" s="38"/>
      <c r="P200" s="39">
        <v>3</v>
      </c>
      <c r="Q200" s="40">
        <v>3</v>
      </c>
      <c r="R200" s="41"/>
      <c r="S200" s="57">
        <f t="shared" ref="S200:S222" si="188">SUM(O200:R200)</f>
        <v>6</v>
      </c>
      <c r="T200" s="15"/>
      <c r="U200" s="28"/>
      <c r="V200" s="16"/>
      <c r="W200" s="31"/>
      <c r="X200" s="9">
        <f t="shared" ref="X200:X205" si="189">SUM(T200:W200)</f>
        <v>0</v>
      </c>
      <c r="Y200" s="106">
        <f>S200+X200</f>
        <v>6</v>
      </c>
      <c r="Z200" s="104">
        <v>46167</v>
      </c>
    </row>
    <row r="201" spans="1:27" x14ac:dyDescent="0.15">
      <c r="A201" s="43" t="s">
        <v>107</v>
      </c>
      <c r="B201" s="15"/>
      <c r="C201" s="28"/>
      <c r="D201" s="16">
        <v>1</v>
      </c>
      <c r="E201" s="19"/>
      <c r="F201" s="42">
        <f t="shared" si="185"/>
        <v>1</v>
      </c>
      <c r="G201" s="15"/>
      <c r="H201" s="28"/>
      <c r="I201" s="16"/>
      <c r="J201" s="31"/>
      <c r="K201" s="74">
        <f t="shared" si="186"/>
        <v>0</v>
      </c>
      <c r="L201" s="91">
        <f t="shared" si="187"/>
        <v>1</v>
      </c>
      <c r="M201" s="103">
        <v>46161</v>
      </c>
      <c r="N201" s="43" t="s">
        <v>112</v>
      </c>
      <c r="O201" s="15"/>
      <c r="P201" s="28"/>
      <c r="Q201" s="16"/>
      <c r="R201" s="19">
        <v>3</v>
      </c>
      <c r="S201" s="42">
        <f t="shared" si="188"/>
        <v>3</v>
      </c>
      <c r="T201" s="15"/>
      <c r="U201" s="16"/>
      <c r="V201" s="28"/>
      <c r="W201" s="48"/>
      <c r="X201" s="9">
        <f t="shared" si="189"/>
        <v>0</v>
      </c>
      <c r="Y201" s="91">
        <f t="shared" ref="Y201:Y226" si="190">S201+X201</f>
        <v>3</v>
      </c>
      <c r="Z201" s="104">
        <v>46176</v>
      </c>
    </row>
    <row r="202" spans="1:27" x14ac:dyDescent="0.15">
      <c r="A202" s="43" t="s">
        <v>41</v>
      </c>
      <c r="B202" s="15"/>
      <c r="C202" s="28">
        <v>1</v>
      </c>
      <c r="D202" s="16"/>
      <c r="E202" s="19"/>
      <c r="F202" s="42">
        <f t="shared" si="185"/>
        <v>1</v>
      </c>
      <c r="G202" s="15"/>
      <c r="H202" s="28"/>
      <c r="I202" s="16"/>
      <c r="J202" s="31"/>
      <c r="K202" s="74">
        <f t="shared" si="186"/>
        <v>0</v>
      </c>
      <c r="L202" s="91">
        <f t="shared" si="187"/>
        <v>1</v>
      </c>
      <c r="M202" s="103">
        <v>46162</v>
      </c>
      <c r="N202" s="43" t="s">
        <v>112</v>
      </c>
      <c r="O202" s="15"/>
      <c r="P202" s="28"/>
      <c r="Q202" s="16"/>
      <c r="R202" s="19"/>
      <c r="S202" s="42">
        <f t="shared" si="188"/>
        <v>0</v>
      </c>
      <c r="T202" s="15">
        <v>2</v>
      </c>
      <c r="U202" s="16"/>
      <c r="V202" s="28"/>
      <c r="W202" s="48"/>
      <c r="X202" s="9">
        <f t="shared" si="189"/>
        <v>2</v>
      </c>
      <c r="Y202" s="91">
        <f t="shared" si="190"/>
        <v>2</v>
      </c>
      <c r="Z202" s="104">
        <v>46178</v>
      </c>
      <c r="AA202" s="105"/>
    </row>
    <row r="203" spans="1:27" x14ac:dyDescent="0.15">
      <c r="A203" s="43" t="s">
        <v>41</v>
      </c>
      <c r="B203" s="15"/>
      <c r="C203" s="28"/>
      <c r="D203" s="16">
        <v>1</v>
      </c>
      <c r="E203" s="19"/>
      <c r="F203" s="42">
        <f t="shared" si="185"/>
        <v>1</v>
      </c>
      <c r="G203" s="15"/>
      <c r="H203" s="28"/>
      <c r="I203" s="16"/>
      <c r="J203" s="31"/>
      <c r="K203" s="74">
        <f t="shared" si="186"/>
        <v>0</v>
      </c>
      <c r="L203" s="91">
        <f t="shared" si="187"/>
        <v>1</v>
      </c>
      <c r="M203" s="149">
        <v>46164</v>
      </c>
      <c r="N203" s="144" t="s">
        <v>112</v>
      </c>
      <c r="O203" s="137"/>
      <c r="P203" s="138"/>
      <c r="Q203" s="139"/>
      <c r="R203" s="140"/>
      <c r="S203" s="145">
        <f t="shared" si="188"/>
        <v>0</v>
      </c>
      <c r="T203" s="137"/>
      <c r="U203" s="138"/>
      <c r="V203" s="139"/>
      <c r="W203" s="146">
        <v>3</v>
      </c>
      <c r="X203" s="136">
        <f t="shared" si="189"/>
        <v>3</v>
      </c>
      <c r="Y203" s="142">
        <f t="shared" si="190"/>
        <v>3</v>
      </c>
      <c r="Z203" s="147">
        <v>46182</v>
      </c>
      <c r="AA203" s="175"/>
    </row>
    <row r="204" spans="1:27" x14ac:dyDescent="0.15">
      <c r="A204" s="43" t="s">
        <v>41</v>
      </c>
      <c r="B204" s="15"/>
      <c r="C204" s="28">
        <v>1</v>
      </c>
      <c r="D204" s="16"/>
      <c r="E204" s="19"/>
      <c r="F204" s="42">
        <f t="shared" si="185"/>
        <v>1</v>
      </c>
      <c r="G204" s="15"/>
      <c r="H204" s="28"/>
      <c r="I204" s="16"/>
      <c r="J204" s="31"/>
      <c r="K204" s="74">
        <f t="shared" si="186"/>
        <v>0</v>
      </c>
      <c r="L204" s="91">
        <f t="shared" si="187"/>
        <v>1</v>
      </c>
      <c r="M204" s="149">
        <v>46167</v>
      </c>
      <c r="N204" s="43" t="s">
        <v>112</v>
      </c>
      <c r="O204" s="15">
        <v>3</v>
      </c>
      <c r="P204" s="28"/>
      <c r="Q204" s="16"/>
      <c r="R204" s="19"/>
      <c r="S204" s="42">
        <f t="shared" si="188"/>
        <v>3</v>
      </c>
      <c r="T204" s="15"/>
      <c r="U204" s="28"/>
      <c r="V204" s="16"/>
      <c r="W204" s="31"/>
      <c r="X204" s="9">
        <f t="shared" si="189"/>
        <v>0</v>
      </c>
      <c r="Y204" s="91">
        <f t="shared" si="190"/>
        <v>3</v>
      </c>
      <c r="Z204" s="104">
        <v>46188</v>
      </c>
    </row>
    <row r="205" spans="1:27" x14ac:dyDescent="0.15">
      <c r="A205" s="43" t="s">
        <v>72</v>
      </c>
      <c r="B205" s="15"/>
      <c r="C205" s="28"/>
      <c r="D205" s="16"/>
      <c r="E205" s="19"/>
      <c r="F205" s="42">
        <f t="shared" si="185"/>
        <v>0</v>
      </c>
      <c r="G205" s="15"/>
      <c r="H205" s="28">
        <v>1</v>
      </c>
      <c r="I205" s="16"/>
      <c r="J205" s="31"/>
      <c r="K205" s="74">
        <f t="shared" si="186"/>
        <v>1</v>
      </c>
      <c r="L205" s="91">
        <f t="shared" si="187"/>
        <v>1</v>
      </c>
      <c r="M205" s="103">
        <v>46175</v>
      </c>
      <c r="N205" s="176" t="s">
        <v>112</v>
      </c>
      <c r="O205" s="88"/>
      <c r="P205" s="89"/>
      <c r="Q205" s="90">
        <v>3</v>
      </c>
      <c r="R205" s="177"/>
      <c r="S205" s="178">
        <f t="shared" si="188"/>
        <v>3</v>
      </c>
      <c r="T205" s="88"/>
      <c r="U205" s="89">
        <v>3</v>
      </c>
      <c r="V205" s="90">
        <v>3</v>
      </c>
      <c r="W205" s="100"/>
      <c r="X205" s="101">
        <f t="shared" si="189"/>
        <v>6</v>
      </c>
      <c r="Y205" s="78">
        <f t="shared" si="190"/>
        <v>9</v>
      </c>
      <c r="Z205" s="181">
        <v>46192</v>
      </c>
    </row>
    <row r="206" spans="1:27" x14ac:dyDescent="0.15">
      <c r="A206" s="43" t="s">
        <v>41</v>
      </c>
      <c r="B206" s="15"/>
      <c r="C206" s="28"/>
      <c r="D206" s="16"/>
      <c r="E206" s="19">
        <v>2</v>
      </c>
      <c r="F206" s="42">
        <f t="shared" si="185"/>
        <v>2</v>
      </c>
      <c r="G206" s="15"/>
      <c r="H206" s="28"/>
      <c r="I206" s="16"/>
      <c r="J206" s="31"/>
      <c r="K206" s="74">
        <f>SUM(G206:J206)</f>
        <v>0</v>
      </c>
      <c r="L206" s="91">
        <f t="shared" si="187"/>
        <v>2</v>
      </c>
      <c r="M206" s="149">
        <v>46174</v>
      </c>
      <c r="N206" s="43"/>
      <c r="O206" s="15"/>
      <c r="P206" s="28"/>
      <c r="Q206" s="16"/>
      <c r="R206" s="19"/>
      <c r="S206" s="42">
        <f t="shared" si="188"/>
        <v>0</v>
      </c>
      <c r="T206" s="15"/>
      <c r="U206" s="28"/>
      <c r="V206" s="16"/>
      <c r="W206" s="31"/>
      <c r="X206" s="9">
        <f>SUM(T206:W206)</f>
        <v>0</v>
      </c>
      <c r="Y206" s="91">
        <f t="shared" si="190"/>
        <v>0</v>
      </c>
    </row>
    <row r="207" spans="1:27" x14ac:dyDescent="0.15">
      <c r="A207" s="43" t="s">
        <v>113</v>
      </c>
      <c r="B207" s="15"/>
      <c r="C207" s="28"/>
      <c r="D207" s="16"/>
      <c r="E207" s="19"/>
      <c r="F207" s="42">
        <f t="shared" si="185"/>
        <v>0</v>
      </c>
      <c r="G207" s="15">
        <v>1</v>
      </c>
      <c r="H207" s="28"/>
      <c r="I207" s="16"/>
      <c r="J207" s="31"/>
      <c r="K207" s="74">
        <f t="shared" ref="K207:K211" si="191">SUM(G207:J207)</f>
        <v>1</v>
      </c>
      <c r="L207" s="91">
        <f t="shared" si="187"/>
        <v>1</v>
      </c>
      <c r="M207" s="103">
        <v>46177</v>
      </c>
      <c r="N207" s="43"/>
      <c r="O207" s="15"/>
      <c r="P207" s="28"/>
      <c r="Q207" s="16"/>
      <c r="R207" s="19"/>
      <c r="S207" s="42">
        <f t="shared" si="188"/>
        <v>0</v>
      </c>
      <c r="T207" s="15"/>
      <c r="U207" s="28"/>
      <c r="V207" s="16"/>
      <c r="W207" s="31"/>
      <c r="X207" s="9">
        <f t="shared" ref="X207:X211" si="192">SUM(T207:W207)</f>
        <v>0</v>
      </c>
      <c r="Y207" s="91">
        <f t="shared" si="190"/>
        <v>0</v>
      </c>
    </row>
    <row r="208" spans="1:27" x14ac:dyDescent="0.15">
      <c r="A208" s="43" t="s">
        <v>41</v>
      </c>
      <c r="B208" s="15">
        <v>1</v>
      </c>
      <c r="C208" s="28"/>
      <c r="D208" s="16"/>
      <c r="E208" s="19"/>
      <c r="F208" s="42">
        <f t="shared" si="185"/>
        <v>1</v>
      </c>
      <c r="G208" s="15"/>
      <c r="H208" s="28"/>
      <c r="I208" s="16"/>
      <c r="J208" s="31"/>
      <c r="K208" s="74">
        <f t="shared" si="191"/>
        <v>0</v>
      </c>
      <c r="L208" s="91">
        <f t="shared" si="187"/>
        <v>1</v>
      </c>
      <c r="M208" s="103">
        <v>46177</v>
      </c>
      <c r="N208" s="43"/>
      <c r="O208" s="15"/>
      <c r="P208" s="28"/>
      <c r="Q208" s="16"/>
      <c r="R208" s="19"/>
      <c r="S208" s="42">
        <f t="shared" si="188"/>
        <v>0</v>
      </c>
      <c r="T208" s="15"/>
      <c r="U208" s="28"/>
      <c r="V208" s="16"/>
      <c r="W208" s="31"/>
      <c r="X208" s="9">
        <f t="shared" si="192"/>
        <v>0</v>
      </c>
      <c r="Y208" s="91">
        <f t="shared" si="190"/>
        <v>0</v>
      </c>
    </row>
    <row r="209" spans="1:25" x14ac:dyDescent="0.15">
      <c r="A209" s="43" t="s">
        <v>41</v>
      </c>
      <c r="B209" s="15"/>
      <c r="C209" s="28"/>
      <c r="D209" s="16"/>
      <c r="E209" s="19"/>
      <c r="F209" s="42">
        <f t="shared" si="185"/>
        <v>0</v>
      </c>
      <c r="G209" s="15"/>
      <c r="H209" s="28"/>
      <c r="I209" s="16"/>
      <c r="J209" s="31">
        <v>1</v>
      </c>
      <c r="K209" s="74">
        <f t="shared" si="191"/>
        <v>1</v>
      </c>
      <c r="L209" s="91">
        <f t="shared" si="187"/>
        <v>1</v>
      </c>
      <c r="M209" s="103">
        <v>46181</v>
      </c>
      <c r="N209" s="32"/>
      <c r="O209" s="15"/>
      <c r="P209" s="28"/>
      <c r="Q209" s="16"/>
      <c r="R209" s="19"/>
      <c r="S209" s="42">
        <f t="shared" si="188"/>
        <v>0</v>
      </c>
      <c r="T209" s="15"/>
      <c r="U209" s="28"/>
      <c r="V209" s="16"/>
      <c r="W209" s="31"/>
      <c r="X209" s="9">
        <f t="shared" si="192"/>
        <v>0</v>
      </c>
      <c r="Y209" s="91">
        <f t="shared" si="190"/>
        <v>0</v>
      </c>
    </row>
    <row r="210" spans="1:25" x14ac:dyDescent="0.15">
      <c r="A210" s="43" t="s">
        <v>114</v>
      </c>
      <c r="B210" s="15">
        <v>1</v>
      </c>
      <c r="C210" s="28"/>
      <c r="D210" s="16"/>
      <c r="E210" s="19"/>
      <c r="F210" s="42">
        <f t="shared" si="185"/>
        <v>1</v>
      </c>
      <c r="G210" s="15"/>
      <c r="H210" s="28"/>
      <c r="I210" s="16"/>
      <c r="J210" s="31"/>
      <c r="K210" s="74">
        <f t="shared" si="191"/>
        <v>0</v>
      </c>
      <c r="L210" s="91">
        <f t="shared" si="187"/>
        <v>1</v>
      </c>
      <c r="M210" s="103">
        <v>46184</v>
      </c>
      <c r="N210" s="43"/>
      <c r="O210" s="15"/>
      <c r="P210" s="28"/>
      <c r="Q210" s="16"/>
      <c r="R210" s="19"/>
      <c r="S210" s="42">
        <f t="shared" si="188"/>
        <v>0</v>
      </c>
      <c r="T210" s="15"/>
      <c r="U210" s="28"/>
      <c r="V210" s="16"/>
      <c r="W210" s="31"/>
      <c r="X210" s="9">
        <f t="shared" si="192"/>
        <v>0</v>
      </c>
      <c r="Y210" s="91">
        <f t="shared" si="190"/>
        <v>0</v>
      </c>
    </row>
    <row r="211" spans="1:25" x14ac:dyDescent="0.15">
      <c r="A211" s="43" t="s">
        <v>115</v>
      </c>
      <c r="B211" s="15">
        <v>-3</v>
      </c>
      <c r="C211" s="28"/>
      <c r="D211" s="16"/>
      <c r="E211" s="19"/>
      <c r="F211" s="42">
        <f t="shared" si="185"/>
        <v>-3</v>
      </c>
      <c r="G211" s="15"/>
      <c r="H211" s="28"/>
      <c r="I211" s="16"/>
      <c r="J211" s="31"/>
      <c r="K211" s="74">
        <f t="shared" si="191"/>
        <v>0</v>
      </c>
      <c r="L211" s="91">
        <f t="shared" si="187"/>
        <v>-3</v>
      </c>
      <c r="M211" s="103">
        <v>46188</v>
      </c>
      <c r="N211" s="43"/>
      <c r="O211" s="15"/>
      <c r="P211" s="28"/>
      <c r="Q211" s="16"/>
      <c r="R211" s="19"/>
      <c r="S211" s="42">
        <f t="shared" si="188"/>
        <v>0</v>
      </c>
      <c r="T211" s="15"/>
      <c r="U211" s="28"/>
      <c r="V211" s="16"/>
      <c r="W211" s="31"/>
      <c r="X211" s="9">
        <f t="shared" si="192"/>
        <v>0</v>
      </c>
      <c r="Y211" s="91">
        <f t="shared" si="190"/>
        <v>0</v>
      </c>
    </row>
    <row r="212" spans="1:25" x14ac:dyDescent="0.15">
      <c r="A212" s="43" t="s">
        <v>41</v>
      </c>
      <c r="B212" s="15"/>
      <c r="C212" s="28"/>
      <c r="D212" s="16">
        <v>1</v>
      </c>
      <c r="E212" s="19"/>
      <c r="F212" s="42">
        <f t="shared" si="185"/>
        <v>1</v>
      </c>
      <c r="G212" s="15"/>
      <c r="H212" s="28"/>
      <c r="I212" s="16"/>
      <c r="J212" s="31"/>
      <c r="K212" s="74">
        <f>SUM(G212:J212)</f>
        <v>0</v>
      </c>
      <c r="L212" s="91">
        <f t="shared" si="187"/>
        <v>1</v>
      </c>
      <c r="M212" s="149">
        <v>46188</v>
      </c>
      <c r="N212" s="43"/>
      <c r="O212" s="15"/>
      <c r="P212" s="28"/>
      <c r="Q212" s="16"/>
      <c r="R212" s="19"/>
      <c r="S212" s="42">
        <f t="shared" si="188"/>
        <v>0</v>
      </c>
      <c r="T212" s="15"/>
      <c r="U212" s="28"/>
      <c r="V212" s="16"/>
      <c r="W212" s="31"/>
      <c r="X212" s="9">
        <f>SUM(T212:W212)</f>
        <v>0</v>
      </c>
      <c r="Y212" s="91">
        <f t="shared" si="190"/>
        <v>0</v>
      </c>
    </row>
    <row r="213" spans="1:25" x14ac:dyDescent="0.15">
      <c r="A213" s="43" t="s">
        <v>41</v>
      </c>
      <c r="B213" s="15"/>
      <c r="C213" s="28"/>
      <c r="D213" s="16"/>
      <c r="E213" s="19"/>
      <c r="F213" s="42">
        <f t="shared" si="185"/>
        <v>0</v>
      </c>
      <c r="G213" s="15"/>
      <c r="H213" s="28"/>
      <c r="I213" s="16"/>
      <c r="J213" s="31">
        <v>1</v>
      </c>
      <c r="K213" s="74">
        <f>SUM(G213:J213)</f>
        <v>1</v>
      </c>
      <c r="L213" s="91">
        <f t="shared" si="187"/>
        <v>1</v>
      </c>
      <c r="M213" s="149">
        <v>46189</v>
      </c>
      <c r="N213" s="43"/>
      <c r="O213" s="15"/>
      <c r="P213" s="28"/>
      <c r="Q213" s="16"/>
      <c r="R213" s="19"/>
      <c r="S213" s="42">
        <f t="shared" si="188"/>
        <v>0</v>
      </c>
      <c r="T213" s="15"/>
      <c r="U213" s="28"/>
      <c r="V213" s="16"/>
      <c r="W213" s="31"/>
      <c r="X213" s="9">
        <f>SUM(T213:W213)</f>
        <v>0</v>
      </c>
      <c r="Y213" s="91">
        <f t="shared" si="190"/>
        <v>0</v>
      </c>
    </row>
    <row r="214" spans="1:25" x14ac:dyDescent="0.15">
      <c r="A214" s="43" t="s">
        <v>41</v>
      </c>
      <c r="B214" s="15">
        <v>1</v>
      </c>
      <c r="C214" s="28"/>
      <c r="D214" s="16">
        <v>1</v>
      </c>
      <c r="E214" s="19"/>
      <c r="F214" s="42">
        <f t="shared" si="185"/>
        <v>2</v>
      </c>
      <c r="G214" s="15"/>
      <c r="H214" s="28"/>
      <c r="I214" s="16"/>
      <c r="J214" s="31"/>
      <c r="K214" s="74">
        <f t="shared" ref="K214:K217" si="193">SUM(G214:J214)</f>
        <v>0</v>
      </c>
      <c r="L214" s="91">
        <f t="shared" si="187"/>
        <v>2</v>
      </c>
      <c r="M214" s="149">
        <v>46191</v>
      </c>
      <c r="N214" s="32"/>
      <c r="O214" s="15"/>
      <c r="P214" s="28"/>
      <c r="Q214" s="16"/>
      <c r="R214" s="19"/>
      <c r="S214" s="42">
        <f t="shared" si="188"/>
        <v>0</v>
      </c>
      <c r="T214" s="15"/>
      <c r="U214" s="28"/>
      <c r="V214" s="16"/>
      <c r="W214" s="31"/>
      <c r="X214" s="9">
        <f t="shared" ref="X214:X217" si="194">SUM(T214:W214)</f>
        <v>0</v>
      </c>
      <c r="Y214" s="91">
        <f t="shared" si="190"/>
        <v>0</v>
      </c>
    </row>
    <row r="215" spans="1:25" x14ac:dyDescent="0.15">
      <c r="A215" s="176" t="s">
        <v>116</v>
      </c>
      <c r="B215" s="88"/>
      <c r="C215" s="89"/>
      <c r="D215" s="90">
        <v>-3</v>
      </c>
      <c r="E215" s="177"/>
      <c r="F215" s="178">
        <f t="shared" si="185"/>
        <v>-3</v>
      </c>
      <c r="G215" s="88"/>
      <c r="H215" s="89">
        <v>-3</v>
      </c>
      <c r="I215" s="90">
        <v>-3</v>
      </c>
      <c r="J215" s="100"/>
      <c r="K215" s="179">
        <f t="shared" si="193"/>
        <v>-6</v>
      </c>
      <c r="L215" s="78">
        <f t="shared" si="187"/>
        <v>-9</v>
      </c>
      <c r="M215" s="180">
        <v>46192</v>
      </c>
      <c r="N215" s="43"/>
      <c r="O215" s="15"/>
      <c r="P215" s="28"/>
      <c r="Q215" s="16"/>
      <c r="R215" s="19"/>
      <c r="S215" s="42">
        <f t="shared" si="188"/>
        <v>0</v>
      </c>
      <c r="T215" s="15"/>
      <c r="U215" s="28"/>
      <c r="V215" s="16"/>
      <c r="W215" s="31"/>
      <c r="X215" s="9">
        <f t="shared" si="194"/>
        <v>0</v>
      </c>
      <c r="Y215" s="91">
        <f t="shared" si="190"/>
        <v>0</v>
      </c>
    </row>
    <row r="216" spans="1:25" x14ac:dyDescent="0.15">
      <c r="A216" s="144" t="s">
        <v>117</v>
      </c>
      <c r="B216" s="137"/>
      <c r="C216" s="138"/>
      <c r="D216" s="139"/>
      <c r="E216" s="140">
        <v>1</v>
      </c>
      <c r="F216" s="145">
        <f t="shared" si="185"/>
        <v>1</v>
      </c>
      <c r="G216" s="137"/>
      <c r="H216" s="138"/>
      <c r="I216" s="139"/>
      <c r="J216" s="146"/>
      <c r="K216" s="148">
        <f t="shared" si="193"/>
        <v>0</v>
      </c>
      <c r="L216" s="142">
        <f t="shared" si="187"/>
        <v>1</v>
      </c>
      <c r="M216" s="149">
        <v>46204</v>
      </c>
      <c r="N216" s="43"/>
      <c r="O216" s="15"/>
      <c r="P216" s="28"/>
      <c r="Q216" s="16"/>
      <c r="R216" s="19"/>
      <c r="S216" s="42">
        <f t="shared" si="188"/>
        <v>0</v>
      </c>
      <c r="T216" s="15"/>
      <c r="U216" s="28"/>
      <c r="V216" s="16"/>
      <c r="W216" s="31"/>
      <c r="X216" s="9">
        <f t="shared" si="194"/>
        <v>0</v>
      </c>
      <c r="Y216" s="91">
        <f t="shared" si="190"/>
        <v>0</v>
      </c>
    </row>
    <row r="217" spans="1:25" x14ac:dyDescent="0.15">
      <c r="A217" s="43" t="s">
        <v>117</v>
      </c>
      <c r="B217" s="15"/>
      <c r="C217" s="28"/>
      <c r="D217" s="16"/>
      <c r="E217" s="19">
        <v>1</v>
      </c>
      <c r="F217" s="42">
        <f t="shared" si="185"/>
        <v>1</v>
      </c>
      <c r="G217" s="38"/>
      <c r="H217" s="39"/>
      <c r="I217" s="40"/>
      <c r="J217" s="47">
        <v>1</v>
      </c>
      <c r="K217" s="107">
        <f t="shared" si="193"/>
        <v>1</v>
      </c>
      <c r="L217" s="91">
        <f t="shared" si="187"/>
        <v>2</v>
      </c>
      <c r="M217" s="149">
        <v>46217</v>
      </c>
      <c r="N217" s="43"/>
      <c r="O217" s="15"/>
      <c r="P217" s="28"/>
      <c r="Q217" s="16"/>
      <c r="R217" s="19"/>
      <c r="S217" s="42">
        <f t="shared" si="188"/>
        <v>0</v>
      </c>
      <c r="T217" s="38"/>
      <c r="U217" s="39"/>
      <c r="V217" s="40"/>
      <c r="W217" s="47"/>
      <c r="X217" s="49">
        <f t="shared" si="194"/>
        <v>0</v>
      </c>
      <c r="Y217" s="91">
        <f t="shared" si="190"/>
        <v>0</v>
      </c>
    </row>
    <row r="218" spans="1:25" x14ac:dyDescent="0.15">
      <c r="A218" s="43" t="s">
        <v>117</v>
      </c>
      <c r="B218" s="15">
        <v>1</v>
      </c>
      <c r="C218" s="28"/>
      <c r="D218" s="16">
        <v>1</v>
      </c>
      <c r="E218" s="19"/>
      <c r="F218" s="42">
        <f t="shared" si="185"/>
        <v>2</v>
      </c>
      <c r="G218" s="15"/>
      <c r="H218" s="28"/>
      <c r="I218" s="16"/>
      <c r="J218" s="31">
        <v>1</v>
      </c>
      <c r="K218" s="74">
        <f>SUM(G218:J218)</f>
        <v>1</v>
      </c>
      <c r="L218" s="91">
        <f t="shared" si="187"/>
        <v>3</v>
      </c>
      <c r="M218" s="149">
        <v>46218</v>
      </c>
      <c r="N218" s="43"/>
      <c r="O218" s="15"/>
      <c r="P218" s="28"/>
      <c r="Q218" s="16"/>
      <c r="R218" s="19"/>
      <c r="S218" s="42">
        <f t="shared" si="188"/>
        <v>0</v>
      </c>
      <c r="T218" s="15"/>
      <c r="U218" s="28"/>
      <c r="V218" s="16"/>
      <c r="W218" s="31"/>
      <c r="X218" s="9">
        <f>SUM(T218:W218)</f>
        <v>0</v>
      </c>
      <c r="Y218" s="91">
        <f t="shared" si="190"/>
        <v>0</v>
      </c>
    </row>
    <row r="219" spans="1:25" x14ac:dyDescent="0.15">
      <c r="A219" s="43" t="s">
        <v>117</v>
      </c>
      <c r="B219" s="15">
        <v>1</v>
      </c>
      <c r="C219" s="28"/>
      <c r="D219" s="16">
        <v>1</v>
      </c>
      <c r="E219" s="19"/>
      <c r="F219" s="42">
        <f t="shared" si="185"/>
        <v>2</v>
      </c>
      <c r="G219" s="15"/>
      <c r="H219" s="16"/>
      <c r="I219" s="28"/>
      <c r="J219" s="48">
        <v>1</v>
      </c>
      <c r="K219" s="74">
        <f t="shared" ref="K219:K225" si="195">SUM(G219:J219)</f>
        <v>1</v>
      </c>
      <c r="L219" s="91">
        <f t="shared" si="187"/>
        <v>3</v>
      </c>
      <c r="M219" s="149">
        <v>46218</v>
      </c>
      <c r="N219" s="43"/>
      <c r="O219" s="15"/>
      <c r="P219" s="28"/>
      <c r="Q219" s="16"/>
      <c r="R219" s="19"/>
      <c r="S219" s="42">
        <f t="shared" si="188"/>
        <v>0</v>
      </c>
      <c r="T219" s="15"/>
      <c r="U219" s="16"/>
      <c r="V219" s="28"/>
      <c r="W219" s="48"/>
      <c r="X219" s="9">
        <f t="shared" ref="X219:X225" si="196">SUM(T219:W219)</f>
        <v>0</v>
      </c>
      <c r="Y219" s="91">
        <f t="shared" si="190"/>
        <v>0</v>
      </c>
    </row>
    <row r="220" spans="1:25" x14ac:dyDescent="0.15">
      <c r="A220" s="144"/>
      <c r="B220" s="137"/>
      <c r="C220" s="138"/>
      <c r="D220" s="139"/>
      <c r="E220" s="140"/>
      <c r="F220" s="145">
        <f t="shared" si="185"/>
        <v>0</v>
      </c>
      <c r="G220" s="137"/>
      <c r="H220" s="138"/>
      <c r="I220" s="139"/>
      <c r="J220" s="146"/>
      <c r="K220" s="148">
        <f t="shared" si="195"/>
        <v>0</v>
      </c>
      <c r="L220" s="142">
        <f t="shared" si="187"/>
        <v>0</v>
      </c>
      <c r="N220" s="43"/>
      <c r="O220" s="15"/>
      <c r="P220" s="28"/>
      <c r="Q220" s="16"/>
      <c r="R220" s="19"/>
      <c r="S220" s="42">
        <f t="shared" si="188"/>
        <v>0</v>
      </c>
      <c r="T220" s="15"/>
      <c r="U220" s="16"/>
      <c r="V220" s="28"/>
      <c r="W220" s="48"/>
      <c r="X220" s="9">
        <f t="shared" si="196"/>
        <v>0</v>
      </c>
      <c r="Y220" s="91">
        <f t="shared" si="190"/>
        <v>0</v>
      </c>
    </row>
    <row r="221" spans="1:25" x14ac:dyDescent="0.15">
      <c r="A221" s="43" t="s">
        <v>117</v>
      </c>
      <c r="B221" s="15">
        <v>1</v>
      </c>
      <c r="C221" s="28">
        <v>1</v>
      </c>
      <c r="D221" s="16">
        <v>1</v>
      </c>
      <c r="E221" s="19">
        <v>9</v>
      </c>
      <c r="F221" s="42">
        <f t="shared" si="185"/>
        <v>12</v>
      </c>
      <c r="G221" s="38"/>
      <c r="H221" s="39">
        <v>9</v>
      </c>
      <c r="I221" s="40"/>
      <c r="J221" s="47">
        <v>1</v>
      </c>
      <c r="K221" s="107">
        <f t="shared" si="195"/>
        <v>10</v>
      </c>
      <c r="L221" s="91">
        <f t="shared" si="187"/>
        <v>22</v>
      </c>
      <c r="M221" s="149">
        <v>46219</v>
      </c>
      <c r="N221" s="43"/>
      <c r="O221" s="15"/>
      <c r="P221" s="28"/>
      <c r="Q221" s="16"/>
      <c r="R221" s="19"/>
      <c r="S221" s="42">
        <f t="shared" si="188"/>
        <v>0</v>
      </c>
      <c r="T221" s="15"/>
      <c r="U221" s="16"/>
      <c r="V221" s="28"/>
      <c r="W221" s="48"/>
      <c r="X221" s="9">
        <f t="shared" si="196"/>
        <v>0</v>
      </c>
      <c r="Y221" s="91">
        <f t="shared" si="190"/>
        <v>0</v>
      </c>
    </row>
    <row r="222" spans="1:25" x14ac:dyDescent="0.15">
      <c r="A222" s="43"/>
      <c r="B222" s="15"/>
      <c r="C222" s="28"/>
      <c r="D222" s="16"/>
      <c r="E222" s="19"/>
      <c r="F222" s="42">
        <f t="shared" si="185"/>
        <v>0</v>
      </c>
      <c r="G222" s="15"/>
      <c r="H222" s="28"/>
      <c r="I222" s="16"/>
      <c r="J222" s="31"/>
      <c r="K222" s="74">
        <f t="shared" si="195"/>
        <v>0</v>
      </c>
      <c r="L222" s="91">
        <f t="shared" si="187"/>
        <v>0</v>
      </c>
      <c r="N222" s="43"/>
      <c r="O222" s="15"/>
      <c r="P222" s="28"/>
      <c r="Q222" s="16"/>
      <c r="R222" s="19"/>
      <c r="S222" s="42">
        <f t="shared" si="188"/>
        <v>0</v>
      </c>
      <c r="T222" s="15"/>
      <c r="U222" s="16"/>
      <c r="V222" s="28"/>
      <c r="W222" s="48"/>
      <c r="X222" s="9">
        <f t="shared" si="196"/>
        <v>0</v>
      </c>
      <c r="Y222" s="91">
        <f t="shared" si="190"/>
        <v>0</v>
      </c>
    </row>
    <row r="223" spans="1:25" x14ac:dyDescent="0.15">
      <c r="A223" s="144"/>
      <c r="B223" s="137"/>
      <c r="C223" s="138"/>
      <c r="D223" s="139"/>
      <c r="E223" s="140"/>
      <c r="F223" s="145">
        <f t="shared" si="185"/>
        <v>0</v>
      </c>
      <c r="G223" s="137"/>
      <c r="H223" s="138"/>
      <c r="I223" s="139"/>
      <c r="J223" s="146"/>
      <c r="K223" s="148">
        <f t="shared" si="195"/>
        <v>0</v>
      </c>
      <c r="L223" s="142">
        <f t="shared" si="187"/>
        <v>0</v>
      </c>
      <c r="N223" s="43"/>
      <c r="O223" s="15"/>
      <c r="P223" s="28"/>
      <c r="Q223" s="16"/>
      <c r="R223" s="19"/>
      <c r="S223" s="42">
        <f t="shared" ref="S223:S224" si="197">SUM(O223:R223)</f>
        <v>0</v>
      </c>
      <c r="T223" s="15"/>
      <c r="U223" s="16"/>
      <c r="V223" s="28"/>
      <c r="W223" s="48"/>
      <c r="X223" s="9">
        <f t="shared" ref="X223:X224" si="198">SUM(T223:W223)</f>
        <v>0</v>
      </c>
      <c r="Y223" s="91">
        <f t="shared" ref="Y223:Y224" si="199">S223+X223</f>
        <v>0</v>
      </c>
    </row>
    <row r="224" spans="1:25" ht="14.25" thickBot="1" x14ac:dyDescent="0.2">
      <c r="A224" s="43"/>
      <c r="B224" s="34"/>
      <c r="C224" s="35"/>
      <c r="D224" s="36"/>
      <c r="E224" s="37"/>
      <c r="F224" s="42">
        <f t="shared" si="185"/>
        <v>0</v>
      </c>
      <c r="G224" s="34"/>
      <c r="H224" s="36"/>
      <c r="I224" s="35"/>
      <c r="J224" s="59"/>
      <c r="K224" s="75">
        <f t="shared" si="195"/>
        <v>0</v>
      </c>
      <c r="L224" s="108">
        <f t="shared" si="187"/>
        <v>0</v>
      </c>
      <c r="N224" s="124"/>
      <c r="O224" s="34"/>
      <c r="P224" s="35"/>
      <c r="Q224" s="36"/>
      <c r="R224" s="37"/>
      <c r="S224" s="125">
        <f t="shared" si="197"/>
        <v>0</v>
      </c>
      <c r="T224" s="34"/>
      <c r="U224" s="36"/>
      <c r="V224" s="35"/>
      <c r="W224" s="59"/>
      <c r="X224" s="10">
        <f t="shared" si="198"/>
        <v>0</v>
      </c>
      <c r="Y224" s="109">
        <f t="shared" si="199"/>
        <v>0</v>
      </c>
    </row>
    <row r="225" spans="1:25" ht="14.25" thickBot="1" x14ac:dyDescent="0.2">
      <c r="A225" s="12" t="s">
        <v>8</v>
      </c>
      <c r="B225" s="21">
        <f>SUM(B200:B224)</f>
        <v>3</v>
      </c>
      <c r="C225" s="29">
        <f>SUM(C200:C224)</f>
        <v>4</v>
      </c>
      <c r="D225" s="22">
        <f>SUM(D200:D224)</f>
        <v>4</v>
      </c>
      <c r="E225" s="23">
        <f>SUM(E200:E224)</f>
        <v>14</v>
      </c>
      <c r="F225" s="20">
        <f>SUM(B225:E225)</f>
        <v>25</v>
      </c>
      <c r="G225" s="21">
        <f>SUM(G200:G224)</f>
        <v>1</v>
      </c>
      <c r="H225" s="29">
        <f>SUM(H200:H224)</f>
        <v>7</v>
      </c>
      <c r="I225" s="22">
        <f>SUM(I200:I224)</f>
        <v>-3</v>
      </c>
      <c r="J225" s="23">
        <f>SUM(J200:J224)</f>
        <v>6</v>
      </c>
      <c r="K225" s="76">
        <f t="shared" si="195"/>
        <v>11</v>
      </c>
      <c r="L225" s="79">
        <f t="shared" si="187"/>
        <v>36</v>
      </c>
      <c r="N225" s="83" t="s">
        <v>8</v>
      </c>
      <c r="O225" s="21">
        <f>SUM(O200:O224)</f>
        <v>3</v>
      </c>
      <c r="P225" s="29">
        <f>SUM(P200:P224)</f>
        <v>3</v>
      </c>
      <c r="Q225" s="22">
        <f>SUM(Q200:Q224)</f>
        <v>6</v>
      </c>
      <c r="R225" s="23">
        <f>SUM(R200:R224)</f>
        <v>3</v>
      </c>
      <c r="S225" s="44">
        <f>SUM(O225:R225)</f>
        <v>15</v>
      </c>
      <c r="T225" s="21">
        <f>SUM(T200:T224)</f>
        <v>2</v>
      </c>
      <c r="U225" s="29">
        <f>SUM(U200:U224)</f>
        <v>3</v>
      </c>
      <c r="V225" s="22">
        <f>SUM(V200:V224)</f>
        <v>3</v>
      </c>
      <c r="W225" s="23">
        <f>SUM(W200:W224)</f>
        <v>3</v>
      </c>
      <c r="X225" s="44">
        <f t="shared" si="196"/>
        <v>11</v>
      </c>
      <c r="Y225" s="80">
        <f t="shared" si="190"/>
        <v>26</v>
      </c>
    </row>
    <row r="226" spans="1:25" ht="14.25" thickBot="1" x14ac:dyDescent="0.2">
      <c r="A226" s="13" t="s">
        <v>9</v>
      </c>
      <c r="B226" s="24">
        <f t="shared" ref="B226:K226" si="200">B199-B225</f>
        <v>0</v>
      </c>
      <c r="C226" s="30">
        <f t="shared" si="200"/>
        <v>2</v>
      </c>
      <c r="D226" s="25">
        <f t="shared" si="200"/>
        <v>1</v>
      </c>
      <c r="E226" s="26">
        <f t="shared" si="200"/>
        <v>-8</v>
      </c>
      <c r="F226" s="66">
        <f t="shared" si="200"/>
        <v>-5</v>
      </c>
      <c r="G226" s="24">
        <f t="shared" si="200"/>
        <v>3</v>
      </c>
      <c r="H226" s="30">
        <f t="shared" si="200"/>
        <v>-4</v>
      </c>
      <c r="I226" s="25">
        <f t="shared" si="200"/>
        <v>5</v>
      </c>
      <c r="J226" s="26">
        <f t="shared" si="200"/>
        <v>-1</v>
      </c>
      <c r="K226" s="77">
        <f t="shared" si="200"/>
        <v>3</v>
      </c>
      <c r="L226" s="80">
        <f t="shared" si="187"/>
        <v>-2</v>
      </c>
      <c r="N226" s="13" t="s">
        <v>9</v>
      </c>
      <c r="O226" s="24">
        <f t="shared" ref="O226:X226" si="201">O199-O225</f>
        <v>82</v>
      </c>
      <c r="P226" s="30">
        <f t="shared" si="201"/>
        <v>93</v>
      </c>
      <c r="Q226" s="25">
        <f t="shared" si="201"/>
        <v>149</v>
      </c>
      <c r="R226" s="26">
        <f t="shared" si="201"/>
        <v>91</v>
      </c>
      <c r="S226" s="66">
        <f t="shared" si="201"/>
        <v>415</v>
      </c>
      <c r="T226" s="24">
        <f t="shared" si="201"/>
        <v>112</v>
      </c>
      <c r="U226" s="30">
        <f t="shared" si="201"/>
        <v>135</v>
      </c>
      <c r="V226" s="25">
        <f t="shared" si="201"/>
        <v>136</v>
      </c>
      <c r="W226" s="26">
        <f t="shared" si="201"/>
        <v>96</v>
      </c>
      <c r="X226" s="33">
        <f t="shared" si="201"/>
        <v>479</v>
      </c>
      <c r="Y226" s="80">
        <f t="shared" si="190"/>
        <v>894</v>
      </c>
    </row>
    <row r="229" spans="1:25" ht="19.5" thickBot="1" x14ac:dyDescent="0.25">
      <c r="A229" s="2" t="s">
        <v>21</v>
      </c>
      <c r="B229" s="2"/>
      <c r="C229" s="1"/>
      <c r="D229" s="1"/>
      <c r="E229" s="1"/>
      <c r="F229" s="67" t="s">
        <v>86</v>
      </c>
      <c r="H229" s="1"/>
      <c r="I229" s="1"/>
      <c r="J229" s="1"/>
      <c r="K229" s="67"/>
    </row>
    <row r="230" spans="1:25" ht="14.25" thickBot="1" x14ac:dyDescent="0.2">
      <c r="A230" s="5" t="s">
        <v>0</v>
      </c>
      <c r="B230" s="184" t="s">
        <v>18</v>
      </c>
      <c r="C230" s="185"/>
      <c r="D230" s="185"/>
      <c r="E230" s="185"/>
      <c r="F230" s="186"/>
      <c r="G230" s="187" t="s">
        <v>19</v>
      </c>
      <c r="H230" s="188"/>
      <c r="I230" s="188"/>
      <c r="J230" s="188"/>
      <c r="K230" s="188"/>
      <c r="L230" s="182" t="s">
        <v>13</v>
      </c>
    </row>
    <row r="231" spans="1:25" ht="14.25" thickBot="1" x14ac:dyDescent="0.2">
      <c r="A231" s="5" t="s">
        <v>1</v>
      </c>
      <c r="B231" s="3" t="s">
        <v>14</v>
      </c>
      <c r="C231" s="27" t="s">
        <v>15</v>
      </c>
      <c r="D231" s="4" t="s">
        <v>16</v>
      </c>
      <c r="E231" s="14" t="s">
        <v>17</v>
      </c>
      <c r="F231" s="18" t="s">
        <v>2</v>
      </c>
      <c r="G231" s="3" t="s">
        <v>14</v>
      </c>
      <c r="H231" s="27" t="s">
        <v>15</v>
      </c>
      <c r="I231" s="4" t="s">
        <v>16</v>
      </c>
      <c r="J231" s="14" t="s">
        <v>17</v>
      </c>
      <c r="K231" s="68" t="s">
        <v>2</v>
      </c>
      <c r="L231" s="183"/>
    </row>
    <row r="232" spans="1:25" x14ac:dyDescent="0.15">
      <c r="A232" s="61" t="s">
        <v>10</v>
      </c>
      <c r="B232" s="62">
        <f>B226</f>
        <v>0</v>
      </c>
      <c r="C232" s="63">
        <f>C226</f>
        <v>2</v>
      </c>
      <c r="D232" s="63">
        <f>D226</f>
        <v>1</v>
      </c>
      <c r="E232" s="64">
        <f>E226</f>
        <v>-8</v>
      </c>
      <c r="F232" s="65">
        <f>SUM(B232:E232)</f>
        <v>-5</v>
      </c>
      <c r="G232" s="62">
        <f>G226</f>
        <v>3</v>
      </c>
      <c r="H232" s="63">
        <f>H226</f>
        <v>-4</v>
      </c>
      <c r="I232" s="63">
        <f>I226</f>
        <v>5</v>
      </c>
      <c r="J232" s="64">
        <f>J226</f>
        <v>-1</v>
      </c>
      <c r="K232" s="69">
        <f>SUM(G232:J232)</f>
        <v>3</v>
      </c>
      <c r="L232" s="78">
        <f>F232+K232</f>
        <v>-2</v>
      </c>
    </row>
    <row r="233" spans="1:25" x14ac:dyDescent="0.15">
      <c r="A233" s="11" t="s">
        <v>118</v>
      </c>
      <c r="B233" s="127"/>
      <c r="C233" s="128"/>
      <c r="D233" s="129"/>
      <c r="E233" s="130"/>
      <c r="F233" s="49">
        <f>SUM(B233:E233)</f>
        <v>0</v>
      </c>
      <c r="G233" s="38"/>
      <c r="H233" s="39"/>
      <c r="I233" s="40"/>
      <c r="J233" s="41"/>
      <c r="K233" s="70">
        <f>SUM(G233:J233)</f>
        <v>0</v>
      </c>
      <c r="L233" s="91">
        <f t="shared" ref="L233:L234" si="202">F233+K233</f>
        <v>0</v>
      </c>
      <c r="M233" s="103"/>
    </row>
    <row r="234" spans="1:25" x14ac:dyDescent="0.15">
      <c r="A234" s="11" t="s">
        <v>118</v>
      </c>
      <c r="B234" s="6"/>
      <c r="C234" s="17"/>
      <c r="D234" s="7"/>
      <c r="E234" s="8"/>
      <c r="F234" s="9">
        <f>SUM(B234:E234)</f>
        <v>0</v>
      </c>
      <c r="G234" s="15"/>
      <c r="H234" s="28"/>
      <c r="I234" s="16"/>
      <c r="J234" s="19"/>
      <c r="K234" s="71">
        <f>SUM(G234:J234)</f>
        <v>0</v>
      </c>
      <c r="L234" s="91">
        <f t="shared" si="202"/>
        <v>0</v>
      </c>
      <c r="M234" s="103"/>
    </row>
    <row r="235" spans="1:25" x14ac:dyDescent="0.15">
      <c r="A235" s="11" t="s">
        <v>118</v>
      </c>
      <c r="B235" s="15"/>
      <c r="C235" s="28"/>
      <c r="D235" s="16"/>
      <c r="E235" s="19"/>
      <c r="F235" s="9">
        <f t="shared" ref="F235" si="203">SUM(B235:E235)</f>
        <v>0</v>
      </c>
      <c r="G235" s="15"/>
      <c r="H235" s="28"/>
      <c r="I235" s="16"/>
      <c r="J235" s="31"/>
      <c r="K235" s="74">
        <f>SUM(G235:J235)</f>
        <v>0</v>
      </c>
      <c r="L235" s="91">
        <f>F235+K235</f>
        <v>0</v>
      </c>
      <c r="M235" s="103"/>
    </row>
    <row r="236" spans="1:25" ht="14.25" thickBot="1" x14ac:dyDescent="0.2">
      <c r="A236" s="131" t="s">
        <v>118</v>
      </c>
      <c r="B236" s="132"/>
      <c r="C236" s="133"/>
      <c r="D236" s="134"/>
      <c r="E236" s="135"/>
      <c r="F236" s="150">
        <f>SUM(B236:E236)</f>
        <v>0</v>
      </c>
      <c r="G236" s="151"/>
      <c r="H236" s="152"/>
      <c r="I236" s="153"/>
      <c r="J236" s="154"/>
      <c r="K236" s="155">
        <f>SUM(G236:J236)</f>
        <v>0</v>
      </c>
      <c r="L236" s="142">
        <f t="shared" ref="L236" si="204">F236+K236</f>
        <v>0</v>
      </c>
      <c r="M236" s="143"/>
    </row>
    <row r="237" spans="1:25" ht="14.25" thickBot="1" x14ac:dyDescent="0.2">
      <c r="A237" s="13" t="s">
        <v>7</v>
      </c>
      <c r="B237" s="50">
        <f t="shared" ref="B237:K237" si="205">SUM(B232:B236)</f>
        <v>0</v>
      </c>
      <c r="C237" s="51">
        <f t="shared" si="205"/>
        <v>2</v>
      </c>
      <c r="D237" s="52">
        <f t="shared" si="205"/>
        <v>1</v>
      </c>
      <c r="E237" s="53">
        <f t="shared" si="205"/>
        <v>-8</v>
      </c>
      <c r="F237" s="54">
        <f t="shared" si="205"/>
        <v>-5</v>
      </c>
      <c r="G237" s="24">
        <f t="shared" si="205"/>
        <v>3</v>
      </c>
      <c r="H237" s="30">
        <f t="shared" si="205"/>
        <v>-4</v>
      </c>
      <c r="I237" s="25">
        <f t="shared" si="205"/>
        <v>5</v>
      </c>
      <c r="J237" s="55">
        <f t="shared" si="205"/>
        <v>-1</v>
      </c>
      <c r="K237" s="73">
        <f t="shared" si="205"/>
        <v>3</v>
      </c>
      <c r="L237" s="79">
        <f>F237+K237</f>
        <v>-2</v>
      </c>
    </row>
    <row r="238" spans="1:25" x14ac:dyDescent="0.15">
      <c r="A238" s="43"/>
      <c r="B238" s="15"/>
      <c r="C238" s="28"/>
      <c r="D238" s="16"/>
      <c r="E238" s="19"/>
      <c r="F238" s="42">
        <f t="shared" ref="F238:F262" si="206">SUM(B238:E238)</f>
        <v>0</v>
      </c>
      <c r="G238" s="15"/>
      <c r="H238" s="28"/>
      <c r="I238" s="16"/>
      <c r="J238" s="31"/>
      <c r="K238" s="74">
        <f t="shared" ref="K238:K243" si="207">SUM(G238:J238)</f>
        <v>0</v>
      </c>
      <c r="L238" s="91">
        <f t="shared" ref="L238:L264" si="208">F238+K238</f>
        <v>0</v>
      </c>
      <c r="M238" s="149"/>
    </row>
    <row r="239" spans="1:25" x14ac:dyDescent="0.15">
      <c r="A239" s="43"/>
      <c r="B239" s="15"/>
      <c r="C239" s="28"/>
      <c r="D239" s="16"/>
      <c r="E239" s="19"/>
      <c r="F239" s="42">
        <f t="shared" si="206"/>
        <v>0</v>
      </c>
      <c r="G239" s="15"/>
      <c r="H239" s="28"/>
      <c r="I239" s="16"/>
      <c r="J239" s="31"/>
      <c r="K239" s="74">
        <f t="shared" si="207"/>
        <v>0</v>
      </c>
      <c r="L239" s="91">
        <f t="shared" si="208"/>
        <v>0</v>
      </c>
      <c r="M239" s="103"/>
    </row>
    <row r="240" spans="1:25" x14ac:dyDescent="0.15">
      <c r="A240" s="43"/>
      <c r="B240" s="15"/>
      <c r="C240" s="28"/>
      <c r="D240" s="16"/>
      <c r="E240" s="19"/>
      <c r="F240" s="42">
        <f t="shared" si="206"/>
        <v>0</v>
      </c>
      <c r="G240" s="15"/>
      <c r="H240" s="28"/>
      <c r="I240" s="16"/>
      <c r="J240" s="31"/>
      <c r="K240" s="74">
        <f t="shared" si="207"/>
        <v>0</v>
      </c>
      <c r="L240" s="91">
        <f t="shared" si="208"/>
        <v>0</v>
      </c>
      <c r="M240" s="103"/>
    </row>
    <row r="241" spans="1:13" x14ac:dyDescent="0.15">
      <c r="A241" s="43"/>
      <c r="B241" s="15"/>
      <c r="C241" s="28"/>
      <c r="D241" s="16"/>
      <c r="E241" s="19"/>
      <c r="F241" s="42">
        <f t="shared" si="206"/>
        <v>0</v>
      </c>
      <c r="G241" s="15"/>
      <c r="H241" s="28"/>
      <c r="I241" s="16"/>
      <c r="J241" s="31"/>
      <c r="K241" s="74">
        <f t="shared" si="207"/>
        <v>0</v>
      </c>
      <c r="L241" s="91">
        <f t="shared" si="208"/>
        <v>0</v>
      </c>
      <c r="M241" s="149"/>
    </row>
    <row r="242" spans="1:13" x14ac:dyDescent="0.15">
      <c r="A242" s="43"/>
      <c r="B242" s="15"/>
      <c r="C242" s="28"/>
      <c r="D242" s="16"/>
      <c r="E242" s="19"/>
      <c r="F242" s="42">
        <f t="shared" si="206"/>
        <v>0</v>
      </c>
      <c r="G242" s="15"/>
      <c r="H242" s="28"/>
      <c r="I242" s="16"/>
      <c r="J242" s="31"/>
      <c r="K242" s="74">
        <f t="shared" si="207"/>
        <v>0</v>
      </c>
      <c r="L242" s="91">
        <f t="shared" si="208"/>
        <v>0</v>
      </c>
      <c r="M242" s="149"/>
    </row>
    <row r="243" spans="1:13" x14ac:dyDescent="0.15">
      <c r="A243" s="43"/>
      <c r="B243" s="15"/>
      <c r="C243" s="28"/>
      <c r="D243" s="16"/>
      <c r="E243" s="19"/>
      <c r="F243" s="42">
        <f t="shared" si="206"/>
        <v>0</v>
      </c>
      <c r="G243" s="15"/>
      <c r="H243" s="28"/>
      <c r="I243" s="16"/>
      <c r="J243" s="31"/>
      <c r="K243" s="74">
        <f t="shared" si="207"/>
        <v>0</v>
      </c>
      <c r="L243" s="91">
        <f t="shared" si="208"/>
        <v>0</v>
      </c>
      <c r="M243" s="103"/>
    </row>
    <row r="244" spans="1:13" x14ac:dyDescent="0.15">
      <c r="A244" s="43"/>
      <c r="B244" s="15"/>
      <c r="C244" s="28"/>
      <c r="D244" s="16"/>
      <c r="E244" s="19"/>
      <c r="F244" s="42">
        <f t="shared" si="206"/>
        <v>0</v>
      </c>
      <c r="G244" s="15"/>
      <c r="H244" s="28"/>
      <c r="I244" s="16"/>
      <c r="J244" s="31"/>
      <c r="K244" s="74">
        <f>SUM(G244:J244)</f>
        <v>0</v>
      </c>
      <c r="L244" s="91">
        <f t="shared" si="208"/>
        <v>0</v>
      </c>
      <c r="M244" s="149"/>
    </row>
    <row r="245" spans="1:13" x14ac:dyDescent="0.15">
      <c r="A245" s="43"/>
      <c r="B245" s="15"/>
      <c r="C245" s="28"/>
      <c r="D245" s="16"/>
      <c r="E245" s="19"/>
      <c r="F245" s="42">
        <f t="shared" si="206"/>
        <v>0</v>
      </c>
      <c r="G245" s="15"/>
      <c r="H245" s="28"/>
      <c r="I245" s="16"/>
      <c r="J245" s="31"/>
      <c r="K245" s="74">
        <f t="shared" ref="K245:K249" si="209">SUM(G245:J245)</f>
        <v>0</v>
      </c>
      <c r="L245" s="91">
        <f t="shared" si="208"/>
        <v>0</v>
      </c>
      <c r="M245" s="103"/>
    </row>
    <row r="246" spans="1:13" x14ac:dyDescent="0.15">
      <c r="A246" s="43"/>
      <c r="B246" s="15"/>
      <c r="C246" s="28"/>
      <c r="D246" s="16"/>
      <c r="E246" s="19"/>
      <c r="F246" s="42">
        <f t="shared" si="206"/>
        <v>0</v>
      </c>
      <c r="G246" s="15"/>
      <c r="H246" s="28"/>
      <c r="I246" s="16"/>
      <c r="J246" s="31"/>
      <c r="K246" s="74">
        <f t="shared" si="209"/>
        <v>0</v>
      </c>
      <c r="L246" s="91">
        <f t="shared" si="208"/>
        <v>0</v>
      </c>
      <c r="M246" s="103"/>
    </row>
    <row r="247" spans="1:13" x14ac:dyDescent="0.15">
      <c r="A247" s="43"/>
      <c r="B247" s="15"/>
      <c r="C247" s="28"/>
      <c r="D247" s="16"/>
      <c r="E247" s="19"/>
      <c r="F247" s="42">
        <f t="shared" si="206"/>
        <v>0</v>
      </c>
      <c r="G247" s="15"/>
      <c r="H247" s="28"/>
      <c r="I247" s="16"/>
      <c r="J247" s="31"/>
      <c r="K247" s="74">
        <f t="shared" si="209"/>
        <v>0</v>
      </c>
      <c r="L247" s="91">
        <f t="shared" si="208"/>
        <v>0</v>
      </c>
      <c r="M247" s="103"/>
    </row>
    <row r="248" spans="1:13" x14ac:dyDescent="0.15">
      <c r="A248" s="43"/>
      <c r="B248" s="15"/>
      <c r="C248" s="28"/>
      <c r="D248" s="16"/>
      <c r="E248" s="19"/>
      <c r="F248" s="42">
        <f t="shared" si="206"/>
        <v>0</v>
      </c>
      <c r="G248" s="15"/>
      <c r="H248" s="28"/>
      <c r="I248" s="16"/>
      <c r="J248" s="31"/>
      <c r="K248" s="74">
        <f t="shared" si="209"/>
        <v>0</v>
      </c>
      <c r="L248" s="91">
        <f t="shared" si="208"/>
        <v>0</v>
      </c>
      <c r="M248" s="103"/>
    </row>
    <row r="249" spans="1:13" x14ac:dyDescent="0.15">
      <c r="A249" s="43"/>
      <c r="B249" s="15"/>
      <c r="C249" s="28"/>
      <c r="D249" s="16"/>
      <c r="E249" s="19"/>
      <c r="F249" s="42">
        <f t="shared" si="206"/>
        <v>0</v>
      </c>
      <c r="G249" s="15"/>
      <c r="H249" s="28"/>
      <c r="I249" s="16"/>
      <c r="J249" s="31"/>
      <c r="K249" s="74">
        <f t="shared" si="209"/>
        <v>0</v>
      </c>
      <c r="L249" s="91">
        <f t="shared" si="208"/>
        <v>0</v>
      </c>
      <c r="M249" s="103"/>
    </row>
    <row r="250" spans="1:13" x14ac:dyDescent="0.15">
      <c r="A250" s="43"/>
      <c r="B250" s="15"/>
      <c r="C250" s="28"/>
      <c r="D250" s="16"/>
      <c r="E250" s="19"/>
      <c r="F250" s="42">
        <f t="shared" si="206"/>
        <v>0</v>
      </c>
      <c r="G250" s="15"/>
      <c r="H250" s="28"/>
      <c r="I250" s="16"/>
      <c r="J250" s="31"/>
      <c r="K250" s="74">
        <f>SUM(G250:J250)</f>
        <v>0</v>
      </c>
      <c r="L250" s="91">
        <f t="shared" si="208"/>
        <v>0</v>
      </c>
      <c r="M250" s="149"/>
    </row>
    <row r="251" spans="1:13" x14ac:dyDescent="0.15">
      <c r="A251" s="43"/>
      <c r="B251" s="15"/>
      <c r="C251" s="28"/>
      <c r="D251" s="16"/>
      <c r="E251" s="19"/>
      <c r="F251" s="42">
        <f t="shared" si="206"/>
        <v>0</v>
      </c>
      <c r="G251" s="15"/>
      <c r="H251" s="28"/>
      <c r="I251" s="16"/>
      <c r="J251" s="31"/>
      <c r="K251" s="74">
        <f>SUM(G251:J251)</f>
        <v>0</v>
      </c>
      <c r="L251" s="91">
        <f t="shared" si="208"/>
        <v>0</v>
      </c>
      <c r="M251" s="149"/>
    </row>
    <row r="252" spans="1:13" x14ac:dyDescent="0.15">
      <c r="A252" s="43"/>
      <c r="B252" s="15"/>
      <c r="C252" s="28"/>
      <c r="D252" s="16"/>
      <c r="E252" s="19"/>
      <c r="F252" s="42">
        <f t="shared" si="206"/>
        <v>0</v>
      </c>
      <c r="G252" s="15"/>
      <c r="H252" s="28"/>
      <c r="I252" s="16"/>
      <c r="J252" s="31"/>
      <c r="K252" s="74">
        <f t="shared" ref="K252:K255" si="210">SUM(G252:J252)</f>
        <v>0</v>
      </c>
      <c r="L252" s="91">
        <f t="shared" si="208"/>
        <v>0</v>
      </c>
      <c r="M252" s="149"/>
    </row>
    <row r="253" spans="1:13" x14ac:dyDescent="0.15">
      <c r="A253" s="176"/>
      <c r="B253" s="88"/>
      <c r="C253" s="89"/>
      <c r="D253" s="90"/>
      <c r="E253" s="177"/>
      <c r="F253" s="178">
        <f t="shared" si="206"/>
        <v>0</v>
      </c>
      <c r="G253" s="88"/>
      <c r="H253" s="89"/>
      <c r="I253" s="90"/>
      <c r="J253" s="100"/>
      <c r="K253" s="179">
        <f t="shared" si="210"/>
        <v>0</v>
      </c>
      <c r="L253" s="78">
        <f t="shared" si="208"/>
        <v>0</v>
      </c>
      <c r="M253" s="180"/>
    </row>
    <row r="254" spans="1:13" x14ac:dyDescent="0.15">
      <c r="A254" s="144"/>
      <c r="B254" s="137"/>
      <c r="C254" s="138"/>
      <c r="D254" s="139"/>
      <c r="E254" s="140"/>
      <c r="F254" s="145">
        <f t="shared" si="206"/>
        <v>0</v>
      </c>
      <c r="G254" s="137"/>
      <c r="H254" s="138"/>
      <c r="I254" s="139"/>
      <c r="J254" s="146"/>
      <c r="K254" s="148">
        <f t="shared" si="210"/>
        <v>0</v>
      </c>
      <c r="L254" s="142">
        <f t="shared" si="208"/>
        <v>0</v>
      </c>
      <c r="M254" s="149"/>
    </row>
    <row r="255" spans="1:13" x14ac:dyDescent="0.15">
      <c r="A255" s="43"/>
      <c r="B255" s="15"/>
      <c r="C255" s="28"/>
      <c r="D255" s="16"/>
      <c r="E255" s="19"/>
      <c r="F255" s="42">
        <f t="shared" si="206"/>
        <v>0</v>
      </c>
      <c r="G255" s="38"/>
      <c r="H255" s="39"/>
      <c r="I255" s="40"/>
      <c r="J255" s="47"/>
      <c r="K255" s="107">
        <f t="shared" si="210"/>
        <v>0</v>
      </c>
      <c r="L255" s="91">
        <f t="shared" si="208"/>
        <v>0</v>
      </c>
      <c r="M255" s="149"/>
    </row>
    <row r="256" spans="1:13" x14ac:dyDescent="0.15">
      <c r="A256" s="43"/>
      <c r="B256" s="15"/>
      <c r="C256" s="28"/>
      <c r="D256" s="16"/>
      <c r="E256" s="19"/>
      <c r="F256" s="42">
        <f t="shared" si="206"/>
        <v>0</v>
      </c>
      <c r="G256" s="15"/>
      <c r="H256" s="28"/>
      <c r="I256" s="16"/>
      <c r="J256" s="31"/>
      <c r="K256" s="74">
        <f>SUM(G256:J256)</f>
        <v>0</v>
      </c>
      <c r="L256" s="91">
        <f t="shared" si="208"/>
        <v>0</v>
      </c>
      <c r="M256" s="149"/>
    </row>
    <row r="257" spans="1:13" x14ac:dyDescent="0.15">
      <c r="A257" s="43"/>
      <c r="B257" s="15"/>
      <c r="C257" s="28"/>
      <c r="D257" s="16"/>
      <c r="E257" s="19"/>
      <c r="F257" s="42">
        <f t="shared" si="206"/>
        <v>0</v>
      </c>
      <c r="G257" s="15"/>
      <c r="H257" s="16"/>
      <c r="I257" s="28"/>
      <c r="J257" s="48"/>
      <c r="K257" s="74">
        <f t="shared" ref="K257:K263" si="211">SUM(G257:J257)</f>
        <v>0</v>
      </c>
      <c r="L257" s="91">
        <f t="shared" si="208"/>
        <v>0</v>
      </c>
      <c r="M257" s="149"/>
    </row>
    <row r="258" spans="1:13" x14ac:dyDescent="0.15">
      <c r="A258" s="144"/>
      <c r="B258" s="137"/>
      <c r="C258" s="138"/>
      <c r="D258" s="139"/>
      <c r="E258" s="140"/>
      <c r="F258" s="145">
        <f t="shared" si="206"/>
        <v>0</v>
      </c>
      <c r="G258" s="137"/>
      <c r="H258" s="138"/>
      <c r="I258" s="139"/>
      <c r="J258" s="146"/>
      <c r="K258" s="148">
        <f t="shared" si="211"/>
        <v>0</v>
      </c>
      <c r="L258" s="142">
        <f t="shared" si="208"/>
        <v>0</v>
      </c>
    </row>
    <row r="259" spans="1:13" x14ac:dyDescent="0.15">
      <c r="A259" s="43"/>
      <c r="B259" s="15"/>
      <c r="C259" s="28"/>
      <c r="D259" s="16"/>
      <c r="E259" s="19"/>
      <c r="F259" s="42">
        <f t="shared" si="206"/>
        <v>0</v>
      </c>
      <c r="G259" s="38"/>
      <c r="H259" s="39"/>
      <c r="I259" s="40"/>
      <c r="J259" s="47"/>
      <c r="K259" s="107">
        <f t="shared" si="211"/>
        <v>0</v>
      </c>
      <c r="L259" s="91">
        <f t="shared" si="208"/>
        <v>0</v>
      </c>
    </row>
    <row r="260" spans="1:13" x14ac:dyDescent="0.15">
      <c r="A260" s="43"/>
      <c r="B260" s="15"/>
      <c r="C260" s="28"/>
      <c r="D260" s="16"/>
      <c r="E260" s="19"/>
      <c r="F260" s="42">
        <f t="shared" si="206"/>
        <v>0</v>
      </c>
      <c r="G260" s="15"/>
      <c r="H260" s="28"/>
      <c r="I260" s="16"/>
      <c r="J260" s="31"/>
      <c r="K260" s="74">
        <f t="shared" si="211"/>
        <v>0</v>
      </c>
      <c r="L260" s="91">
        <f t="shared" si="208"/>
        <v>0</v>
      </c>
    </row>
    <row r="261" spans="1:13" x14ac:dyDescent="0.15">
      <c r="A261" s="144"/>
      <c r="B261" s="137"/>
      <c r="C261" s="138"/>
      <c r="D261" s="139"/>
      <c r="E261" s="140"/>
      <c r="F261" s="145">
        <f t="shared" si="206"/>
        <v>0</v>
      </c>
      <c r="G261" s="137"/>
      <c r="H261" s="138"/>
      <c r="I261" s="139"/>
      <c r="J261" s="146"/>
      <c r="K261" s="148">
        <f t="shared" si="211"/>
        <v>0</v>
      </c>
      <c r="L261" s="142">
        <f t="shared" si="208"/>
        <v>0</v>
      </c>
    </row>
    <row r="262" spans="1:13" ht="14.25" thickBot="1" x14ac:dyDescent="0.2">
      <c r="A262" s="43"/>
      <c r="B262" s="34"/>
      <c r="C262" s="35"/>
      <c r="D262" s="36"/>
      <c r="E262" s="37"/>
      <c r="F262" s="42">
        <f t="shared" si="206"/>
        <v>0</v>
      </c>
      <c r="G262" s="34"/>
      <c r="H262" s="36"/>
      <c r="I262" s="35"/>
      <c r="J262" s="59"/>
      <c r="K262" s="75">
        <f t="shared" si="211"/>
        <v>0</v>
      </c>
      <c r="L262" s="108">
        <f t="shared" si="208"/>
        <v>0</v>
      </c>
    </row>
    <row r="263" spans="1:13" ht="14.25" thickBot="1" x14ac:dyDescent="0.2">
      <c r="A263" s="12" t="s">
        <v>8</v>
      </c>
      <c r="B263" s="21">
        <f>SUM(B238:B262)</f>
        <v>0</v>
      </c>
      <c r="C263" s="29">
        <f>SUM(C238:C262)</f>
        <v>0</v>
      </c>
      <c r="D263" s="22">
        <f>SUM(D238:D262)</f>
        <v>0</v>
      </c>
      <c r="E263" s="23">
        <f>SUM(E238:E262)</f>
        <v>0</v>
      </c>
      <c r="F263" s="20">
        <f>SUM(B263:E263)</f>
        <v>0</v>
      </c>
      <c r="G263" s="21">
        <f>SUM(G238:G262)</f>
        <v>0</v>
      </c>
      <c r="H263" s="29">
        <f>SUM(H238:H262)</f>
        <v>0</v>
      </c>
      <c r="I263" s="22">
        <f>SUM(I238:I262)</f>
        <v>0</v>
      </c>
      <c r="J263" s="23">
        <f>SUM(J238:J262)</f>
        <v>0</v>
      </c>
      <c r="K263" s="76">
        <f t="shared" si="211"/>
        <v>0</v>
      </c>
      <c r="L263" s="79">
        <f t="shared" si="208"/>
        <v>0</v>
      </c>
    </row>
    <row r="264" spans="1:13" ht="14.25" thickBot="1" x14ac:dyDescent="0.2">
      <c r="A264" s="13" t="s">
        <v>9</v>
      </c>
      <c r="B264" s="24">
        <f t="shared" ref="B264:K264" si="212">B237-B263</f>
        <v>0</v>
      </c>
      <c r="C264" s="30">
        <f t="shared" si="212"/>
        <v>2</v>
      </c>
      <c r="D264" s="25">
        <f t="shared" si="212"/>
        <v>1</v>
      </c>
      <c r="E264" s="26">
        <f t="shared" si="212"/>
        <v>-8</v>
      </c>
      <c r="F264" s="66">
        <f t="shared" si="212"/>
        <v>-5</v>
      </c>
      <c r="G264" s="24">
        <f t="shared" si="212"/>
        <v>3</v>
      </c>
      <c r="H264" s="30">
        <f t="shared" si="212"/>
        <v>-4</v>
      </c>
      <c r="I264" s="25">
        <f t="shared" si="212"/>
        <v>5</v>
      </c>
      <c r="J264" s="26">
        <f t="shared" si="212"/>
        <v>-1</v>
      </c>
      <c r="K264" s="77">
        <f t="shared" si="212"/>
        <v>3</v>
      </c>
      <c r="L264" s="80">
        <f t="shared" si="208"/>
        <v>-2</v>
      </c>
    </row>
  </sheetData>
  <mergeCells count="39">
    <mergeCell ref="B230:F230"/>
    <mergeCell ref="G230:K230"/>
    <mergeCell ref="L230:L231"/>
    <mergeCell ref="Y192:Y193"/>
    <mergeCell ref="B192:F192"/>
    <mergeCell ref="G192:K192"/>
    <mergeCell ref="L192:L193"/>
    <mergeCell ref="O192:S192"/>
    <mergeCell ref="T192:X192"/>
    <mergeCell ref="O116:S116"/>
    <mergeCell ref="T116:X116"/>
    <mergeCell ref="Y116:Y117"/>
    <mergeCell ref="B116:F116"/>
    <mergeCell ref="G116:K116"/>
    <mergeCell ref="L116:L117"/>
    <mergeCell ref="Y78:Y79"/>
    <mergeCell ref="B78:F78"/>
    <mergeCell ref="G78:K78"/>
    <mergeCell ref="L78:L79"/>
    <mergeCell ref="O78:S78"/>
    <mergeCell ref="T78:X78"/>
    <mergeCell ref="L40:L41"/>
    <mergeCell ref="L2:L3"/>
    <mergeCell ref="B2:F2"/>
    <mergeCell ref="G2:K2"/>
    <mergeCell ref="B40:F40"/>
    <mergeCell ref="G40:K40"/>
    <mergeCell ref="Y2:Y3"/>
    <mergeCell ref="Y40:Y41"/>
    <mergeCell ref="T2:X2"/>
    <mergeCell ref="O40:S40"/>
    <mergeCell ref="T40:X40"/>
    <mergeCell ref="O2:S2"/>
    <mergeCell ref="Y154:Y155"/>
    <mergeCell ref="B154:F154"/>
    <mergeCell ref="G154:K154"/>
    <mergeCell ref="L154:L155"/>
    <mergeCell ref="O154:S154"/>
    <mergeCell ref="T154:X154"/>
  </mergeCells>
  <phoneticPr fontId="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dcterms:created xsi:type="dcterms:W3CDTF">2014-11-17T01:36:50Z</dcterms:created>
  <dcterms:modified xsi:type="dcterms:W3CDTF">2026-07-16T10:00:19Z</dcterms:modified>
</cp:coreProperties>
</file>