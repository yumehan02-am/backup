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水着\"/>
    </mc:Choice>
  </mc:AlternateContent>
  <xr:revisionPtr revIDLastSave="0" documentId="13_ncr:1_{35C88918-B5A4-4AE3-915B-C9A2FBA58792}" xr6:coauthVersionLast="47" xr6:coauthVersionMax="47" xr10:uidLastSave="{00000000-0000-0000-0000-000000000000}"/>
  <bookViews>
    <workbookView xWindow="13860" yWindow="915" windowWidth="13335" windowHeight="12450" xr2:uid="{00000000-000D-0000-FFFF-FFFF00000000}"/>
  </bookViews>
  <sheets>
    <sheet name="水着_花柄" sheetId="1" r:id="rId1"/>
    <sheet name="水着_ペイズリー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66" i="6" l="1"/>
  <c r="X666" i="6"/>
  <c r="Y666" i="6" s="1"/>
  <c r="F673" i="6"/>
  <c r="K673" i="6"/>
  <c r="L673" i="6" s="1"/>
  <c r="F674" i="6"/>
  <c r="K674" i="6"/>
  <c r="L674" i="6" s="1"/>
  <c r="F675" i="6"/>
  <c r="K675" i="6"/>
  <c r="L675" i="6"/>
  <c r="K696" i="6"/>
  <c r="F696" i="6"/>
  <c r="L696" i="6" s="1"/>
  <c r="K695" i="6"/>
  <c r="F695" i="6"/>
  <c r="L695" i="6" s="1"/>
  <c r="S667" i="6"/>
  <c r="X667" i="6"/>
  <c r="Y667" i="6" s="1"/>
  <c r="X699" i="6"/>
  <c r="S699" i="6"/>
  <c r="Y699" i="6" s="1"/>
  <c r="W716" i="6"/>
  <c r="V716" i="6"/>
  <c r="R716" i="6"/>
  <c r="Q716" i="6"/>
  <c r="P716" i="6"/>
  <c r="Q718" i="6"/>
  <c r="J833" i="1"/>
  <c r="I833" i="1"/>
  <c r="H833" i="1"/>
  <c r="G833" i="1"/>
  <c r="K833" i="1" s="1"/>
  <c r="E833" i="1"/>
  <c r="D833" i="1"/>
  <c r="C833" i="1"/>
  <c r="B833" i="1"/>
  <c r="F833" i="1" s="1"/>
  <c r="L833" i="1" s="1"/>
  <c r="K832" i="1"/>
  <c r="L832" i="1" s="1"/>
  <c r="F832" i="1"/>
  <c r="K831" i="1"/>
  <c r="F831" i="1"/>
  <c r="L831" i="1" s="1"/>
  <c r="K830" i="1"/>
  <c r="F830" i="1"/>
  <c r="L830" i="1" s="1"/>
  <c r="L829" i="1"/>
  <c r="K829" i="1"/>
  <c r="F829" i="1"/>
  <c r="K828" i="1"/>
  <c r="L828" i="1" s="1"/>
  <c r="F828" i="1"/>
  <c r="K827" i="1"/>
  <c r="F827" i="1"/>
  <c r="L827" i="1" s="1"/>
  <c r="K826" i="1"/>
  <c r="F826" i="1"/>
  <c r="L826" i="1" s="1"/>
  <c r="L825" i="1"/>
  <c r="K825" i="1"/>
  <c r="F825" i="1"/>
  <c r="K824" i="1"/>
  <c r="L824" i="1" s="1"/>
  <c r="F824" i="1"/>
  <c r="K823" i="1"/>
  <c r="F823" i="1"/>
  <c r="L823" i="1" s="1"/>
  <c r="K822" i="1"/>
  <c r="F822" i="1"/>
  <c r="L822" i="1" s="1"/>
  <c r="L821" i="1"/>
  <c r="K821" i="1"/>
  <c r="F821" i="1"/>
  <c r="K820" i="1"/>
  <c r="L820" i="1" s="1"/>
  <c r="F820" i="1"/>
  <c r="K819" i="1"/>
  <c r="F819" i="1"/>
  <c r="L819" i="1" s="1"/>
  <c r="K818" i="1"/>
  <c r="F818" i="1"/>
  <c r="L818" i="1" s="1"/>
  <c r="L817" i="1"/>
  <c r="K817" i="1"/>
  <c r="F817" i="1"/>
  <c r="K816" i="1"/>
  <c r="L816" i="1" s="1"/>
  <c r="F816" i="1"/>
  <c r="K815" i="1"/>
  <c r="F815" i="1"/>
  <c r="L815" i="1" s="1"/>
  <c r="K814" i="1"/>
  <c r="F814" i="1"/>
  <c r="L814" i="1" s="1"/>
  <c r="L813" i="1"/>
  <c r="K813" i="1"/>
  <c r="F813" i="1"/>
  <c r="K812" i="1"/>
  <c r="L812" i="1" s="1"/>
  <c r="F812" i="1"/>
  <c r="K811" i="1"/>
  <c r="F811" i="1"/>
  <c r="L811" i="1" s="1"/>
  <c r="K810" i="1"/>
  <c r="F810" i="1"/>
  <c r="L810" i="1" s="1"/>
  <c r="L809" i="1"/>
  <c r="K809" i="1"/>
  <c r="F809" i="1"/>
  <c r="K808" i="1"/>
  <c r="L808" i="1" s="1"/>
  <c r="F808" i="1"/>
  <c r="K806" i="1"/>
  <c r="F806" i="1"/>
  <c r="L806" i="1" s="1"/>
  <c r="L805" i="1"/>
  <c r="K805" i="1"/>
  <c r="F805" i="1"/>
  <c r="K804" i="1"/>
  <c r="L804" i="1" s="1"/>
  <c r="F804" i="1"/>
  <c r="K803" i="1"/>
  <c r="F803" i="1"/>
  <c r="L803" i="1" s="1"/>
  <c r="J795" i="1"/>
  <c r="I795" i="1"/>
  <c r="H795" i="1"/>
  <c r="G795" i="1"/>
  <c r="K795" i="1" s="1"/>
  <c r="E795" i="1"/>
  <c r="D795" i="1"/>
  <c r="C795" i="1"/>
  <c r="B795" i="1"/>
  <c r="F795" i="1" s="1"/>
  <c r="L795" i="1" s="1"/>
  <c r="K794" i="1"/>
  <c r="F794" i="1"/>
  <c r="L794" i="1" s="1"/>
  <c r="K793" i="1"/>
  <c r="F793" i="1"/>
  <c r="L793" i="1" s="1"/>
  <c r="K792" i="1"/>
  <c r="F792" i="1"/>
  <c r="L792" i="1" s="1"/>
  <c r="L791" i="1"/>
  <c r="K791" i="1"/>
  <c r="F791" i="1"/>
  <c r="K790" i="1"/>
  <c r="F790" i="1"/>
  <c r="L790" i="1" s="1"/>
  <c r="K789" i="1"/>
  <c r="F789" i="1"/>
  <c r="L789" i="1" s="1"/>
  <c r="K788" i="1"/>
  <c r="F788" i="1"/>
  <c r="L788" i="1" s="1"/>
  <c r="L787" i="1"/>
  <c r="K787" i="1"/>
  <c r="F787" i="1"/>
  <c r="K786" i="1"/>
  <c r="F786" i="1"/>
  <c r="L786" i="1" s="1"/>
  <c r="K785" i="1"/>
  <c r="F785" i="1"/>
  <c r="L785" i="1" s="1"/>
  <c r="K784" i="1"/>
  <c r="L784" i="1" s="1"/>
  <c r="F784" i="1"/>
  <c r="L783" i="1"/>
  <c r="K783" i="1"/>
  <c r="F783" i="1"/>
  <c r="K782" i="1"/>
  <c r="F782" i="1"/>
  <c r="L782" i="1" s="1"/>
  <c r="K781" i="1"/>
  <c r="F781" i="1"/>
  <c r="L781" i="1" s="1"/>
  <c r="K780" i="1"/>
  <c r="L780" i="1" s="1"/>
  <c r="F780" i="1"/>
  <c r="L779" i="1"/>
  <c r="K779" i="1"/>
  <c r="F779" i="1"/>
  <c r="K778" i="1"/>
  <c r="F778" i="1"/>
  <c r="L778" i="1" s="1"/>
  <c r="K777" i="1"/>
  <c r="F777" i="1"/>
  <c r="L777" i="1" s="1"/>
  <c r="L776" i="1"/>
  <c r="K776" i="1"/>
  <c r="F776" i="1"/>
  <c r="L775" i="1"/>
  <c r="K775" i="1"/>
  <c r="F775" i="1"/>
  <c r="K774" i="1"/>
  <c r="F774" i="1"/>
  <c r="L774" i="1" s="1"/>
  <c r="K773" i="1"/>
  <c r="F773" i="1"/>
  <c r="L773" i="1" s="1"/>
  <c r="L772" i="1"/>
  <c r="K772" i="1"/>
  <c r="F772" i="1"/>
  <c r="L771" i="1"/>
  <c r="K771" i="1"/>
  <c r="F771" i="1"/>
  <c r="K770" i="1"/>
  <c r="F770" i="1"/>
  <c r="L770" i="1" s="1"/>
  <c r="L768" i="1"/>
  <c r="K768" i="1"/>
  <c r="F768" i="1"/>
  <c r="L767" i="1"/>
  <c r="K767" i="1"/>
  <c r="F767" i="1"/>
  <c r="K766" i="1"/>
  <c r="F766" i="1"/>
  <c r="L766" i="1" s="1"/>
  <c r="K765" i="1"/>
  <c r="F765" i="1"/>
  <c r="L765" i="1" s="1"/>
  <c r="S747" i="1"/>
  <c r="X747" i="1"/>
  <c r="Y747" i="1"/>
  <c r="S748" i="1"/>
  <c r="Y748" i="1" s="1"/>
  <c r="X748" i="1"/>
  <c r="S749" i="1"/>
  <c r="Y749" i="1" s="1"/>
  <c r="X749" i="1"/>
  <c r="S750" i="1"/>
  <c r="X750" i="1"/>
  <c r="Y750" i="1"/>
  <c r="S751" i="1"/>
  <c r="X751" i="1"/>
  <c r="Y751" i="1"/>
  <c r="S752" i="1"/>
  <c r="Y752" i="1" s="1"/>
  <c r="X752" i="1"/>
  <c r="S753" i="1"/>
  <c r="Y753" i="1" s="1"/>
  <c r="X753" i="1"/>
  <c r="S754" i="1"/>
  <c r="X754" i="1"/>
  <c r="Y754" i="1"/>
  <c r="S755" i="1"/>
  <c r="X755" i="1"/>
  <c r="Y755" i="1"/>
  <c r="S756" i="1"/>
  <c r="Y756" i="1" s="1"/>
  <c r="X756" i="1"/>
  <c r="X794" i="1"/>
  <c r="S794" i="1"/>
  <c r="Y794" i="1" s="1"/>
  <c r="Y793" i="1"/>
  <c r="X793" i="1"/>
  <c r="S793" i="1"/>
  <c r="X792" i="1"/>
  <c r="S792" i="1"/>
  <c r="Y792" i="1" s="1"/>
  <c r="X791" i="1"/>
  <c r="S791" i="1"/>
  <c r="Y791" i="1" s="1"/>
  <c r="S730" i="1"/>
  <c r="Y730" i="1" s="1"/>
  <c r="X730" i="1"/>
  <c r="X768" i="1"/>
  <c r="S768" i="1"/>
  <c r="Y768" i="1" s="1"/>
  <c r="S728" i="1"/>
  <c r="Y728" i="1" s="1"/>
  <c r="X728" i="1"/>
  <c r="S729" i="1"/>
  <c r="Y729" i="1" s="1"/>
  <c r="X729" i="1"/>
  <c r="X767" i="1"/>
  <c r="S767" i="1"/>
  <c r="Y767" i="1" s="1"/>
  <c r="X766" i="1"/>
  <c r="S766" i="1"/>
  <c r="Y766" i="1" s="1"/>
  <c r="W833" i="1"/>
  <c r="V833" i="1"/>
  <c r="U833" i="1"/>
  <c r="T833" i="1"/>
  <c r="X833" i="1" s="1"/>
  <c r="R833" i="1"/>
  <c r="Q833" i="1"/>
  <c r="P833" i="1"/>
  <c r="O833" i="1"/>
  <c r="S833" i="1" s="1"/>
  <c r="Y833" i="1" s="1"/>
  <c r="X832" i="1"/>
  <c r="S832" i="1"/>
  <c r="Y832" i="1" s="1"/>
  <c r="Y831" i="1"/>
  <c r="X831" i="1"/>
  <c r="S831" i="1"/>
  <c r="X830" i="1"/>
  <c r="S830" i="1"/>
  <c r="Y830" i="1" s="1"/>
  <c r="X829" i="1"/>
  <c r="S829" i="1"/>
  <c r="Y829" i="1" s="1"/>
  <c r="X828" i="1"/>
  <c r="S828" i="1"/>
  <c r="Y828" i="1" s="1"/>
  <c r="Y827" i="1"/>
  <c r="X827" i="1"/>
  <c r="S827" i="1"/>
  <c r="X826" i="1"/>
  <c r="Y826" i="1" s="1"/>
  <c r="S826" i="1"/>
  <c r="X825" i="1"/>
  <c r="S825" i="1"/>
  <c r="Y825" i="1" s="1"/>
  <c r="X824" i="1"/>
  <c r="S824" i="1"/>
  <c r="Y824" i="1" s="1"/>
  <c r="Y823" i="1"/>
  <c r="X823" i="1"/>
  <c r="S823" i="1"/>
  <c r="X822" i="1"/>
  <c r="Y822" i="1" s="1"/>
  <c r="S822" i="1"/>
  <c r="X821" i="1"/>
  <c r="S821" i="1"/>
  <c r="Y821" i="1" s="1"/>
  <c r="X820" i="1"/>
  <c r="S820" i="1"/>
  <c r="Y820" i="1" s="1"/>
  <c r="Y819" i="1"/>
  <c r="X819" i="1"/>
  <c r="S819" i="1"/>
  <c r="X818" i="1"/>
  <c r="Y818" i="1" s="1"/>
  <c r="S818" i="1"/>
  <c r="X817" i="1"/>
  <c r="S817" i="1"/>
  <c r="Y817" i="1" s="1"/>
  <c r="X816" i="1"/>
  <c r="S816" i="1"/>
  <c r="Y816" i="1" s="1"/>
  <c r="Y815" i="1"/>
  <c r="X815" i="1"/>
  <c r="S815" i="1"/>
  <c r="X814" i="1"/>
  <c r="Y814" i="1" s="1"/>
  <c r="S814" i="1"/>
  <c r="X813" i="1"/>
  <c r="S813" i="1"/>
  <c r="Y813" i="1" s="1"/>
  <c r="X812" i="1"/>
  <c r="S812" i="1"/>
  <c r="Y812" i="1" s="1"/>
  <c r="Y811" i="1"/>
  <c r="X811" i="1"/>
  <c r="S811" i="1"/>
  <c r="X810" i="1"/>
  <c r="Y810" i="1" s="1"/>
  <c r="S810" i="1"/>
  <c r="X809" i="1"/>
  <c r="S809" i="1"/>
  <c r="Y809" i="1" s="1"/>
  <c r="X808" i="1"/>
  <c r="S808" i="1"/>
  <c r="Y808" i="1" s="1"/>
  <c r="X806" i="1"/>
  <c r="Y806" i="1" s="1"/>
  <c r="S806" i="1"/>
  <c r="X805" i="1"/>
  <c r="S805" i="1"/>
  <c r="Y805" i="1" s="1"/>
  <c r="X804" i="1"/>
  <c r="S804" i="1"/>
  <c r="Y804" i="1" s="1"/>
  <c r="Y803" i="1"/>
  <c r="X803" i="1"/>
  <c r="S803" i="1"/>
  <c r="X690" i="1"/>
  <c r="Y690" i="1" s="1"/>
  <c r="S690" i="1"/>
  <c r="S670" i="1"/>
  <c r="X670" i="1"/>
  <c r="Y670" i="1"/>
  <c r="S671" i="1"/>
  <c r="Y671" i="1" s="1"/>
  <c r="X671" i="1"/>
  <c r="S672" i="1"/>
  <c r="Y672" i="1" s="1"/>
  <c r="X672" i="1"/>
  <c r="S673" i="1"/>
  <c r="X673" i="1"/>
  <c r="Y673" i="1"/>
  <c r="S674" i="1"/>
  <c r="X674" i="1"/>
  <c r="Y674" i="1"/>
  <c r="S675" i="1"/>
  <c r="X675" i="1"/>
  <c r="S676" i="1"/>
  <c r="Y676" i="1" s="1"/>
  <c r="X676" i="1"/>
  <c r="S677" i="1"/>
  <c r="X677" i="1"/>
  <c r="S678" i="1"/>
  <c r="X678" i="1"/>
  <c r="Y678" i="1" s="1"/>
  <c r="S679" i="1"/>
  <c r="X679" i="1"/>
  <c r="Y679" i="1"/>
  <c r="S680" i="1"/>
  <c r="Y680" i="1" s="1"/>
  <c r="X680" i="1"/>
  <c r="X714" i="1"/>
  <c r="Y714" i="1" s="1"/>
  <c r="S714" i="1"/>
  <c r="X718" i="1"/>
  <c r="S718" i="1"/>
  <c r="Y718" i="1" s="1"/>
  <c r="Y717" i="1"/>
  <c r="X717" i="1"/>
  <c r="S717" i="1"/>
  <c r="X716" i="1"/>
  <c r="Y716" i="1" s="1"/>
  <c r="S716" i="1"/>
  <c r="X715" i="1"/>
  <c r="S715" i="1"/>
  <c r="Y715" i="1" s="1"/>
  <c r="S691" i="1"/>
  <c r="Y691" i="1" s="1"/>
  <c r="X691" i="1"/>
  <c r="S692" i="1"/>
  <c r="X692" i="1"/>
  <c r="Y692" i="1" s="1"/>
  <c r="S709" i="1"/>
  <c r="Y709" i="1" s="1"/>
  <c r="X709" i="1"/>
  <c r="S710" i="1"/>
  <c r="Y710" i="1" s="1"/>
  <c r="X710" i="1"/>
  <c r="S711" i="1"/>
  <c r="Y711" i="1" s="1"/>
  <c r="X711" i="1"/>
  <c r="S712" i="1"/>
  <c r="X712" i="1"/>
  <c r="S713" i="1"/>
  <c r="X713" i="1"/>
  <c r="S727" i="1"/>
  <c r="Y727" i="1" s="1"/>
  <c r="X727" i="1"/>
  <c r="S732" i="1"/>
  <c r="X732" i="1"/>
  <c r="Y732" i="1" s="1"/>
  <c r="S733" i="1"/>
  <c r="X733" i="1"/>
  <c r="Y733" i="1"/>
  <c r="S734" i="1"/>
  <c r="Y734" i="1" s="1"/>
  <c r="X734" i="1"/>
  <c r="S735" i="1"/>
  <c r="Y735" i="1" s="1"/>
  <c r="X735" i="1"/>
  <c r="S736" i="1"/>
  <c r="X736" i="1"/>
  <c r="Y736" i="1" s="1"/>
  <c r="S737" i="1"/>
  <c r="X737" i="1"/>
  <c r="Y737" i="1"/>
  <c r="S738" i="1"/>
  <c r="Y738" i="1" s="1"/>
  <c r="X738" i="1"/>
  <c r="S739" i="1"/>
  <c r="Y739" i="1" s="1"/>
  <c r="X739" i="1"/>
  <c r="S740" i="1"/>
  <c r="X740" i="1"/>
  <c r="Y740" i="1" s="1"/>
  <c r="S741" i="1"/>
  <c r="X741" i="1"/>
  <c r="Y741" i="1"/>
  <c r="S742" i="1"/>
  <c r="Y742" i="1" s="1"/>
  <c r="X742" i="1"/>
  <c r="S743" i="1"/>
  <c r="Y743" i="1" s="1"/>
  <c r="X743" i="1"/>
  <c r="S744" i="1"/>
  <c r="X744" i="1"/>
  <c r="Y744" i="1" s="1"/>
  <c r="S745" i="1"/>
  <c r="X745" i="1"/>
  <c r="Y745" i="1"/>
  <c r="S746" i="1"/>
  <c r="Y746" i="1" s="1"/>
  <c r="X746" i="1"/>
  <c r="O757" i="1"/>
  <c r="P757" i="1"/>
  <c r="Q757" i="1"/>
  <c r="S757" i="1" s="1"/>
  <c r="R757" i="1"/>
  <c r="T757" i="1"/>
  <c r="U757" i="1"/>
  <c r="V757" i="1"/>
  <c r="W757" i="1"/>
  <c r="S765" i="1"/>
  <c r="Y765" i="1" s="1"/>
  <c r="X765" i="1"/>
  <c r="S770" i="1"/>
  <c r="Y770" i="1" s="1"/>
  <c r="X770" i="1"/>
  <c r="S771" i="1"/>
  <c r="X771" i="1"/>
  <c r="Y771" i="1" s="1"/>
  <c r="S772" i="1"/>
  <c r="X772" i="1"/>
  <c r="Y772" i="1"/>
  <c r="S773" i="1"/>
  <c r="Y773" i="1" s="1"/>
  <c r="X773" i="1"/>
  <c r="S774" i="1"/>
  <c r="Y774" i="1" s="1"/>
  <c r="X774" i="1"/>
  <c r="S775" i="1"/>
  <c r="X775" i="1"/>
  <c r="Y775" i="1" s="1"/>
  <c r="S776" i="1"/>
  <c r="X776" i="1"/>
  <c r="Y776" i="1"/>
  <c r="S777" i="1"/>
  <c r="Y777" i="1" s="1"/>
  <c r="X777" i="1"/>
  <c r="S778" i="1"/>
  <c r="Y778" i="1" s="1"/>
  <c r="X778" i="1"/>
  <c r="S779" i="1"/>
  <c r="X779" i="1"/>
  <c r="Y779" i="1" s="1"/>
  <c r="S780" i="1"/>
  <c r="X780" i="1"/>
  <c r="Y780" i="1"/>
  <c r="S781" i="1"/>
  <c r="Y781" i="1" s="1"/>
  <c r="X781" i="1"/>
  <c r="S782" i="1"/>
  <c r="Y782" i="1" s="1"/>
  <c r="X782" i="1"/>
  <c r="S783" i="1"/>
  <c r="X783" i="1"/>
  <c r="Y783" i="1" s="1"/>
  <c r="S784" i="1"/>
  <c r="X784" i="1"/>
  <c r="Y784" i="1"/>
  <c r="S785" i="1"/>
  <c r="Y785" i="1" s="1"/>
  <c r="X785" i="1"/>
  <c r="S786" i="1"/>
  <c r="Y786" i="1" s="1"/>
  <c r="X786" i="1"/>
  <c r="S787" i="1"/>
  <c r="X787" i="1"/>
  <c r="Y787" i="1" s="1"/>
  <c r="S788" i="1"/>
  <c r="X788" i="1"/>
  <c r="Y788" i="1"/>
  <c r="S789" i="1"/>
  <c r="X789" i="1"/>
  <c r="Y789" i="1" s="1"/>
  <c r="S790" i="1"/>
  <c r="Y790" i="1" s="1"/>
  <c r="X790" i="1"/>
  <c r="O795" i="1"/>
  <c r="P795" i="1"/>
  <c r="Q795" i="1"/>
  <c r="R795" i="1"/>
  <c r="T795" i="1"/>
  <c r="U795" i="1"/>
  <c r="V795" i="1"/>
  <c r="W795" i="1"/>
  <c r="S787" i="6"/>
  <c r="X787" i="6"/>
  <c r="Y787" i="6"/>
  <c r="S788" i="6"/>
  <c r="Y788" i="6" s="1"/>
  <c r="X788" i="6"/>
  <c r="X804" i="6"/>
  <c r="S804" i="6"/>
  <c r="Y804" i="6" s="1"/>
  <c r="S710" i="6"/>
  <c r="Y710" i="6" s="1"/>
  <c r="X710" i="6"/>
  <c r="S711" i="6"/>
  <c r="Y711" i="6" s="1"/>
  <c r="X711" i="6"/>
  <c r="S712" i="6"/>
  <c r="X712" i="6"/>
  <c r="Y712" i="6" s="1"/>
  <c r="S713" i="6"/>
  <c r="Y713" i="6" s="1"/>
  <c r="X713" i="6"/>
  <c r="S714" i="6"/>
  <c r="Y714" i="6" s="1"/>
  <c r="X714" i="6"/>
  <c r="S672" i="6"/>
  <c r="Y672" i="6" s="1"/>
  <c r="X672" i="6"/>
  <c r="S673" i="6"/>
  <c r="Y673" i="6" s="1"/>
  <c r="X673" i="6"/>
  <c r="S674" i="6"/>
  <c r="X674" i="6"/>
  <c r="Y674" i="6"/>
  <c r="S675" i="6"/>
  <c r="Y675" i="6" s="1"/>
  <c r="X675" i="6"/>
  <c r="S676" i="6"/>
  <c r="Y676" i="6" s="1"/>
  <c r="X676" i="6"/>
  <c r="S677" i="6"/>
  <c r="X677" i="6"/>
  <c r="Y677" i="6"/>
  <c r="S678" i="6"/>
  <c r="X678" i="6"/>
  <c r="Y678" i="6"/>
  <c r="X718" i="6"/>
  <c r="R718" i="6"/>
  <c r="P718" i="6"/>
  <c r="O718" i="6"/>
  <c r="S718" i="6" s="1"/>
  <c r="Y718" i="6" s="1"/>
  <c r="Y717" i="6"/>
  <c r="X717" i="6"/>
  <c r="S717" i="6"/>
  <c r="X665" i="6"/>
  <c r="Y665" i="6" s="1"/>
  <c r="S665" i="6"/>
  <c r="X694" i="6"/>
  <c r="Y694" i="6" s="1"/>
  <c r="S694" i="6"/>
  <c r="S668" i="6"/>
  <c r="Y668" i="6" s="1"/>
  <c r="X668" i="6"/>
  <c r="X696" i="6"/>
  <c r="Y696" i="6" s="1"/>
  <c r="S696" i="6"/>
  <c r="Y695" i="6"/>
  <c r="X695" i="6"/>
  <c r="S695" i="6"/>
  <c r="X756" i="6"/>
  <c r="S756" i="6"/>
  <c r="Y756" i="6" s="1"/>
  <c r="Y755" i="6"/>
  <c r="X755" i="6"/>
  <c r="S755" i="6"/>
  <c r="S754" i="6"/>
  <c r="Y754" i="6" s="1"/>
  <c r="X754" i="6"/>
  <c r="X730" i="6"/>
  <c r="S730" i="6"/>
  <c r="Y730" i="6" s="1"/>
  <c r="X729" i="6"/>
  <c r="S729" i="6"/>
  <c r="Y729" i="6" s="1"/>
  <c r="X691" i="6"/>
  <c r="Y691" i="6" s="1"/>
  <c r="S691" i="6"/>
  <c r="X690" i="6"/>
  <c r="S690" i="6"/>
  <c r="Y690" i="6" s="1"/>
  <c r="J947" i="6"/>
  <c r="I947" i="6"/>
  <c r="H947" i="6"/>
  <c r="G947" i="6"/>
  <c r="K947" i="6" s="1"/>
  <c r="E947" i="6"/>
  <c r="D947" i="6"/>
  <c r="C947" i="6"/>
  <c r="B947" i="6"/>
  <c r="F947" i="6" s="1"/>
  <c r="L947" i="6" s="1"/>
  <c r="K946" i="6"/>
  <c r="L946" i="6" s="1"/>
  <c r="F946" i="6"/>
  <c r="K945" i="6"/>
  <c r="F945" i="6"/>
  <c r="L945" i="6" s="1"/>
  <c r="K944" i="6"/>
  <c r="F944" i="6"/>
  <c r="L944" i="6" s="1"/>
  <c r="L943" i="6"/>
  <c r="K943" i="6"/>
  <c r="F943" i="6"/>
  <c r="K942" i="6"/>
  <c r="L942" i="6" s="1"/>
  <c r="F942" i="6"/>
  <c r="K941" i="6"/>
  <c r="F941" i="6"/>
  <c r="L941" i="6" s="1"/>
  <c r="K940" i="6"/>
  <c r="F940" i="6"/>
  <c r="L940" i="6" s="1"/>
  <c r="L939" i="6"/>
  <c r="K939" i="6"/>
  <c r="F939" i="6"/>
  <c r="K938" i="6"/>
  <c r="L938" i="6" s="1"/>
  <c r="F938" i="6"/>
  <c r="K937" i="6"/>
  <c r="F937" i="6"/>
  <c r="L937" i="6" s="1"/>
  <c r="K936" i="6"/>
  <c r="F936" i="6"/>
  <c r="L936" i="6" s="1"/>
  <c r="L935" i="6"/>
  <c r="K935" i="6"/>
  <c r="F935" i="6"/>
  <c r="K934" i="6"/>
  <c r="L934" i="6" s="1"/>
  <c r="F934" i="6"/>
  <c r="K933" i="6"/>
  <c r="F933" i="6"/>
  <c r="L933" i="6" s="1"/>
  <c r="K932" i="6"/>
  <c r="F932" i="6"/>
  <c r="L932" i="6" s="1"/>
  <c r="L931" i="6"/>
  <c r="K931" i="6"/>
  <c r="F931" i="6"/>
  <c r="K930" i="6"/>
  <c r="L930" i="6" s="1"/>
  <c r="F930" i="6"/>
  <c r="K929" i="6"/>
  <c r="F929" i="6"/>
  <c r="L929" i="6" s="1"/>
  <c r="K928" i="6"/>
  <c r="F928" i="6"/>
  <c r="L928" i="6" s="1"/>
  <c r="L927" i="6"/>
  <c r="K927" i="6"/>
  <c r="F927" i="6"/>
  <c r="K926" i="6"/>
  <c r="L926" i="6" s="1"/>
  <c r="F926" i="6"/>
  <c r="K925" i="6"/>
  <c r="F925" i="6"/>
  <c r="L925" i="6" s="1"/>
  <c r="K924" i="6"/>
  <c r="F924" i="6"/>
  <c r="L924" i="6" s="1"/>
  <c r="L923" i="6"/>
  <c r="K923" i="6"/>
  <c r="F923" i="6"/>
  <c r="K922" i="6"/>
  <c r="L922" i="6" s="1"/>
  <c r="F922" i="6"/>
  <c r="K920" i="6"/>
  <c r="F920" i="6"/>
  <c r="L920" i="6" s="1"/>
  <c r="L919" i="6"/>
  <c r="K919" i="6"/>
  <c r="F919" i="6"/>
  <c r="K918" i="6"/>
  <c r="L918" i="6" s="1"/>
  <c r="F918" i="6"/>
  <c r="K917" i="6"/>
  <c r="F917" i="6"/>
  <c r="L917" i="6" s="1"/>
  <c r="S841" i="6"/>
  <c r="Y841" i="6" s="1"/>
  <c r="X841" i="6"/>
  <c r="S842" i="6"/>
  <c r="Y842" i="6" s="1"/>
  <c r="X842" i="6"/>
  <c r="Y880" i="6"/>
  <c r="X880" i="6"/>
  <c r="S880" i="6"/>
  <c r="W947" i="6"/>
  <c r="V947" i="6"/>
  <c r="U947" i="6"/>
  <c r="T947" i="6"/>
  <c r="X947" i="6" s="1"/>
  <c r="R947" i="6"/>
  <c r="Q947" i="6"/>
  <c r="P947" i="6"/>
  <c r="O947" i="6"/>
  <c r="S947" i="6" s="1"/>
  <c r="Y947" i="6" s="1"/>
  <c r="X946" i="6"/>
  <c r="Y946" i="6" s="1"/>
  <c r="S946" i="6"/>
  <c r="X945" i="6"/>
  <c r="S945" i="6"/>
  <c r="Y945" i="6" s="1"/>
  <c r="X944" i="6"/>
  <c r="S944" i="6"/>
  <c r="Y944" i="6" s="1"/>
  <c r="Y943" i="6"/>
  <c r="X943" i="6"/>
  <c r="S943" i="6"/>
  <c r="X942" i="6"/>
  <c r="Y942" i="6" s="1"/>
  <c r="S942" i="6"/>
  <c r="X941" i="6"/>
  <c r="S941" i="6"/>
  <c r="Y941" i="6" s="1"/>
  <c r="X940" i="6"/>
  <c r="S940" i="6"/>
  <c r="Y940" i="6" s="1"/>
  <c r="Y939" i="6"/>
  <c r="X939" i="6"/>
  <c r="S939" i="6"/>
  <c r="X938" i="6"/>
  <c r="Y938" i="6" s="1"/>
  <c r="S938" i="6"/>
  <c r="X937" i="6"/>
  <c r="S937" i="6"/>
  <c r="Y937" i="6" s="1"/>
  <c r="X936" i="6"/>
  <c r="S936" i="6"/>
  <c r="Y936" i="6" s="1"/>
  <c r="Y935" i="6"/>
  <c r="X935" i="6"/>
  <c r="S935" i="6"/>
  <c r="X934" i="6"/>
  <c r="Y934" i="6" s="1"/>
  <c r="S934" i="6"/>
  <c r="X933" i="6"/>
  <c r="S933" i="6"/>
  <c r="Y933" i="6" s="1"/>
  <c r="X932" i="6"/>
  <c r="S932" i="6"/>
  <c r="Y932" i="6" s="1"/>
  <c r="Y931" i="6"/>
  <c r="X931" i="6"/>
  <c r="S931" i="6"/>
  <c r="X930" i="6"/>
  <c r="Y930" i="6" s="1"/>
  <c r="S930" i="6"/>
  <c r="X929" i="6"/>
  <c r="S929" i="6"/>
  <c r="Y929" i="6" s="1"/>
  <c r="X928" i="6"/>
  <c r="S928" i="6"/>
  <c r="Y928" i="6" s="1"/>
  <c r="Y927" i="6"/>
  <c r="X927" i="6"/>
  <c r="S927" i="6"/>
  <c r="X926" i="6"/>
  <c r="Y926" i="6" s="1"/>
  <c r="S926" i="6"/>
  <c r="X925" i="6"/>
  <c r="S925" i="6"/>
  <c r="Y925" i="6" s="1"/>
  <c r="X924" i="6"/>
  <c r="S924" i="6"/>
  <c r="Y924" i="6" s="1"/>
  <c r="Y923" i="6"/>
  <c r="X923" i="6"/>
  <c r="S923" i="6"/>
  <c r="X922" i="6"/>
  <c r="Y922" i="6" s="1"/>
  <c r="S922" i="6"/>
  <c r="X920" i="6"/>
  <c r="S920" i="6"/>
  <c r="Y920" i="6" s="1"/>
  <c r="Y919" i="6"/>
  <c r="X919" i="6"/>
  <c r="S919" i="6"/>
  <c r="X918" i="6"/>
  <c r="Y918" i="6" s="1"/>
  <c r="S918" i="6"/>
  <c r="X917" i="6"/>
  <c r="S917" i="6"/>
  <c r="Y917" i="6" s="1"/>
  <c r="J909" i="6"/>
  <c r="I909" i="6"/>
  <c r="H909" i="6"/>
  <c r="G909" i="6"/>
  <c r="K909" i="6" s="1"/>
  <c r="E909" i="6"/>
  <c r="D909" i="6"/>
  <c r="C909" i="6"/>
  <c r="B909" i="6"/>
  <c r="F909" i="6" s="1"/>
  <c r="L909" i="6" s="1"/>
  <c r="K908" i="6"/>
  <c r="F908" i="6"/>
  <c r="L908" i="6" s="1"/>
  <c r="K907" i="6"/>
  <c r="F907" i="6"/>
  <c r="L907" i="6" s="1"/>
  <c r="K906" i="6"/>
  <c r="L906" i="6" s="1"/>
  <c r="F906" i="6"/>
  <c r="L905" i="6"/>
  <c r="K905" i="6"/>
  <c r="F905" i="6"/>
  <c r="K904" i="6"/>
  <c r="F904" i="6"/>
  <c r="L904" i="6" s="1"/>
  <c r="K903" i="6"/>
  <c r="F903" i="6"/>
  <c r="L903" i="6" s="1"/>
  <c r="K902" i="6"/>
  <c r="L902" i="6" s="1"/>
  <c r="F902" i="6"/>
  <c r="L901" i="6"/>
  <c r="K901" i="6"/>
  <c r="F901" i="6"/>
  <c r="K900" i="6"/>
  <c r="F900" i="6"/>
  <c r="L900" i="6" s="1"/>
  <c r="K899" i="6"/>
  <c r="F899" i="6"/>
  <c r="L899" i="6" s="1"/>
  <c r="K898" i="6"/>
  <c r="L898" i="6" s="1"/>
  <c r="F898" i="6"/>
  <c r="L897" i="6"/>
  <c r="K897" i="6"/>
  <c r="F897" i="6"/>
  <c r="K896" i="6"/>
  <c r="F896" i="6"/>
  <c r="L896" i="6" s="1"/>
  <c r="K895" i="6"/>
  <c r="F895" i="6"/>
  <c r="L895" i="6" s="1"/>
  <c r="K894" i="6"/>
  <c r="L894" i="6" s="1"/>
  <c r="F894" i="6"/>
  <c r="L893" i="6"/>
  <c r="K893" i="6"/>
  <c r="F893" i="6"/>
  <c r="K892" i="6"/>
  <c r="F892" i="6"/>
  <c r="L892" i="6" s="1"/>
  <c r="K891" i="6"/>
  <c r="F891" i="6"/>
  <c r="L891" i="6" s="1"/>
  <c r="K890" i="6"/>
  <c r="L890" i="6" s="1"/>
  <c r="F890" i="6"/>
  <c r="L889" i="6"/>
  <c r="K889" i="6"/>
  <c r="F889" i="6"/>
  <c r="K888" i="6"/>
  <c r="F888" i="6"/>
  <c r="L888" i="6" s="1"/>
  <c r="K887" i="6"/>
  <c r="F887" i="6"/>
  <c r="L887" i="6" s="1"/>
  <c r="K886" i="6"/>
  <c r="L886" i="6" s="1"/>
  <c r="F886" i="6"/>
  <c r="L885" i="6"/>
  <c r="K885" i="6"/>
  <c r="F885" i="6"/>
  <c r="K884" i="6"/>
  <c r="F884" i="6"/>
  <c r="L884" i="6" s="1"/>
  <c r="K882" i="6"/>
  <c r="L882" i="6" s="1"/>
  <c r="F882" i="6"/>
  <c r="L881" i="6"/>
  <c r="K881" i="6"/>
  <c r="F881" i="6"/>
  <c r="K880" i="6"/>
  <c r="F880" i="6"/>
  <c r="L880" i="6" s="1"/>
  <c r="K879" i="6"/>
  <c r="F879" i="6"/>
  <c r="L879" i="6" s="1"/>
  <c r="S767" i="6"/>
  <c r="X767" i="6"/>
  <c r="Y767" i="6" s="1"/>
  <c r="X803" i="6"/>
  <c r="Y803" i="6" s="1"/>
  <c r="S803" i="6"/>
  <c r="S827" i="6"/>
  <c r="Y827" i="6" s="1"/>
  <c r="X827" i="6"/>
  <c r="S828" i="6"/>
  <c r="Y828" i="6" s="1"/>
  <c r="X828" i="6"/>
  <c r="S829" i="6"/>
  <c r="X829" i="6"/>
  <c r="Y829" i="6"/>
  <c r="S830" i="6"/>
  <c r="Y830" i="6" s="1"/>
  <c r="X830" i="6"/>
  <c r="S831" i="6"/>
  <c r="Y831" i="6" s="1"/>
  <c r="X831" i="6"/>
  <c r="S832" i="6"/>
  <c r="X832" i="6"/>
  <c r="Y832" i="6"/>
  <c r="X870" i="6"/>
  <c r="S870" i="6"/>
  <c r="Y870" i="6" s="1"/>
  <c r="Y869" i="6"/>
  <c r="X869" i="6"/>
  <c r="S869" i="6"/>
  <c r="W909" i="6"/>
  <c r="V909" i="6"/>
  <c r="U909" i="6"/>
  <c r="T909" i="6"/>
  <c r="X909" i="6" s="1"/>
  <c r="R909" i="6"/>
  <c r="Q909" i="6"/>
  <c r="P909" i="6"/>
  <c r="O909" i="6"/>
  <c r="S909" i="6" s="1"/>
  <c r="Y909" i="6" s="1"/>
  <c r="X908" i="6"/>
  <c r="S908" i="6"/>
  <c r="Y908" i="6" s="1"/>
  <c r="X907" i="6"/>
  <c r="S907" i="6"/>
  <c r="Y907" i="6" s="1"/>
  <c r="X906" i="6"/>
  <c r="Y906" i="6" s="1"/>
  <c r="S906" i="6"/>
  <c r="Y905" i="6"/>
  <c r="X905" i="6"/>
  <c r="S905" i="6"/>
  <c r="X904" i="6"/>
  <c r="S904" i="6"/>
  <c r="Y904" i="6" s="1"/>
  <c r="X903" i="6"/>
  <c r="S903" i="6"/>
  <c r="Y903" i="6" s="1"/>
  <c r="X902" i="6"/>
  <c r="Y902" i="6" s="1"/>
  <c r="S902" i="6"/>
  <c r="Y901" i="6"/>
  <c r="X901" i="6"/>
  <c r="S901" i="6"/>
  <c r="X900" i="6"/>
  <c r="S900" i="6"/>
  <c r="Y900" i="6" s="1"/>
  <c r="X899" i="6"/>
  <c r="S899" i="6"/>
  <c r="Y899" i="6" s="1"/>
  <c r="X898" i="6"/>
  <c r="Y898" i="6" s="1"/>
  <c r="S898" i="6"/>
  <c r="Y897" i="6"/>
  <c r="X897" i="6"/>
  <c r="S897" i="6"/>
  <c r="X896" i="6"/>
  <c r="S896" i="6"/>
  <c r="Y896" i="6" s="1"/>
  <c r="X895" i="6"/>
  <c r="S895" i="6"/>
  <c r="Y895" i="6" s="1"/>
  <c r="X894" i="6"/>
  <c r="Y894" i="6" s="1"/>
  <c r="S894" i="6"/>
  <c r="Y893" i="6"/>
  <c r="X893" i="6"/>
  <c r="S893" i="6"/>
  <c r="X892" i="6"/>
  <c r="S892" i="6"/>
  <c r="Y892" i="6" s="1"/>
  <c r="X891" i="6"/>
  <c r="S891" i="6"/>
  <c r="Y891" i="6" s="1"/>
  <c r="X890" i="6"/>
  <c r="Y890" i="6" s="1"/>
  <c r="S890" i="6"/>
  <c r="Y889" i="6"/>
  <c r="X889" i="6"/>
  <c r="S889" i="6"/>
  <c r="X888" i="6"/>
  <c r="S888" i="6"/>
  <c r="Y888" i="6" s="1"/>
  <c r="X887" i="6"/>
  <c r="S887" i="6"/>
  <c r="Y887" i="6" s="1"/>
  <c r="X886" i="6"/>
  <c r="Y886" i="6" s="1"/>
  <c r="S886" i="6"/>
  <c r="Y885" i="6"/>
  <c r="X885" i="6"/>
  <c r="S885" i="6"/>
  <c r="X884" i="6"/>
  <c r="S884" i="6"/>
  <c r="Y884" i="6" s="1"/>
  <c r="X882" i="6"/>
  <c r="S882" i="6"/>
  <c r="Y882" i="6" s="1"/>
  <c r="Y881" i="6"/>
  <c r="X881" i="6"/>
  <c r="S881" i="6"/>
  <c r="X879" i="6"/>
  <c r="S879" i="6"/>
  <c r="Y879" i="6" s="1"/>
  <c r="X805" i="6"/>
  <c r="Y805" i="6" s="1"/>
  <c r="S805" i="6"/>
  <c r="S785" i="6"/>
  <c r="Y785" i="6" s="1"/>
  <c r="X785" i="6"/>
  <c r="S786" i="6"/>
  <c r="Y786" i="6" s="1"/>
  <c r="X786" i="6"/>
  <c r="S789" i="6"/>
  <c r="Y789" i="6" s="1"/>
  <c r="X789" i="6"/>
  <c r="S790" i="6"/>
  <c r="X790" i="6"/>
  <c r="Y790" i="6"/>
  <c r="S791" i="6"/>
  <c r="X791" i="6"/>
  <c r="Y791" i="6"/>
  <c r="S792" i="6"/>
  <c r="Y792" i="6" s="1"/>
  <c r="X792" i="6"/>
  <c r="S793" i="6"/>
  <c r="Y793" i="6" s="1"/>
  <c r="X793" i="6"/>
  <c r="S794" i="6"/>
  <c r="X794" i="6"/>
  <c r="Y794" i="6"/>
  <c r="S783" i="6"/>
  <c r="Y783" i="6" s="1"/>
  <c r="X783" i="6"/>
  <c r="S784" i="6"/>
  <c r="Y784" i="6" s="1"/>
  <c r="X784" i="6"/>
  <c r="S668" i="1"/>
  <c r="Y668" i="1" s="1"/>
  <c r="X668" i="1"/>
  <c r="S669" i="1"/>
  <c r="Y669" i="1" s="1"/>
  <c r="X669" i="1"/>
  <c r="J871" i="6"/>
  <c r="I871" i="6"/>
  <c r="H871" i="6"/>
  <c r="G871" i="6"/>
  <c r="K871" i="6" s="1"/>
  <c r="E871" i="6"/>
  <c r="D871" i="6"/>
  <c r="C871" i="6"/>
  <c r="B871" i="6"/>
  <c r="F871" i="6" s="1"/>
  <c r="L871" i="6" s="1"/>
  <c r="K870" i="6"/>
  <c r="F870" i="6"/>
  <c r="L870" i="6" s="1"/>
  <c r="K869" i="6"/>
  <c r="F869" i="6"/>
  <c r="L869" i="6" s="1"/>
  <c r="K868" i="6"/>
  <c r="L868" i="6" s="1"/>
  <c r="F868" i="6"/>
  <c r="L867" i="6"/>
  <c r="K867" i="6"/>
  <c r="F867" i="6"/>
  <c r="K866" i="6"/>
  <c r="F866" i="6"/>
  <c r="L866" i="6" s="1"/>
  <c r="K865" i="6"/>
  <c r="F865" i="6"/>
  <c r="L865" i="6" s="1"/>
  <c r="K864" i="6"/>
  <c r="L864" i="6" s="1"/>
  <c r="F864" i="6"/>
  <c r="L863" i="6"/>
  <c r="K863" i="6"/>
  <c r="F863" i="6"/>
  <c r="K862" i="6"/>
  <c r="F862" i="6"/>
  <c r="L862" i="6" s="1"/>
  <c r="K861" i="6"/>
  <c r="F861" i="6"/>
  <c r="L861" i="6" s="1"/>
  <c r="K860" i="6"/>
  <c r="L860" i="6" s="1"/>
  <c r="F860" i="6"/>
  <c r="L859" i="6"/>
  <c r="K859" i="6"/>
  <c r="F859" i="6"/>
  <c r="K858" i="6"/>
  <c r="F858" i="6"/>
  <c r="L858" i="6" s="1"/>
  <c r="K857" i="6"/>
  <c r="F857" i="6"/>
  <c r="L857" i="6" s="1"/>
  <c r="K856" i="6"/>
  <c r="L856" i="6" s="1"/>
  <c r="F856" i="6"/>
  <c r="L855" i="6"/>
  <c r="K855" i="6"/>
  <c r="F855" i="6"/>
  <c r="K854" i="6"/>
  <c r="F854" i="6"/>
  <c r="L854" i="6" s="1"/>
  <c r="K853" i="6"/>
  <c r="F853" i="6"/>
  <c r="L853" i="6" s="1"/>
  <c r="K852" i="6"/>
  <c r="L852" i="6" s="1"/>
  <c r="F852" i="6"/>
  <c r="L851" i="6"/>
  <c r="K851" i="6"/>
  <c r="F851" i="6"/>
  <c r="K850" i="6"/>
  <c r="F850" i="6"/>
  <c r="L850" i="6" s="1"/>
  <c r="K849" i="6"/>
  <c r="F849" i="6"/>
  <c r="L849" i="6" s="1"/>
  <c r="K848" i="6"/>
  <c r="L848" i="6" s="1"/>
  <c r="F848" i="6"/>
  <c r="L847" i="6"/>
  <c r="K847" i="6"/>
  <c r="F847" i="6"/>
  <c r="K846" i="6"/>
  <c r="F846" i="6"/>
  <c r="L846" i="6" s="1"/>
  <c r="K844" i="6"/>
  <c r="L844" i="6" s="1"/>
  <c r="F844" i="6"/>
  <c r="L843" i="6"/>
  <c r="K843" i="6"/>
  <c r="F843" i="6"/>
  <c r="K842" i="6"/>
  <c r="F842" i="6"/>
  <c r="L842" i="6" s="1"/>
  <c r="K841" i="6"/>
  <c r="F841" i="6"/>
  <c r="L841" i="6" s="1"/>
  <c r="W795" i="6"/>
  <c r="V795" i="6"/>
  <c r="U795" i="6"/>
  <c r="T795" i="6"/>
  <c r="R795" i="6"/>
  <c r="Q795" i="6"/>
  <c r="P795" i="6"/>
  <c r="O795" i="6"/>
  <c r="S843" i="6"/>
  <c r="X843" i="6"/>
  <c r="Y843" i="6"/>
  <c r="W871" i="6"/>
  <c r="V871" i="6"/>
  <c r="U871" i="6"/>
  <c r="T871" i="6"/>
  <c r="R871" i="6"/>
  <c r="Q871" i="6"/>
  <c r="P871" i="6"/>
  <c r="O871" i="6"/>
  <c r="X868" i="6"/>
  <c r="S868" i="6"/>
  <c r="Y868" i="6" s="1"/>
  <c r="Y867" i="6"/>
  <c r="X867" i="6"/>
  <c r="S867" i="6"/>
  <c r="X866" i="6"/>
  <c r="Y866" i="6" s="1"/>
  <c r="S866" i="6"/>
  <c r="X865" i="6"/>
  <c r="S865" i="6"/>
  <c r="Y865" i="6" s="1"/>
  <c r="X864" i="6"/>
  <c r="S864" i="6"/>
  <c r="Y864" i="6" s="1"/>
  <c r="Y863" i="6"/>
  <c r="X863" i="6"/>
  <c r="S863" i="6"/>
  <c r="X862" i="6"/>
  <c r="Y862" i="6" s="1"/>
  <c r="S862" i="6"/>
  <c r="X861" i="6"/>
  <c r="S861" i="6"/>
  <c r="Y861" i="6" s="1"/>
  <c r="X860" i="6"/>
  <c r="S860" i="6"/>
  <c r="Y860" i="6" s="1"/>
  <c r="Y859" i="6"/>
  <c r="X859" i="6"/>
  <c r="S859" i="6"/>
  <c r="X858" i="6"/>
  <c r="Y858" i="6" s="1"/>
  <c r="S858" i="6"/>
  <c r="X857" i="6"/>
  <c r="S857" i="6"/>
  <c r="Y857" i="6" s="1"/>
  <c r="X856" i="6"/>
  <c r="S856" i="6"/>
  <c r="Y856" i="6" s="1"/>
  <c r="Y855" i="6"/>
  <c r="X855" i="6"/>
  <c r="S855" i="6"/>
  <c r="X854" i="6"/>
  <c r="Y854" i="6" s="1"/>
  <c r="S854" i="6"/>
  <c r="X853" i="6"/>
  <c r="S853" i="6"/>
  <c r="Y853" i="6" s="1"/>
  <c r="X852" i="6"/>
  <c r="S852" i="6"/>
  <c r="Y852" i="6" s="1"/>
  <c r="Y851" i="6"/>
  <c r="X851" i="6"/>
  <c r="S851" i="6"/>
  <c r="X850" i="6"/>
  <c r="Y850" i="6" s="1"/>
  <c r="S850" i="6"/>
  <c r="X849" i="6"/>
  <c r="S849" i="6"/>
  <c r="Y849" i="6" s="1"/>
  <c r="X848" i="6"/>
  <c r="S848" i="6"/>
  <c r="Y848" i="6" s="1"/>
  <c r="Y847" i="6"/>
  <c r="X847" i="6"/>
  <c r="S847" i="6"/>
  <c r="X846" i="6"/>
  <c r="Y846" i="6" s="1"/>
  <c r="S846" i="6"/>
  <c r="X844" i="6"/>
  <c r="S844" i="6"/>
  <c r="Y844" i="6" s="1"/>
  <c r="X654" i="1"/>
  <c r="S654" i="1"/>
  <c r="Y654" i="1" s="1"/>
  <c r="X727" i="6"/>
  <c r="S727" i="6"/>
  <c r="Y727" i="6" s="1"/>
  <c r="X806" i="6"/>
  <c r="S806" i="6"/>
  <c r="Y806" i="6" s="1"/>
  <c r="X689" i="1"/>
  <c r="S689" i="1"/>
  <c r="S836" i="6"/>
  <c r="X653" i="6"/>
  <c r="S653" i="6"/>
  <c r="Y653" i="6" s="1"/>
  <c r="Y652" i="6"/>
  <c r="X652" i="6"/>
  <c r="S652" i="6"/>
  <c r="X651" i="6"/>
  <c r="S651" i="6"/>
  <c r="Y651" i="6" s="1"/>
  <c r="U716" i="6"/>
  <c r="T716" i="6"/>
  <c r="O716" i="6"/>
  <c r="X618" i="1"/>
  <c r="S618" i="1"/>
  <c r="Y618" i="1" s="1"/>
  <c r="X619" i="1"/>
  <c r="S619" i="1"/>
  <c r="Y619" i="1" s="1"/>
  <c r="X616" i="6"/>
  <c r="S616" i="6"/>
  <c r="Y616" i="6" s="1"/>
  <c r="X615" i="6"/>
  <c r="S615" i="6"/>
  <c r="Y615" i="6" s="1"/>
  <c r="X614" i="6"/>
  <c r="S614" i="6"/>
  <c r="Y614" i="6" s="1"/>
  <c r="X613" i="6"/>
  <c r="S613" i="6"/>
  <c r="Y613" i="6" s="1"/>
  <c r="S595" i="1"/>
  <c r="X595" i="1"/>
  <c r="Y595" i="1"/>
  <c r="J757" i="1"/>
  <c r="I757" i="1"/>
  <c r="H757" i="1"/>
  <c r="G757" i="1"/>
  <c r="K757" i="1" s="1"/>
  <c r="E757" i="1"/>
  <c r="D757" i="1"/>
  <c r="C757" i="1"/>
  <c r="B757" i="1"/>
  <c r="F757" i="1" s="1"/>
  <c r="L757" i="1" s="1"/>
  <c r="K756" i="1"/>
  <c r="L756" i="1" s="1"/>
  <c r="F756" i="1"/>
  <c r="K755" i="1"/>
  <c r="F755" i="1"/>
  <c r="L755" i="1" s="1"/>
  <c r="K754" i="1"/>
  <c r="F754" i="1"/>
  <c r="L754" i="1" s="1"/>
  <c r="L753" i="1"/>
  <c r="K753" i="1"/>
  <c r="F753" i="1"/>
  <c r="K752" i="1"/>
  <c r="L752" i="1" s="1"/>
  <c r="F752" i="1"/>
  <c r="K751" i="1"/>
  <c r="F751" i="1"/>
  <c r="L751" i="1" s="1"/>
  <c r="K750" i="1"/>
  <c r="F750" i="1"/>
  <c r="L750" i="1" s="1"/>
  <c r="L749" i="1"/>
  <c r="K749" i="1"/>
  <c r="F749" i="1"/>
  <c r="K748" i="1"/>
  <c r="L748" i="1" s="1"/>
  <c r="F748" i="1"/>
  <c r="K747" i="1"/>
  <c r="F747" i="1"/>
  <c r="L747" i="1" s="1"/>
  <c r="K746" i="1"/>
  <c r="F746" i="1"/>
  <c r="L746" i="1" s="1"/>
  <c r="L745" i="1"/>
  <c r="K745" i="1"/>
  <c r="F745" i="1"/>
  <c r="K744" i="1"/>
  <c r="L744" i="1" s="1"/>
  <c r="F744" i="1"/>
  <c r="K743" i="1"/>
  <c r="F743" i="1"/>
  <c r="L743" i="1" s="1"/>
  <c r="K742" i="1"/>
  <c r="F742" i="1"/>
  <c r="L742" i="1" s="1"/>
  <c r="L741" i="1"/>
  <c r="K741" i="1"/>
  <c r="F741" i="1"/>
  <c r="K740" i="1"/>
  <c r="L740" i="1" s="1"/>
  <c r="F740" i="1"/>
  <c r="K739" i="1"/>
  <c r="F739" i="1"/>
  <c r="L739" i="1" s="1"/>
  <c r="K738" i="1"/>
  <c r="F738" i="1"/>
  <c r="L738" i="1" s="1"/>
  <c r="L737" i="1"/>
  <c r="K737" i="1"/>
  <c r="F737" i="1"/>
  <c r="K736" i="1"/>
  <c r="L736" i="1" s="1"/>
  <c r="F736" i="1"/>
  <c r="K735" i="1"/>
  <c r="F735" i="1"/>
  <c r="L735" i="1" s="1"/>
  <c r="K734" i="1"/>
  <c r="F734" i="1"/>
  <c r="L734" i="1" s="1"/>
  <c r="L733" i="1"/>
  <c r="K733" i="1"/>
  <c r="F733" i="1"/>
  <c r="K732" i="1"/>
  <c r="L732" i="1" s="1"/>
  <c r="F732" i="1"/>
  <c r="K730" i="1"/>
  <c r="F730" i="1"/>
  <c r="L730" i="1" s="1"/>
  <c r="L729" i="1"/>
  <c r="K729" i="1"/>
  <c r="F729" i="1"/>
  <c r="K728" i="1"/>
  <c r="L728" i="1" s="1"/>
  <c r="F728" i="1"/>
  <c r="K727" i="1"/>
  <c r="F727" i="1"/>
  <c r="L727" i="1" s="1"/>
  <c r="J833" i="6"/>
  <c r="I833" i="6"/>
  <c r="H833" i="6"/>
  <c r="G833" i="6"/>
  <c r="K833" i="6" s="1"/>
  <c r="E833" i="6"/>
  <c r="D833" i="6"/>
  <c r="C833" i="6"/>
  <c r="B833" i="6"/>
  <c r="F833" i="6" s="1"/>
  <c r="L833" i="6" s="1"/>
  <c r="K832" i="6"/>
  <c r="F832" i="6"/>
  <c r="L832" i="6" s="1"/>
  <c r="K831" i="6"/>
  <c r="F831" i="6"/>
  <c r="L831" i="6" s="1"/>
  <c r="K830" i="6"/>
  <c r="L830" i="6" s="1"/>
  <c r="F830" i="6"/>
  <c r="L829" i="6"/>
  <c r="K829" i="6"/>
  <c r="F829" i="6"/>
  <c r="K828" i="6"/>
  <c r="F828" i="6"/>
  <c r="L828" i="6" s="1"/>
  <c r="K827" i="6"/>
  <c r="F827" i="6"/>
  <c r="L827" i="6" s="1"/>
  <c r="K826" i="6"/>
  <c r="L826" i="6" s="1"/>
  <c r="F826" i="6"/>
  <c r="L825" i="6"/>
  <c r="K825" i="6"/>
  <c r="F825" i="6"/>
  <c r="K824" i="6"/>
  <c r="F824" i="6"/>
  <c r="L824" i="6" s="1"/>
  <c r="K823" i="6"/>
  <c r="F823" i="6"/>
  <c r="L823" i="6" s="1"/>
  <c r="K822" i="6"/>
  <c r="L822" i="6" s="1"/>
  <c r="F822" i="6"/>
  <c r="L821" i="6"/>
  <c r="K821" i="6"/>
  <c r="F821" i="6"/>
  <c r="K820" i="6"/>
  <c r="F820" i="6"/>
  <c r="L820" i="6" s="1"/>
  <c r="K819" i="6"/>
  <c r="F819" i="6"/>
  <c r="L819" i="6" s="1"/>
  <c r="K818" i="6"/>
  <c r="L818" i="6" s="1"/>
  <c r="F818" i="6"/>
  <c r="L817" i="6"/>
  <c r="K817" i="6"/>
  <c r="F817" i="6"/>
  <c r="K816" i="6"/>
  <c r="F816" i="6"/>
  <c r="L816" i="6" s="1"/>
  <c r="K815" i="6"/>
  <c r="F815" i="6"/>
  <c r="L815" i="6" s="1"/>
  <c r="K814" i="6"/>
  <c r="L814" i="6" s="1"/>
  <c r="F814" i="6"/>
  <c r="L813" i="6"/>
  <c r="K813" i="6"/>
  <c r="F813" i="6"/>
  <c r="K812" i="6"/>
  <c r="F812" i="6"/>
  <c r="L812" i="6" s="1"/>
  <c r="K811" i="6"/>
  <c r="F811" i="6"/>
  <c r="L811" i="6" s="1"/>
  <c r="K810" i="6"/>
  <c r="L810" i="6" s="1"/>
  <c r="F810" i="6"/>
  <c r="L809" i="6"/>
  <c r="K809" i="6"/>
  <c r="F809" i="6"/>
  <c r="K808" i="6"/>
  <c r="F808" i="6"/>
  <c r="L808" i="6" s="1"/>
  <c r="K806" i="6"/>
  <c r="L806" i="6" s="1"/>
  <c r="F806" i="6"/>
  <c r="L805" i="6"/>
  <c r="K805" i="6"/>
  <c r="F805" i="6"/>
  <c r="K804" i="6"/>
  <c r="F804" i="6"/>
  <c r="L804" i="6" s="1"/>
  <c r="K803" i="6"/>
  <c r="F803" i="6"/>
  <c r="L803" i="6" s="1"/>
  <c r="W833" i="6"/>
  <c r="V833" i="6"/>
  <c r="U833" i="6"/>
  <c r="T833" i="6"/>
  <c r="R833" i="6"/>
  <c r="Q833" i="6"/>
  <c r="P833" i="6"/>
  <c r="O833" i="6"/>
  <c r="X826" i="6"/>
  <c r="S826" i="6"/>
  <c r="Y826" i="6" s="1"/>
  <c r="Y825" i="6"/>
  <c r="X825" i="6"/>
  <c r="S825" i="6"/>
  <c r="X824" i="6"/>
  <c r="Y824" i="6" s="1"/>
  <c r="S824" i="6"/>
  <c r="X823" i="6"/>
  <c r="S823" i="6"/>
  <c r="Y823" i="6" s="1"/>
  <c r="X822" i="6"/>
  <c r="S822" i="6"/>
  <c r="Y822" i="6" s="1"/>
  <c r="Y821" i="6"/>
  <c r="X821" i="6"/>
  <c r="S821" i="6"/>
  <c r="X820" i="6"/>
  <c r="Y820" i="6" s="1"/>
  <c r="S820" i="6"/>
  <c r="X819" i="6"/>
  <c r="S819" i="6"/>
  <c r="Y819" i="6" s="1"/>
  <c r="X818" i="6"/>
  <c r="S818" i="6"/>
  <c r="Y818" i="6" s="1"/>
  <c r="Y817" i="6"/>
  <c r="X817" i="6"/>
  <c r="S817" i="6"/>
  <c r="X816" i="6"/>
  <c r="Y816" i="6" s="1"/>
  <c r="S816" i="6"/>
  <c r="X815" i="6"/>
  <c r="S815" i="6"/>
  <c r="Y815" i="6" s="1"/>
  <c r="X814" i="6"/>
  <c r="S814" i="6"/>
  <c r="Y814" i="6" s="1"/>
  <c r="Y813" i="6"/>
  <c r="X813" i="6"/>
  <c r="S813" i="6"/>
  <c r="X812" i="6"/>
  <c r="S812" i="6"/>
  <c r="Y812" i="6" s="1"/>
  <c r="X811" i="6"/>
  <c r="S811" i="6"/>
  <c r="Y811" i="6" s="1"/>
  <c r="X810" i="6"/>
  <c r="S810" i="6"/>
  <c r="Y810" i="6" s="1"/>
  <c r="Y809" i="6"/>
  <c r="X809" i="6"/>
  <c r="S809" i="6"/>
  <c r="X808" i="6"/>
  <c r="S808" i="6"/>
  <c r="Y808" i="6" s="1"/>
  <c r="S798" i="6"/>
  <c r="S765" i="6"/>
  <c r="X765" i="6"/>
  <c r="Y765" i="6" s="1"/>
  <c r="X652" i="1"/>
  <c r="S652" i="1"/>
  <c r="Y652" i="1" s="1"/>
  <c r="X575" i="1"/>
  <c r="S575" i="1"/>
  <c r="Y575" i="1" s="1"/>
  <c r="X728" i="6"/>
  <c r="S728" i="6"/>
  <c r="J795" i="6"/>
  <c r="I795" i="6"/>
  <c r="H795" i="6"/>
  <c r="G795" i="6"/>
  <c r="K795" i="6" s="1"/>
  <c r="E795" i="6"/>
  <c r="D795" i="6"/>
  <c r="C795" i="6"/>
  <c r="B795" i="6"/>
  <c r="F795" i="6" s="1"/>
  <c r="L795" i="6" s="1"/>
  <c r="K794" i="6"/>
  <c r="L794" i="6" s="1"/>
  <c r="F794" i="6"/>
  <c r="K793" i="6"/>
  <c r="F793" i="6"/>
  <c r="L793" i="6" s="1"/>
  <c r="K792" i="6"/>
  <c r="F792" i="6"/>
  <c r="L792" i="6" s="1"/>
  <c r="L791" i="6"/>
  <c r="K791" i="6"/>
  <c r="F791" i="6"/>
  <c r="K790" i="6"/>
  <c r="L790" i="6" s="1"/>
  <c r="F790" i="6"/>
  <c r="K789" i="6"/>
  <c r="F789" i="6"/>
  <c r="L789" i="6" s="1"/>
  <c r="K788" i="6"/>
  <c r="F788" i="6"/>
  <c r="L788" i="6" s="1"/>
  <c r="L787" i="6"/>
  <c r="K787" i="6"/>
  <c r="F787" i="6"/>
  <c r="K786" i="6"/>
  <c r="L786" i="6" s="1"/>
  <c r="F786" i="6"/>
  <c r="K785" i="6"/>
  <c r="F785" i="6"/>
  <c r="L785" i="6" s="1"/>
  <c r="K784" i="6"/>
  <c r="F784" i="6"/>
  <c r="L784" i="6" s="1"/>
  <c r="L783" i="6"/>
  <c r="K783" i="6"/>
  <c r="F783" i="6"/>
  <c r="K782" i="6"/>
  <c r="L782" i="6" s="1"/>
  <c r="F782" i="6"/>
  <c r="K781" i="6"/>
  <c r="F781" i="6"/>
  <c r="L781" i="6" s="1"/>
  <c r="K780" i="6"/>
  <c r="F780" i="6"/>
  <c r="L780" i="6" s="1"/>
  <c r="L779" i="6"/>
  <c r="K779" i="6"/>
  <c r="F779" i="6"/>
  <c r="K778" i="6"/>
  <c r="L778" i="6" s="1"/>
  <c r="F778" i="6"/>
  <c r="K777" i="6"/>
  <c r="F777" i="6"/>
  <c r="L777" i="6" s="1"/>
  <c r="K776" i="6"/>
  <c r="F776" i="6"/>
  <c r="L776" i="6" s="1"/>
  <c r="L775" i="6"/>
  <c r="K775" i="6"/>
  <c r="F775" i="6"/>
  <c r="K774" i="6"/>
  <c r="L774" i="6" s="1"/>
  <c r="F774" i="6"/>
  <c r="K773" i="6"/>
  <c r="F773" i="6"/>
  <c r="L773" i="6" s="1"/>
  <c r="K772" i="6"/>
  <c r="F772" i="6"/>
  <c r="L772" i="6" s="1"/>
  <c r="L771" i="6"/>
  <c r="K771" i="6"/>
  <c r="F771" i="6"/>
  <c r="K770" i="6"/>
  <c r="L770" i="6" s="1"/>
  <c r="F770" i="6"/>
  <c r="K768" i="6"/>
  <c r="F768" i="6"/>
  <c r="L768" i="6" s="1"/>
  <c r="L767" i="6"/>
  <c r="K767" i="6"/>
  <c r="F767" i="6"/>
  <c r="K766" i="6"/>
  <c r="L766" i="6" s="1"/>
  <c r="F766" i="6"/>
  <c r="K765" i="6"/>
  <c r="F765" i="6"/>
  <c r="L765" i="6" s="1"/>
  <c r="S614" i="1"/>
  <c r="S653" i="1"/>
  <c r="X653" i="1"/>
  <c r="X782" i="6"/>
  <c r="S782" i="6"/>
  <c r="Y782" i="6" s="1"/>
  <c r="X781" i="6"/>
  <c r="S781" i="6"/>
  <c r="Y781" i="6" s="1"/>
  <c r="Y780" i="6"/>
  <c r="X780" i="6"/>
  <c r="S780" i="6"/>
  <c r="Y779" i="6"/>
  <c r="X779" i="6"/>
  <c r="S779" i="6"/>
  <c r="X778" i="6"/>
  <c r="S778" i="6"/>
  <c r="Y778" i="6" s="1"/>
  <c r="X777" i="6"/>
  <c r="S777" i="6"/>
  <c r="Y777" i="6" s="1"/>
  <c r="Y776" i="6"/>
  <c r="X776" i="6"/>
  <c r="S776" i="6"/>
  <c r="Y775" i="6"/>
  <c r="X775" i="6"/>
  <c r="S775" i="6"/>
  <c r="X774" i="6"/>
  <c r="S774" i="6"/>
  <c r="Y774" i="6" s="1"/>
  <c r="X773" i="6"/>
  <c r="S773" i="6"/>
  <c r="Y773" i="6" s="1"/>
  <c r="Y772" i="6"/>
  <c r="X772" i="6"/>
  <c r="S772" i="6"/>
  <c r="Y771" i="6"/>
  <c r="X771" i="6"/>
  <c r="S771" i="6"/>
  <c r="X770" i="6"/>
  <c r="S770" i="6"/>
  <c r="Y770" i="6" s="1"/>
  <c r="X768" i="6"/>
  <c r="S768" i="6"/>
  <c r="X766" i="6"/>
  <c r="S766" i="6"/>
  <c r="Y766" i="6" s="1"/>
  <c r="X597" i="1"/>
  <c r="S597" i="1"/>
  <c r="X596" i="1"/>
  <c r="S596" i="1"/>
  <c r="F581" i="1"/>
  <c r="K581" i="1"/>
  <c r="X556" i="1"/>
  <c r="S556" i="1"/>
  <c r="Y556" i="1" s="1"/>
  <c r="X582" i="1"/>
  <c r="S582" i="1"/>
  <c r="Y582" i="1" s="1"/>
  <c r="X615" i="1"/>
  <c r="Y615" i="1" s="1"/>
  <c r="S615" i="1"/>
  <c r="X613" i="1"/>
  <c r="S613" i="1"/>
  <c r="X634" i="1"/>
  <c r="S634" i="1"/>
  <c r="S558" i="1"/>
  <c r="Y558" i="1" s="1"/>
  <c r="X558" i="1"/>
  <c r="X636" i="1"/>
  <c r="R643" i="1"/>
  <c r="X635" i="1"/>
  <c r="S635" i="1"/>
  <c r="F575" i="1"/>
  <c r="K575" i="1"/>
  <c r="L575" i="1" s="1"/>
  <c r="S555" i="1"/>
  <c r="X555" i="1"/>
  <c r="Y555" i="1" s="1"/>
  <c r="X580" i="1"/>
  <c r="S580" i="1"/>
  <c r="Y580" i="1" s="1"/>
  <c r="F561" i="1"/>
  <c r="K561" i="1"/>
  <c r="X552" i="1"/>
  <c r="S552" i="1"/>
  <c r="Y552" i="1" s="1"/>
  <c r="X493" i="1"/>
  <c r="S636" i="6"/>
  <c r="R643" i="6"/>
  <c r="S642" i="6"/>
  <c r="S760" i="6"/>
  <c r="K577" i="6"/>
  <c r="F577" i="6"/>
  <c r="S562" i="1"/>
  <c r="T567" i="1"/>
  <c r="X598" i="1"/>
  <c r="S598" i="1"/>
  <c r="X539" i="1"/>
  <c r="S539" i="1"/>
  <c r="Y539" i="1" s="1"/>
  <c r="X538" i="1"/>
  <c r="S538" i="1"/>
  <c r="Y538" i="1" s="1"/>
  <c r="X537" i="1"/>
  <c r="S537" i="1"/>
  <c r="Y537" i="1" s="1"/>
  <c r="S640" i="6"/>
  <c r="Y640" i="6" s="1"/>
  <c r="X562" i="1"/>
  <c r="F604" i="6"/>
  <c r="K604" i="6"/>
  <c r="L604" i="6"/>
  <c r="Y514" i="6"/>
  <c r="Y515" i="6"/>
  <c r="Y516" i="6"/>
  <c r="Y517" i="6"/>
  <c r="S634" i="6"/>
  <c r="Y634" i="6" s="1"/>
  <c r="X634" i="6"/>
  <c r="X601" i="6"/>
  <c r="S601" i="6"/>
  <c r="Y601" i="6" s="1"/>
  <c r="X564" i="6"/>
  <c r="S564" i="6"/>
  <c r="Y564" i="6" s="1"/>
  <c r="X563" i="6"/>
  <c r="S563" i="6"/>
  <c r="Y563" i="6" s="1"/>
  <c r="Y562" i="6"/>
  <c r="X562" i="6"/>
  <c r="S562" i="6"/>
  <c r="X561" i="6"/>
  <c r="Y561" i="6" s="1"/>
  <c r="S561" i="6"/>
  <c r="S633" i="6"/>
  <c r="Y633" i="6" s="1"/>
  <c r="X633" i="6"/>
  <c r="X602" i="6"/>
  <c r="S602" i="6"/>
  <c r="J719" i="1"/>
  <c r="I719" i="1"/>
  <c r="H719" i="1"/>
  <c r="G719" i="1"/>
  <c r="E719" i="1"/>
  <c r="D719" i="1"/>
  <c r="C719" i="1"/>
  <c r="B719" i="1"/>
  <c r="K718" i="1"/>
  <c r="L718" i="1" s="1"/>
  <c r="F718" i="1"/>
  <c r="K717" i="1"/>
  <c r="F717" i="1"/>
  <c r="L717" i="1" s="1"/>
  <c r="K716" i="1"/>
  <c r="F716" i="1"/>
  <c r="L716" i="1" s="1"/>
  <c r="L715" i="1"/>
  <c r="K715" i="1"/>
  <c r="F715" i="1"/>
  <c r="K714" i="1"/>
  <c r="L714" i="1" s="1"/>
  <c r="F714" i="1"/>
  <c r="K713" i="1"/>
  <c r="F713" i="1"/>
  <c r="L713" i="1" s="1"/>
  <c r="K712" i="1"/>
  <c r="F712" i="1"/>
  <c r="L712" i="1" s="1"/>
  <c r="L711" i="1"/>
  <c r="K711" i="1"/>
  <c r="F711" i="1"/>
  <c r="K710" i="1"/>
  <c r="L710" i="1" s="1"/>
  <c r="F710" i="1"/>
  <c r="K709" i="1"/>
  <c r="F709" i="1"/>
  <c r="L709" i="1" s="1"/>
  <c r="K708" i="1"/>
  <c r="F708" i="1"/>
  <c r="L708" i="1" s="1"/>
  <c r="L707" i="1"/>
  <c r="K707" i="1"/>
  <c r="F707" i="1"/>
  <c r="K706" i="1"/>
  <c r="L706" i="1" s="1"/>
  <c r="F706" i="1"/>
  <c r="K705" i="1"/>
  <c r="F705" i="1"/>
  <c r="L705" i="1" s="1"/>
  <c r="K704" i="1"/>
  <c r="F704" i="1"/>
  <c r="L704" i="1" s="1"/>
  <c r="K703" i="1"/>
  <c r="F703" i="1"/>
  <c r="L703" i="1" s="1"/>
  <c r="K702" i="1"/>
  <c r="F702" i="1"/>
  <c r="K701" i="1"/>
  <c r="F701" i="1"/>
  <c r="L701" i="1" s="1"/>
  <c r="K700" i="1"/>
  <c r="F700" i="1"/>
  <c r="L700" i="1" s="1"/>
  <c r="L699" i="1"/>
  <c r="K699" i="1"/>
  <c r="F699" i="1"/>
  <c r="K698" i="1"/>
  <c r="L698" i="1" s="1"/>
  <c r="F698" i="1"/>
  <c r="K697" i="1"/>
  <c r="F697" i="1"/>
  <c r="K696" i="1"/>
  <c r="F696" i="1"/>
  <c r="K695" i="1"/>
  <c r="F695" i="1"/>
  <c r="L695" i="1" s="1"/>
  <c r="K694" i="1"/>
  <c r="L694" i="1" s="1"/>
  <c r="F694" i="1"/>
  <c r="K692" i="1"/>
  <c r="F692" i="1"/>
  <c r="L691" i="1"/>
  <c r="K691" i="1"/>
  <c r="F691" i="1"/>
  <c r="K690" i="1"/>
  <c r="L690" i="1" s="1"/>
  <c r="F690" i="1"/>
  <c r="K689" i="1"/>
  <c r="F689" i="1"/>
  <c r="L689" i="1" s="1"/>
  <c r="W719" i="1"/>
  <c r="V719" i="1"/>
  <c r="U719" i="1"/>
  <c r="T719" i="1"/>
  <c r="R719" i="1"/>
  <c r="Q719" i="1"/>
  <c r="P719" i="1"/>
  <c r="O719" i="1"/>
  <c r="Y708" i="1"/>
  <c r="X708" i="1"/>
  <c r="S708" i="1"/>
  <c r="Y707" i="1"/>
  <c r="X707" i="1"/>
  <c r="S707" i="1"/>
  <c r="X706" i="1"/>
  <c r="S706" i="1"/>
  <c r="Y706" i="1" s="1"/>
  <c r="X705" i="1"/>
  <c r="S705" i="1"/>
  <c r="Y705" i="1" s="1"/>
  <c r="Y704" i="1"/>
  <c r="X704" i="1"/>
  <c r="S704" i="1"/>
  <c r="Y703" i="1"/>
  <c r="X703" i="1"/>
  <c r="S703" i="1"/>
  <c r="X702" i="1"/>
  <c r="S702" i="1"/>
  <c r="Y702" i="1" s="1"/>
  <c r="X701" i="1"/>
  <c r="S701" i="1"/>
  <c r="Y701" i="1" s="1"/>
  <c r="Y700" i="1"/>
  <c r="X700" i="1"/>
  <c r="S700" i="1"/>
  <c r="Y699" i="1"/>
  <c r="X699" i="1"/>
  <c r="S699" i="1"/>
  <c r="X698" i="1"/>
  <c r="S698" i="1"/>
  <c r="Y698" i="1" s="1"/>
  <c r="X697" i="1"/>
  <c r="S697" i="1"/>
  <c r="Y697" i="1" s="1"/>
  <c r="Y696" i="1"/>
  <c r="X696" i="1"/>
  <c r="S696" i="1"/>
  <c r="Y695" i="1"/>
  <c r="X695" i="1"/>
  <c r="S695" i="1"/>
  <c r="X694" i="1"/>
  <c r="S694" i="1"/>
  <c r="Y694" i="1" s="1"/>
  <c r="J757" i="6"/>
  <c r="I757" i="6"/>
  <c r="H757" i="6"/>
  <c r="G757" i="6"/>
  <c r="K757" i="6" s="1"/>
  <c r="E757" i="6"/>
  <c r="D757" i="6"/>
  <c r="C757" i="6"/>
  <c r="B757" i="6"/>
  <c r="F757" i="6" s="1"/>
  <c r="L757" i="6" s="1"/>
  <c r="K756" i="6"/>
  <c r="F756" i="6"/>
  <c r="L756" i="6" s="1"/>
  <c r="K755" i="6"/>
  <c r="F755" i="6"/>
  <c r="L755" i="6" s="1"/>
  <c r="K754" i="6"/>
  <c r="L754" i="6" s="1"/>
  <c r="F754" i="6"/>
  <c r="L753" i="6"/>
  <c r="K753" i="6"/>
  <c r="F753" i="6"/>
  <c r="K752" i="6"/>
  <c r="F752" i="6"/>
  <c r="L752" i="6" s="1"/>
  <c r="K751" i="6"/>
  <c r="F751" i="6"/>
  <c r="L751" i="6" s="1"/>
  <c r="K750" i="6"/>
  <c r="L750" i="6" s="1"/>
  <c r="F750" i="6"/>
  <c r="L749" i="6"/>
  <c r="K749" i="6"/>
  <c r="F749" i="6"/>
  <c r="K748" i="6"/>
  <c r="F748" i="6"/>
  <c r="L748" i="6" s="1"/>
  <c r="K747" i="6"/>
  <c r="F747" i="6"/>
  <c r="L747" i="6" s="1"/>
  <c r="K746" i="6"/>
  <c r="L746" i="6" s="1"/>
  <c r="F746" i="6"/>
  <c r="L745" i="6"/>
  <c r="K745" i="6"/>
  <c r="F745" i="6"/>
  <c r="K744" i="6"/>
  <c r="F744" i="6"/>
  <c r="L744" i="6" s="1"/>
  <c r="K743" i="6"/>
  <c r="F743" i="6"/>
  <c r="L743" i="6" s="1"/>
  <c r="K742" i="6"/>
  <c r="L742" i="6" s="1"/>
  <c r="F742" i="6"/>
  <c r="L741" i="6"/>
  <c r="K741" i="6"/>
  <c r="F741" i="6"/>
  <c r="K740" i="6"/>
  <c r="F740" i="6"/>
  <c r="L740" i="6" s="1"/>
  <c r="K739" i="6"/>
  <c r="F739" i="6"/>
  <c r="L739" i="6" s="1"/>
  <c r="K738" i="6"/>
  <c r="L738" i="6" s="1"/>
  <c r="F738" i="6"/>
  <c r="L737" i="6"/>
  <c r="K737" i="6"/>
  <c r="F737" i="6"/>
  <c r="K736" i="6"/>
  <c r="F736" i="6"/>
  <c r="L736" i="6" s="1"/>
  <c r="K735" i="6"/>
  <c r="F735" i="6"/>
  <c r="L735" i="6" s="1"/>
  <c r="K734" i="6"/>
  <c r="L734" i="6" s="1"/>
  <c r="F734" i="6"/>
  <c r="L733" i="6"/>
  <c r="K733" i="6"/>
  <c r="F733" i="6"/>
  <c r="K732" i="6"/>
  <c r="F732" i="6"/>
  <c r="L732" i="6" s="1"/>
  <c r="K730" i="6"/>
  <c r="L730" i="6" s="1"/>
  <c r="F730" i="6"/>
  <c r="L729" i="6"/>
  <c r="K729" i="6"/>
  <c r="F729" i="6"/>
  <c r="K728" i="6"/>
  <c r="F728" i="6"/>
  <c r="L728" i="6" s="1"/>
  <c r="K727" i="6"/>
  <c r="F727" i="6"/>
  <c r="L727" i="6" s="1"/>
  <c r="S753" i="6"/>
  <c r="Y753" i="6" s="1"/>
  <c r="X753" i="6"/>
  <c r="W757" i="6"/>
  <c r="V757" i="6"/>
  <c r="U757" i="6"/>
  <c r="T757" i="6"/>
  <c r="R757" i="6"/>
  <c r="Q757" i="6"/>
  <c r="P757" i="6"/>
  <c r="O757" i="6"/>
  <c r="X752" i="6"/>
  <c r="S752" i="6"/>
  <c r="Y752" i="6" s="1"/>
  <c r="X751" i="6"/>
  <c r="S751" i="6"/>
  <c r="Y751" i="6" s="1"/>
  <c r="X750" i="6"/>
  <c r="S750" i="6"/>
  <c r="Y750" i="6" s="1"/>
  <c r="Y749" i="6"/>
  <c r="X749" i="6"/>
  <c r="S749" i="6"/>
  <c r="X748" i="6"/>
  <c r="S748" i="6"/>
  <c r="Y748" i="6" s="1"/>
  <c r="X747" i="6"/>
  <c r="S747" i="6"/>
  <c r="Y747" i="6" s="1"/>
  <c r="X746" i="6"/>
  <c r="S746" i="6"/>
  <c r="Y746" i="6" s="1"/>
  <c r="Y745" i="6"/>
  <c r="X745" i="6"/>
  <c r="S745" i="6"/>
  <c r="X744" i="6"/>
  <c r="S744" i="6"/>
  <c r="Y744" i="6" s="1"/>
  <c r="X743" i="6"/>
  <c r="S743" i="6"/>
  <c r="Y743" i="6" s="1"/>
  <c r="X742" i="6"/>
  <c r="S742" i="6"/>
  <c r="Y742" i="6" s="1"/>
  <c r="Y741" i="6"/>
  <c r="X741" i="6"/>
  <c r="S741" i="6"/>
  <c r="X740" i="6"/>
  <c r="S740" i="6"/>
  <c r="Y740" i="6" s="1"/>
  <c r="X739" i="6"/>
  <c r="S739" i="6"/>
  <c r="Y739" i="6" s="1"/>
  <c r="X738" i="6"/>
  <c r="S738" i="6"/>
  <c r="Y738" i="6" s="1"/>
  <c r="Y737" i="6"/>
  <c r="X737" i="6"/>
  <c r="S737" i="6"/>
  <c r="X736" i="6"/>
  <c r="Y736" i="6" s="1"/>
  <c r="S736" i="6"/>
  <c r="X735" i="6"/>
  <c r="S735" i="6"/>
  <c r="Y735" i="6" s="1"/>
  <c r="X734" i="6"/>
  <c r="S734" i="6"/>
  <c r="Y734" i="6" s="1"/>
  <c r="Y733" i="6"/>
  <c r="X733" i="6"/>
  <c r="S733" i="6"/>
  <c r="X732" i="6"/>
  <c r="Y732" i="6" s="1"/>
  <c r="S732" i="6"/>
  <c r="S576" i="6"/>
  <c r="Y576" i="6" s="1"/>
  <c r="X576" i="6"/>
  <c r="W528" i="1"/>
  <c r="V528" i="1"/>
  <c r="U528" i="1"/>
  <c r="T528" i="1"/>
  <c r="S477" i="1"/>
  <c r="X477" i="1"/>
  <c r="Y477" i="1" s="1"/>
  <c r="S478" i="1"/>
  <c r="X478" i="1"/>
  <c r="Y478" i="1"/>
  <c r="X506" i="1"/>
  <c r="S506" i="1"/>
  <c r="Y506" i="1" s="1"/>
  <c r="X505" i="1"/>
  <c r="S505" i="1"/>
  <c r="Y505" i="1" s="1"/>
  <c r="F542" i="6"/>
  <c r="K537" i="6"/>
  <c r="F537" i="6"/>
  <c r="L537" i="6" s="1"/>
  <c r="K499" i="1"/>
  <c r="F499" i="1"/>
  <c r="L499" i="1" s="1"/>
  <c r="J681" i="1"/>
  <c r="I681" i="1"/>
  <c r="H681" i="1"/>
  <c r="G681" i="1"/>
  <c r="E681" i="1"/>
  <c r="D681" i="1"/>
  <c r="C681" i="1"/>
  <c r="B681" i="1"/>
  <c r="K680" i="1"/>
  <c r="F680" i="1"/>
  <c r="L680" i="1" s="1"/>
  <c r="K679" i="1"/>
  <c r="F679" i="1"/>
  <c r="L679" i="1" s="1"/>
  <c r="K678" i="1"/>
  <c r="F678" i="1"/>
  <c r="K677" i="1"/>
  <c r="L677" i="1" s="1"/>
  <c r="F677" i="1"/>
  <c r="K676" i="1"/>
  <c r="F676" i="1"/>
  <c r="K675" i="1"/>
  <c r="F675" i="1"/>
  <c r="K674" i="1"/>
  <c r="L674" i="1" s="1"/>
  <c r="F674" i="1"/>
  <c r="K673" i="1"/>
  <c r="F673" i="1"/>
  <c r="L673" i="1" s="1"/>
  <c r="K672" i="1"/>
  <c r="F672" i="1"/>
  <c r="L672" i="1" s="1"/>
  <c r="K671" i="1"/>
  <c r="F671" i="1"/>
  <c r="L671" i="1" s="1"/>
  <c r="K670" i="1"/>
  <c r="F670" i="1"/>
  <c r="K669" i="1"/>
  <c r="F669" i="1"/>
  <c r="L669" i="1" s="1"/>
  <c r="K668" i="1"/>
  <c r="F668" i="1"/>
  <c r="L668" i="1" s="1"/>
  <c r="K667" i="1"/>
  <c r="F667" i="1"/>
  <c r="L667" i="1" s="1"/>
  <c r="K666" i="1"/>
  <c r="L666" i="1" s="1"/>
  <c r="F666" i="1"/>
  <c r="K665" i="1"/>
  <c r="L665" i="1" s="1"/>
  <c r="F665" i="1"/>
  <c r="K664" i="1"/>
  <c r="F664" i="1"/>
  <c r="K663" i="1"/>
  <c r="F663" i="1"/>
  <c r="L663" i="1" s="1"/>
  <c r="K662" i="1"/>
  <c r="F662" i="1"/>
  <c r="K661" i="1"/>
  <c r="L661" i="1" s="1"/>
  <c r="F661" i="1"/>
  <c r="K660" i="1"/>
  <c r="F660" i="1"/>
  <c r="K659" i="1"/>
  <c r="F659" i="1"/>
  <c r="K658" i="1"/>
  <c r="L658" i="1" s="1"/>
  <c r="F658" i="1"/>
  <c r="K657" i="1"/>
  <c r="F657" i="1"/>
  <c r="L657" i="1" s="1"/>
  <c r="K656" i="1"/>
  <c r="F656" i="1"/>
  <c r="L656" i="1" s="1"/>
  <c r="K654" i="1"/>
  <c r="F654" i="1"/>
  <c r="L654" i="1" s="1"/>
  <c r="K653" i="1"/>
  <c r="L653" i="1" s="1"/>
  <c r="F653" i="1"/>
  <c r="K652" i="1"/>
  <c r="F652" i="1"/>
  <c r="K651" i="1"/>
  <c r="F651" i="1"/>
  <c r="L651" i="1" s="1"/>
  <c r="W681" i="1"/>
  <c r="V681" i="1"/>
  <c r="U681" i="1"/>
  <c r="T681" i="1"/>
  <c r="R681" i="1"/>
  <c r="Q681" i="1"/>
  <c r="P681" i="1"/>
  <c r="O681" i="1"/>
  <c r="X667" i="1"/>
  <c r="S667" i="1"/>
  <c r="X666" i="1"/>
  <c r="Y666" i="1" s="1"/>
  <c r="S666" i="1"/>
  <c r="Y665" i="1"/>
  <c r="X665" i="1"/>
  <c r="S665" i="1"/>
  <c r="X664" i="1"/>
  <c r="S664" i="1"/>
  <c r="Y664" i="1" s="1"/>
  <c r="X663" i="1"/>
  <c r="S663" i="1"/>
  <c r="Y663" i="1" s="1"/>
  <c r="X662" i="1"/>
  <c r="Y662" i="1" s="1"/>
  <c r="S662" i="1"/>
  <c r="Y661" i="1"/>
  <c r="X661" i="1"/>
  <c r="S661" i="1"/>
  <c r="X660" i="1"/>
  <c r="S660" i="1"/>
  <c r="X659" i="1"/>
  <c r="S659" i="1"/>
  <c r="Y659" i="1" s="1"/>
  <c r="X658" i="1"/>
  <c r="Y658" i="1" s="1"/>
  <c r="S658" i="1"/>
  <c r="X657" i="1"/>
  <c r="S657" i="1"/>
  <c r="X656" i="1"/>
  <c r="S656" i="1"/>
  <c r="Y656" i="1" s="1"/>
  <c r="X651" i="1"/>
  <c r="S651" i="1"/>
  <c r="X654" i="6"/>
  <c r="S654" i="6"/>
  <c r="Y654" i="6" s="1"/>
  <c r="X636" i="6"/>
  <c r="X635" i="6"/>
  <c r="S635" i="6"/>
  <c r="X641" i="6"/>
  <c r="J719" i="6"/>
  <c r="I719" i="6"/>
  <c r="H719" i="6"/>
  <c r="G719" i="6"/>
  <c r="E719" i="6"/>
  <c r="D719" i="6"/>
  <c r="C719" i="6"/>
  <c r="B719" i="6"/>
  <c r="K718" i="6"/>
  <c r="F718" i="6"/>
  <c r="L718" i="6" s="1"/>
  <c r="K717" i="6"/>
  <c r="F717" i="6"/>
  <c r="L717" i="6" s="1"/>
  <c r="L716" i="6"/>
  <c r="K716" i="6"/>
  <c r="F716" i="6"/>
  <c r="L715" i="6"/>
  <c r="K715" i="6"/>
  <c r="F715" i="6"/>
  <c r="K714" i="6"/>
  <c r="F714" i="6"/>
  <c r="L714" i="6" s="1"/>
  <c r="K713" i="6"/>
  <c r="F713" i="6"/>
  <c r="L713" i="6" s="1"/>
  <c r="L712" i="6"/>
  <c r="K712" i="6"/>
  <c r="F712" i="6"/>
  <c r="L711" i="6"/>
  <c r="K711" i="6"/>
  <c r="F711" i="6"/>
  <c r="K710" i="6"/>
  <c r="F710" i="6"/>
  <c r="L710" i="6" s="1"/>
  <c r="K709" i="6"/>
  <c r="F709" i="6"/>
  <c r="L709" i="6" s="1"/>
  <c r="L708" i="6"/>
  <c r="K708" i="6"/>
  <c r="F708" i="6"/>
  <c r="K707" i="6"/>
  <c r="F707" i="6"/>
  <c r="L707" i="6" s="1"/>
  <c r="K706" i="6"/>
  <c r="F706" i="6"/>
  <c r="L706" i="6" s="1"/>
  <c r="K705" i="6"/>
  <c r="F705" i="6"/>
  <c r="L705" i="6" s="1"/>
  <c r="K704" i="6"/>
  <c r="F704" i="6"/>
  <c r="L704" i="6" s="1"/>
  <c r="K703" i="6"/>
  <c r="F703" i="6"/>
  <c r="L703" i="6" s="1"/>
  <c r="K702" i="6"/>
  <c r="F702" i="6"/>
  <c r="L702" i="6" s="1"/>
  <c r="K701" i="6"/>
  <c r="F701" i="6"/>
  <c r="L701" i="6" s="1"/>
  <c r="K700" i="6"/>
  <c r="F700" i="6"/>
  <c r="K699" i="6"/>
  <c r="F699" i="6"/>
  <c r="L699" i="6" s="1"/>
  <c r="K698" i="6"/>
  <c r="F698" i="6"/>
  <c r="K697" i="6"/>
  <c r="F697" i="6"/>
  <c r="L697" i="6" s="1"/>
  <c r="K694" i="6"/>
  <c r="F694" i="6"/>
  <c r="K692" i="6"/>
  <c r="F692" i="6"/>
  <c r="K691" i="6"/>
  <c r="F691" i="6"/>
  <c r="L691" i="6" s="1"/>
  <c r="K690" i="6"/>
  <c r="F690" i="6"/>
  <c r="L690" i="6" s="1"/>
  <c r="K689" i="6"/>
  <c r="F689" i="6"/>
  <c r="L689" i="6" s="1"/>
  <c r="S501" i="6"/>
  <c r="X501" i="6"/>
  <c r="Y501" i="6"/>
  <c r="S502" i="6"/>
  <c r="Y502" i="6" s="1"/>
  <c r="X502" i="6"/>
  <c r="X538" i="6"/>
  <c r="S538" i="6"/>
  <c r="Y538" i="6" s="1"/>
  <c r="Y537" i="6"/>
  <c r="X537" i="6"/>
  <c r="S537" i="6"/>
  <c r="X539" i="6"/>
  <c r="S539" i="6"/>
  <c r="Y539" i="6" s="1"/>
  <c r="S596" i="6"/>
  <c r="X596" i="6"/>
  <c r="S597" i="6"/>
  <c r="Y597" i="6" s="1"/>
  <c r="X597" i="6"/>
  <c r="S598" i="6"/>
  <c r="X598" i="6"/>
  <c r="S599" i="6"/>
  <c r="X599" i="6"/>
  <c r="Y599" i="6"/>
  <c r="S600" i="6"/>
  <c r="X600" i="6"/>
  <c r="X603" i="6"/>
  <c r="S603" i="6"/>
  <c r="X604" i="6"/>
  <c r="Y604" i="6" s="1"/>
  <c r="S604" i="6"/>
  <c r="X638" i="6"/>
  <c r="S638" i="6"/>
  <c r="X637" i="6"/>
  <c r="S637" i="6"/>
  <c r="X640" i="6"/>
  <c r="X639" i="6"/>
  <c r="S639" i="6"/>
  <c r="Y639" i="6" s="1"/>
  <c r="X642" i="6"/>
  <c r="S641" i="6"/>
  <c r="X680" i="6"/>
  <c r="S680" i="6"/>
  <c r="X679" i="6"/>
  <c r="S679" i="6"/>
  <c r="W719" i="6"/>
  <c r="V719" i="6"/>
  <c r="U719" i="6"/>
  <c r="T719" i="6"/>
  <c r="R719" i="6"/>
  <c r="Q719" i="6"/>
  <c r="P719" i="6"/>
  <c r="O719" i="6"/>
  <c r="X716" i="6"/>
  <c r="S716" i="6"/>
  <c r="X715" i="6"/>
  <c r="S715" i="6"/>
  <c r="X709" i="6"/>
  <c r="S709" i="6"/>
  <c r="Y709" i="6" s="1"/>
  <c r="Y708" i="6"/>
  <c r="X708" i="6"/>
  <c r="S708" i="6"/>
  <c r="X707" i="6"/>
  <c r="Y707" i="6" s="1"/>
  <c r="S707" i="6"/>
  <c r="X706" i="6"/>
  <c r="S706" i="6"/>
  <c r="Y706" i="6" s="1"/>
  <c r="X705" i="6"/>
  <c r="S705" i="6"/>
  <c r="Y705" i="6" s="1"/>
  <c r="Y704" i="6"/>
  <c r="X704" i="6"/>
  <c r="S704" i="6"/>
  <c r="X703" i="6"/>
  <c r="S703" i="6"/>
  <c r="X702" i="6"/>
  <c r="S702" i="6"/>
  <c r="Y702" i="6" s="1"/>
  <c r="X701" i="6"/>
  <c r="S701" i="6"/>
  <c r="Y701" i="6" s="1"/>
  <c r="X700" i="6"/>
  <c r="S700" i="6"/>
  <c r="Y700" i="6" s="1"/>
  <c r="X698" i="6"/>
  <c r="S698" i="6"/>
  <c r="X697" i="6"/>
  <c r="S697" i="6"/>
  <c r="Y697" i="6" s="1"/>
  <c r="X692" i="6"/>
  <c r="S692" i="6"/>
  <c r="X689" i="6"/>
  <c r="S689" i="6"/>
  <c r="Y689" i="6" s="1"/>
  <c r="J643" i="1"/>
  <c r="I643" i="1"/>
  <c r="H643" i="1"/>
  <c r="G643" i="1"/>
  <c r="E643" i="1"/>
  <c r="D643" i="1"/>
  <c r="C643" i="1"/>
  <c r="B643" i="1"/>
  <c r="K642" i="1"/>
  <c r="F642" i="1"/>
  <c r="K641" i="1"/>
  <c r="F641" i="1"/>
  <c r="K640" i="1"/>
  <c r="F640" i="1"/>
  <c r="K639" i="1"/>
  <c r="F639" i="1"/>
  <c r="L639" i="1" s="1"/>
  <c r="K638" i="1"/>
  <c r="L638" i="1" s="1"/>
  <c r="F638" i="1"/>
  <c r="K637" i="1"/>
  <c r="F637" i="1"/>
  <c r="L637" i="1" s="1"/>
  <c r="K636" i="1"/>
  <c r="F636" i="1"/>
  <c r="K635" i="1"/>
  <c r="F635" i="1"/>
  <c r="K634" i="1"/>
  <c r="L634" i="1" s="1"/>
  <c r="F634" i="1"/>
  <c r="K633" i="1"/>
  <c r="F633" i="1"/>
  <c r="K632" i="1"/>
  <c r="F632" i="1"/>
  <c r="L632" i="1" s="1"/>
  <c r="K631" i="1"/>
  <c r="F631" i="1"/>
  <c r="L631" i="1" s="1"/>
  <c r="K630" i="1"/>
  <c r="F630" i="1"/>
  <c r="K629" i="1"/>
  <c r="F629" i="1"/>
  <c r="L629" i="1" s="1"/>
  <c r="K628" i="1"/>
  <c r="F628" i="1"/>
  <c r="L627" i="1"/>
  <c r="K627" i="1"/>
  <c r="F627" i="1"/>
  <c r="K626" i="1"/>
  <c r="L626" i="1" s="1"/>
  <c r="F626" i="1"/>
  <c r="K625" i="1"/>
  <c r="F625" i="1"/>
  <c r="L625" i="1" s="1"/>
  <c r="K624" i="1"/>
  <c r="F624" i="1"/>
  <c r="L623" i="1"/>
  <c r="K623" i="1"/>
  <c r="F623" i="1"/>
  <c r="K622" i="1"/>
  <c r="L622" i="1" s="1"/>
  <c r="F622" i="1"/>
  <c r="K621" i="1"/>
  <c r="F621" i="1"/>
  <c r="L621" i="1" s="1"/>
  <c r="K620" i="1"/>
  <c r="F620" i="1"/>
  <c r="L620" i="1" s="1"/>
  <c r="K619" i="1"/>
  <c r="F619" i="1"/>
  <c r="L619" i="1" s="1"/>
  <c r="K618" i="1"/>
  <c r="L618" i="1" s="1"/>
  <c r="F618" i="1"/>
  <c r="K616" i="1"/>
  <c r="F616" i="1"/>
  <c r="L616" i="1" s="1"/>
  <c r="K615" i="1"/>
  <c r="F615" i="1"/>
  <c r="L615" i="1" s="1"/>
  <c r="K614" i="1"/>
  <c r="F614" i="1"/>
  <c r="K613" i="1"/>
  <c r="F613" i="1"/>
  <c r="S522" i="1"/>
  <c r="X522" i="1"/>
  <c r="S523" i="1"/>
  <c r="X523" i="1"/>
  <c r="U491" i="1"/>
  <c r="X485" i="1"/>
  <c r="Q491" i="1"/>
  <c r="P491" i="1"/>
  <c r="S485" i="1"/>
  <c r="X484" i="1"/>
  <c r="S484" i="1"/>
  <c r="S520" i="1"/>
  <c r="Y520" i="1" s="1"/>
  <c r="X520" i="1"/>
  <c r="S521" i="1"/>
  <c r="Y521" i="1" s="1"/>
  <c r="X521" i="1"/>
  <c r="O529" i="1"/>
  <c r="W529" i="1"/>
  <c r="S524" i="1"/>
  <c r="X524" i="1"/>
  <c r="S525" i="1"/>
  <c r="X525" i="1"/>
  <c r="S526" i="1"/>
  <c r="X526" i="1"/>
  <c r="S527" i="1"/>
  <c r="X527" i="1"/>
  <c r="S528" i="1"/>
  <c r="X528" i="1"/>
  <c r="Y528" i="1" s="1"/>
  <c r="X560" i="1"/>
  <c r="S560" i="1"/>
  <c r="X559" i="1"/>
  <c r="Y559" i="1" s="1"/>
  <c r="S559" i="1"/>
  <c r="S482" i="1"/>
  <c r="X482" i="1"/>
  <c r="Y482" i="1"/>
  <c r="S483" i="1"/>
  <c r="X483" i="1"/>
  <c r="X488" i="1"/>
  <c r="S488" i="1"/>
  <c r="X487" i="1"/>
  <c r="S487" i="1"/>
  <c r="X486" i="1"/>
  <c r="Y486" i="1" s="1"/>
  <c r="S486" i="1"/>
  <c r="V529" i="1"/>
  <c r="U529" i="1"/>
  <c r="P529" i="1"/>
  <c r="S500" i="1"/>
  <c r="X500" i="1"/>
  <c r="S501" i="1"/>
  <c r="Y501" i="1" s="1"/>
  <c r="X501" i="1"/>
  <c r="S502" i="1"/>
  <c r="X502" i="1"/>
  <c r="Y502" i="1" s="1"/>
  <c r="X540" i="1"/>
  <c r="Y540" i="1" s="1"/>
  <c r="S540" i="1"/>
  <c r="S518" i="1"/>
  <c r="X518" i="1"/>
  <c r="S519" i="1"/>
  <c r="Y519" i="1" s="1"/>
  <c r="X519" i="1"/>
  <c r="X561" i="1"/>
  <c r="S561" i="1"/>
  <c r="S564" i="1"/>
  <c r="X563" i="1"/>
  <c r="Y563" i="1" s="1"/>
  <c r="S563" i="1"/>
  <c r="X566" i="1"/>
  <c r="S566" i="1"/>
  <c r="X565" i="1"/>
  <c r="S565" i="1"/>
  <c r="X577" i="1"/>
  <c r="S577" i="1"/>
  <c r="Y577" i="1" s="1"/>
  <c r="Y576" i="1"/>
  <c r="X576" i="1"/>
  <c r="S576" i="1"/>
  <c r="X604" i="1"/>
  <c r="S604" i="1"/>
  <c r="Y604" i="1" s="1"/>
  <c r="X603" i="1"/>
  <c r="S603" i="1"/>
  <c r="Y603" i="1" s="1"/>
  <c r="X602" i="1"/>
  <c r="Y602" i="1" s="1"/>
  <c r="S602" i="1"/>
  <c r="X601" i="1"/>
  <c r="S601" i="1"/>
  <c r="S578" i="1"/>
  <c r="Y578" i="1" s="1"/>
  <c r="X578" i="1"/>
  <c r="W643" i="1"/>
  <c r="V643" i="1"/>
  <c r="U643" i="1"/>
  <c r="T643" i="1"/>
  <c r="Q643" i="1"/>
  <c r="P643" i="1"/>
  <c r="O643" i="1"/>
  <c r="X642" i="1"/>
  <c r="S642" i="1"/>
  <c r="X641" i="1"/>
  <c r="Y641" i="1" s="1"/>
  <c r="S641" i="1"/>
  <c r="X640" i="1"/>
  <c r="S640" i="1"/>
  <c r="X639" i="1"/>
  <c r="S639" i="1"/>
  <c r="X638" i="1"/>
  <c r="S638" i="1"/>
  <c r="X637" i="1"/>
  <c r="S637" i="1"/>
  <c r="X633" i="1"/>
  <c r="S633" i="1"/>
  <c r="X632" i="1"/>
  <c r="S632" i="1"/>
  <c r="X631" i="1"/>
  <c r="S631" i="1"/>
  <c r="Y631" i="1" s="1"/>
  <c r="X630" i="1"/>
  <c r="S630" i="1"/>
  <c r="Y630" i="1" s="1"/>
  <c r="X629" i="1"/>
  <c r="S629" i="1"/>
  <c r="X628" i="1"/>
  <c r="S628" i="1"/>
  <c r="Y628" i="1" s="1"/>
  <c r="X627" i="1"/>
  <c r="S627" i="1"/>
  <c r="Y627" i="1" s="1"/>
  <c r="X626" i="1"/>
  <c r="S626" i="1"/>
  <c r="X625" i="1"/>
  <c r="S625" i="1"/>
  <c r="X624" i="1"/>
  <c r="S624" i="1"/>
  <c r="X623" i="1"/>
  <c r="S623" i="1"/>
  <c r="Y623" i="1" s="1"/>
  <c r="X622" i="1"/>
  <c r="S622" i="1"/>
  <c r="X621" i="1"/>
  <c r="Y621" i="1" s="1"/>
  <c r="S621" i="1"/>
  <c r="X620" i="1"/>
  <c r="S620" i="1"/>
  <c r="Y620" i="1" s="1"/>
  <c r="Y616" i="1"/>
  <c r="X616" i="1"/>
  <c r="S616" i="1"/>
  <c r="X614" i="1"/>
  <c r="S595" i="6"/>
  <c r="X595" i="6"/>
  <c r="Y595" i="6"/>
  <c r="P567" i="6"/>
  <c r="S565" i="6"/>
  <c r="Y565" i="6" s="1"/>
  <c r="X565" i="6"/>
  <c r="S566" i="6"/>
  <c r="Y566" i="6" s="1"/>
  <c r="X566" i="6"/>
  <c r="S559" i="6"/>
  <c r="X559" i="6"/>
  <c r="S560" i="6"/>
  <c r="Y560" i="6" s="1"/>
  <c r="X560" i="6"/>
  <c r="Y528" i="6"/>
  <c r="X528" i="6"/>
  <c r="S528" i="6"/>
  <c r="Y527" i="6"/>
  <c r="X527" i="6"/>
  <c r="S527" i="6"/>
  <c r="R567" i="6"/>
  <c r="J605" i="1"/>
  <c r="I605" i="1"/>
  <c r="H605" i="1"/>
  <c r="G605" i="1"/>
  <c r="E605" i="1"/>
  <c r="D605" i="1"/>
  <c r="C605" i="1"/>
  <c r="B605" i="1"/>
  <c r="K604" i="1"/>
  <c r="F604" i="1"/>
  <c r="L604" i="1" s="1"/>
  <c r="K603" i="1"/>
  <c r="F603" i="1"/>
  <c r="L603" i="1" s="1"/>
  <c r="K602" i="1"/>
  <c r="F602" i="1"/>
  <c r="K601" i="1"/>
  <c r="F601" i="1"/>
  <c r="K600" i="1"/>
  <c r="F600" i="1"/>
  <c r="K599" i="1"/>
  <c r="F599" i="1"/>
  <c r="L599" i="1" s="1"/>
  <c r="K598" i="1"/>
  <c r="F598" i="1"/>
  <c r="L598" i="1" s="1"/>
  <c r="K597" i="1"/>
  <c r="F597" i="1"/>
  <c r="K596" i="1"/>
  <c r="F596" i="1"/>
  <c r="K595" i="1"/>
  <c r="F595" i="1"/>
  <c r="L595" i="1" s="1"/>
  <c r="K594" i="1"/>
  <c r="F594" i="1"/>
  <c r="L594" i="1" s="1"/>
  <c r="K593" i="1"/>
  <c r="L593" i="1" s="1"/>
  <c r="F593" i="1"/>
  <c r="K592" i="1"/>
  <c r="F592" i="1"/>
  <c r="L592" i="1" s="1"/>
  <c r="K591" i="1"/>
  <c r="F591" i="1"/>
  <c r="L591" i="1" s="1"/>
  <c r="K590" i="1"/>
  <c r="L590" i="1" s="1"/>
  <c r="F590" i="1"/>
  <c r="K589" i="1"/>
  <c r="F589" i="1"/>
  <c r="L589" i="1" s="1"/>
  <c r="K588" i="1"/>
  <c r="F588" i="1"/>
  <c r="L588" i="1" s="1"/>
  <c r="K587" i="1"/>
  <c r="F587" i="1"/>
  <c r="K586" i="1"/>
  <c r="L586" i="1" s="1"/>
  <c r="F586" i="1"/>
  <c r="L585" i="1"/>
  <c r="K585" i="1"/>
  <c r="F585" i="1"/>
  <c r="K584" i="1"/>
  <c r="F584" i="1"/>
  <c r="K583" i="1"/>
  <c r="F583" i="1"/>
  <c r="L583" i="1" s="1"/>
  <c r="K582" i="1"/>
  <c r="F582" i="1"/>
  <c r="K580" i="1"/>
  <c r="F580" i="1"/>
  <c r="L580" i="1" s="1"/>
  <c r="K578" i="1"/>
  <c r="F578" i="1"/>
  <c r="L578" i="1" s="1"/>
  <c r="K577" i="1"/>
  <c r="F577" i="1"/>
  <c r="L577" i="1" s="1"/>
  <c r="K576" i="1"/>
  <c r="F576" i="1"/>
  <c r="L576" i="1" s="1"/>
  <c r="S599" i="1"/>
  <c r="Y599" i="1" s="1"/>
  <c r="X599" i="1"/>
  <c r="S600" i="1"/>
  <c r="Y600" i="1" s="1"/>
  <c r="X600" i="1"/>
  <c r="W605" i="1"/>
  <c r="V605" i="1"/>
  <c r="U605" i="1"/>
  <c r="T605" i="1"/>
  <c r="R605" i="1"/>
  <c r="Q605" i="1"/>
  <c r="P605" i="1"/>
  <c r="O605" i="1"/>
  <c r="X594" i="1"/>
  <c r="S594" i="1"/>
  <c r="X593" i="1"/>
  <c r="S593" i="1"/>
  <c r="X592" i="1"/>
  <c r="S592" i="1"/>
  <c r="Y592" i="1" s="1"/>
  <c r="X591" i="1"/>
  <c r="S591" i="1"/>
  <c r="X590" i="1"/>
  <c r="S590" i="1"/>
  <c r="Y590" i="1" s="1"/>
  <c r="Y589" i="1"/>
  <c r="X589" i="1"/>
  <c r="S589" i="1"/>
  <c r="X588" i="1"/>
  <c r="S588" i="1"/>
  <c r="Y588" i="1" s="1"/>
  <c r="X587" i="1"/>
  <c r="S587" i="1"/>
  <c r="Y587" i="1" s="1"/>
  <c r="X586" i="1"/>
  <c r="S586" i="1"/>
  <c r="Y586" i="1" s="1"/>
  <c r="Y585" i="1"/>
  <c r="X585" i="1"/>
  <c r="S585" i="1"/>
  <c r="X584" i="1"/>
  <c r="S584" i="1"/>
  <c r="Y584" i="1" s="1"/>
  <c r="X583" i="1"/>
  <c r="S583" i="1"/>
  <c r="Y583" i="1" s="1"/>
  <c r="X581" i="1"/>
  <c r="S581" i="1"/>
  <c r="S508" i="6"/>
  <c r="X508" i="6"/>
  <c r="Y508" i="6" s="1"/>
  <c r="X544" i="6"/>
  <c r="S544" i="6"/>
  <c r="Y544" i="6" s="1"/>
  <c r="X543" i="6"/>
  <c r="S543" i="6"/>
  <c r="Y543" i="6" s="1"/>
  <c r="T482" i="6"/>
  <c r="T491" i="6" s="1"/>
  <c r="S482" i="6"/>
  <c r="X481" i="6"/>
  <c r="S481" i="6"/>
  <c r="Y481" i="6" s="1"/>
  <c r="X506" i="6"/>
  <c r="S506" i="6"/>
  <c r="Y506" i="6" s="1"/>
  <c r="W681" i="6"/>
  <c r="V681" i="6"/>
  <c r="U681" i="6"/>
  <c r="T681" i="6"/>
  <c r="R681" i="6"/>
  <c r="Q681" i="6"/>
  <c r="P681" i="6"/>
  <c r="O681" i="6"/>
  <c r="J681" i="6"/>
  <c r="I681" i="6"/>
  <c r="H681" i="6"/>
  <c r="G681" i="6"/>
  <c r="E681" i="6"/>
  <c r="D681" i="6"/>
  <c r="C681" i="6"/>
  <c r="B681" i="6"/>
  <c r="L680" i="6"/>
  <c r="K680" i="6"/>
  <c r="F680" i="6"/>
  <c r="K679" i="6"/>
  <c r="F679" i="6"/>
  <c r="L679" i="6" s="1"/>
  <c r="K678" i="6"/>
  <c r="F678" i="6"/>
  <c r="L678" i="6" s="1"/>
  <c r="K677" i="6"/>
  <c r="L677" i="6" s="1"/>
  <c r="F677" i="6"/>
  <c r="L676" i="6"/>
  <c r="K676" i="6"/>
  <c r="F676" i="6"/>
  <c r="K672" i="6"/>
  <c r="F672" i="6"/>
  <c r="Y671" i="6"/>
  <c r="X671" i="6"/>
  <c r="S671" i="6"/>
  <c r="K671" i="6"/>
  <c r="F671" i="6"/>
  <c r="L671" i="6" s="1"/>
  <c r="Y670" i="6"/>
  <c r="X670" i="6"/>
  <c r="S670" i="6"/>
  <c r="K670" i="6"/>
  <c r="F670" i="6"/>
  <c r="L670" i="6" s="1"/>
  <c r="X669" i="6"/>
  <c r="S669" i="6"/>
  <c r="Y669" i="6" s="1"/>
  <c r="K669" i="6"/>
  <c r="F669" i="6"/>
  <c r="K668" i="6"/>
  <c r="F668" i="6"/>
  <c r="L668" i="6" s="1"/>
  <c r="K667" i="6"/>
  <c r="F667" i="6"/>
  <c r="L667" i="6" s="1"/>
  <c r="K666" i="6"/>
  <c r="F666" i="6"/>
  <c r="L666" i="6" s="1"/>
  <c r="K665" i="6"/>
  <c r="F665" i="6"/>
  <c r="X664" i="6"/>
  <c r="S664" i="6"/>
  <c r="Y664" i="6" s="1"/>
  <c r="K664" i="6"/>
  <c r="F664" i="6"/>
  <c r="L664" i="6" s="1"/>
  <c r="Y663" i="6"/>
  <c r="X663" i="6"/>
  <c r="S663" i="6"/>
  <c r="K663" i="6"/>
  <c r="F663" i="6"/>
  <c r="L663" i="6" s="1"/>
  <c r="X662" i="6"/>
  <c r="S662" i="6"/>
  <c r="Y662" i="6" s="1"/>
  <c r="K662" i="6"/>
  <c r="F662" i="6"/>
  <c r="X661" i="6"/>
  <c r="S661" i="6"/>
  <c r="K661" i="6"/>
  <c r="F661" i="6"/>
  <c r="X660" i="6"/>
  <c r="S660" i="6"/>
  <c r="Y660" i="6" s="1"/>
  <c r="K660" i="6"/>
  <c r="F660" i="6"/>
  <c r="L660" i="6" s="1"/>
  <c r="X659" i="6"/>
  <c r="S659" i="6"/>
  <c r="Y659" i="6" s="1"/>
  <c r="K659" i="6"/>
  <c r="F659" i="6"/>
  <c r="X658" i="6"/>
  <c r="S658" i="6"/>
  <c r="Y658" i="6" s="1"/>
  <c r="K658" i="6"/>
  <c r="F658" i="6"/>
  <c r="L658" i="6" s="1"/>
  <c r="X657" i="6"/>
  <c r="S657" i="6"/>
  <c r="K657" i="6"/>
  <c r="L657" i="6" s="1"/>
  <c r="F657" i="6"/>
  <c r="X656" i="6"/>
  <c r="S656" i="6"/>
  <c r="K656" i="6"/>
  <c r="L656" i="6" s="1"/>
  <c r="F656" i="6"/>
  <c r="K654" i="6"/>
  <c r="F654" i="6"/>
  <c r="K653" i="6"/>
  <c r="L653" i="6" s="1"/>
  <c r="F653" i="6"/>
  <c r="K652" i="6"/>
  <c r="F652" i="6"/>
  <c r="L652" i="6" s="1"/>
  <c r="K651" i="6"/>
  <c r="F651" i="6"/>
  <c r="S646" i="6"/>
  <c r="X570" i="1"/>
  <c r="S570" i="1"/>
  <c r="J567" i="1"/>
  <c r="I567" i="1"/>
  <c r="H567" i="1"/>
  <c r="G567" i="1"/>
  <c r="E567" i="1"/>
  <c r="D567" i="1"/>
  <c r="C567" i="1"/>
  <c r="B567" i="1"/>
  <c r="K566" i="1"/>
  <c r="L566" i="1" s="1"/>
  <c r="F566" i="1"/>
  <c r="K565" i="1"/>
  <c r="F565" i="1"/>
  <c r="K564" i="1"/>
  <c r="F564" i="1"/>
  <c r="K563" i="1"/>
  <c r="F563" i="1"/>
  <c r="K562" i="1"/>
  <c r="F562" i="1"/>
  <c r="K560" i="1"/>
  <c r="F560" i="1"/>
  <c r="K559" i="1"/>
  <c r="F559" i="1"/>
  <c r="K558" i="1"/>
  <c r="L558" i="1" s="1"/>
  <c r="F558" i="1"/>
  <c r="K557" i="1"/>
  <c r="F557" i="1"/>
  <c r="K556" i="1"/>
  <c r="F556" i="1"/>
  <c r="K555" i="1"/>
  <c r="F555" i="1"/>
  <c r="L555" i="1" s="1"/>
  <c r="K554" i="1"/>
  <c r="F554" i="1"/>
  <c r="K553" i="1"/>
  <c r="F553" i="1"/>
  <c r="K552" i="1"/>
  <c r="F552" i="1"/>
  <c r="K551" i="1"/>
  <c r="F551" i="1"/>
  <c r="K550" i="1"/>
  <c r="L550" i="1" s="1"/>
  <c r="F550" i="1"/>
  <c r="K549" i="1"/>
  <c r="F549" i="1"/>
  <c r="K548" i="1"/>
  <c r="F548" i="1"/>
  <c r="K547" i="1"/>
  <c r="F547" i="1"/>
  <c r="L547" i="1" s="1"/>
  <c r="K546" i="1"/>
  <c r="F546" i="1"/>
  <c r="K545" i="1"/>
  <c r="F545" i="1"/>
  <c r="L545" i="1" s="1"/>
  <c r="K544" i="1"/>
  <c r="F544" i="1"/>
  <c r="K543" i="1"/>
  <c r="F543" i="1"/>
  <c r="L543" i="1" s="1"/>
  <c r="K542" i="1"/>
  <c r="F542" i="1"/>
  <c r="K540" i="1"/>
  <c r="F540" i="1"/>
  <c r="L540" i="1" s="1"/>
  <c r="K539" i="1"/>
  <c r="F539" i="1"/>
  <c r="K538" i="1"/>
  <c r="F538" i="1"/>
  <c r="K537" i="1"/>
  <c r="F537" i="1"/>
  <c r="W567" i="1"/>
  <c r="V567" i="1"/>
  <c r="R567" i="1"/>
  <c r="Q567" i="1"/>
  <c r="P567" i="1"/>
  <c r="O567" i="1"/>
  <c r="X557" i="1"/>
  <c r="S557" i="1"/>
  <c r="X554" i="1"/>
  <c r="S554" i="1"/>
  <c r="Y554" i="1" s="1"/>
  <c r="X553" i="1"/>
  <c r="S553" i="1"/>
  <c r="X551" i="1"/>
  <c r="S551" i="1"/>
  <c r="X550" i="1"/>
  <c r="S550" i="1"/>
  <c r="X549" i="1"/>
  <c r="S549" i="1"/>
  <c r="X548" i="1"/>
  <c r="S548" i="1"/>
  <c r="X547" i="1"/>
  <c r="S547" i="1"/>
  <c r="X546" i="1"/>
  <c r="S546" i="1"/>
  <c r="Y546" i="1" s="1"/>
  <c r="X545" i="1"/>
  <c r="S545" i="1"/>
  <c r="X544" i="1"/>
  <c r="S544" i="1"/>
  <c r="X543" i="1"/>
  <c r="S543" i="1"/>
  <c r="X542" i="1"/>
  <c r="S542" i="1"/>
  <c r="J643" i="6"/>
  <c r="I643" i="6"/>
  <c r="H643" i="6"/>
  <c r="G643" i="6"/>
  <c r="E643" i="6"/>
  <c r="D643" i="6"/>
  <c r="C643" i="6"/>
  <c r="B643" i="6"/>
  <c r="K642" i="6"/>
  <c r="F642" i="6"/>
  <c r="L642" i="6" s="1"/>
  <c r="K641" i="6"/>
  <c r="F641" i="6"/>
  <c r="L641" i="6" s="1"/>
  <c r="K640" i="6"/>
  <c r="F640" i="6"/>
  <c r="L640" i="6" s="1"/>
  <c r="K639" i="6"/>
  <c r="F639" i="6"/>
  <c r="K638" i="6"/>
  <c r="F638" i="6"/>
  <c r="K637" i="6"/>
  <c r="F637" i="6"/>
  <c r="K636" i="6"/>
  <c r="F636" i="6"/>
  <c r="L636" i="6" s="1"/>
  <c r="K635" i="6"/>
  <c r="F635" i="6"/>
  <c r="L635" i="6" s="1"/>
  <c r="K634" i="6"/>
  <c r="F634" i="6"/>
  <c r="K633" i="6"/>
  <c r="F633" i="6"/>
  <c r="L633" i="6" s="1"/>
  <c r="K632" i="6"/>
  <c r="F632" i="6"/>
  <c r="K631" i="6"/>
  <c r="F631" i="6"/>
  <c r="K630" i="6"/>
  <c r="F630" i="6"/>
  <c r="K629" i="6"/>
  <c r="F629" i="6"/>
  <c r="K628" i="6"/>
  <c r="F628" i="6"/>
  <c r="K627" i="6"/>
  <c r="F627" i="6"/>
  <c r="K626" i="6"/>
  <c r="F626" i="6"/>
  <c r="K625" i="6"/>
  <c r="F625" i="6"/>
  <c r="K624" i="6"/>
  <c r="F624" i="6"/>
  <c r="L624" i="6" s="1"/>
  <c r="K623" i="6"/>
  <c r="F623" i="6"/>
  <c r="K622" i="6"/>
  <c r="F622" i="6"/>
  <c r="L622" i="6" s="1"/>
  <c r="K621" i="6"/>
  <c r="F621" i="6"/>
  <c r="K620" i="6"/>
  <c r="F620" i="6"/>
  <c r="K619" i="6"/>
  <c r="F619" i="6"/>
  <c r="L619" i="6" s="1"/>
  <c r="K618" i="6"/>
  <c r="F618" i="6"/>
  <c r="K616" i="6"/>
  <c r="F616" i="6"/>
  <c r="L616" i="6" s="1"/>
  <c r="K615" i="6"/>
  <c r="L615" i="6" s="1"/>
  <c r="F615" i="6"/>
  <c r="K614" i="6"/>
  <c r="F614" i="6"/>
  <c r="K613" i="6"/>
  <c r="F613" i="6"/>
  <c r="S575" i="6"/>
  <c r="X575" i="6"/>
  <c r="X540" i="6"/>
  <c r="S540" i="6"/>
  <c r="W643" i="6"/>
  <c r="V643" i="6"/>
  <c r="U643" i="6"/>
  <c r="T643" i="6"/>
  <c r="Q643" i="6"/>
  <c r="P643" i="6"/>
  <c r="O643" i="6"/>
  <c r="X632" i="6"/>
  <c r="S632" i="6"/>
  <c r="X631" i="6"/>
  <c r="S631" i="6"/>
  <c r="Y631" i="6" s="1"/>
  <c r="X630" i="6"/>
  <c r="S630" i="6"/>
  <c r="Y630" i="6" s="1"/>
  <c r="X629" i="6"/>
  <c r="S629" i="6"/>
  <c r="X628" i="6"/>
  <c r="S628" i="6"/>
  <c r="Y628" i="6" s="1"/>
  <c r="X627" i="6"/>
  <c r="S627" i="6"/>
  <c r="X626" i="6"/>
  <c r="Y626" i="6" s="1"/>
  <c r="S626" i="6"/>
  <c r="X625" i="6"/>
  <c r="S625" i="6"/>
  <c r="X624" i="6"/>
  <c r="S624" i="6"/>
  <c r="X623" i="6"/>
  <c r="S623" i="6"/>
  <c r="Y623" i="6" s="1"/>
  <c r="X622" i="6"/>
  <c r="S622" i="6"/>
  <c r="Y622" i="6" s="1"/>
  <c r="X621" i="6"/>
  <c r="S621" i="6"/>
  <c r="Y621" i="6" s="1"/>
  <c r="X620" i="6"/>
  <c r="S620" i="6"/>
  <c r="Y620" i="6" s="1"/>
  <c r="X619" i="6"/>
  <c r="Y619" i="6" s="1"/>
  <c r="S619" i="6"/>
  <c r="X618" i="6"/>
  <c r="Y618" i="6" s="1"/>
  <c r="S618" i="6"/>
  <c r="S448" i="1"/>
  <c r="Y448" i="1" s="1"/>
  <c r="C475" i="6"/>
  <c r="S475" i="6"/>
  <c r="Y475" i="6" s="1"/>
  <c r="S430" i="1"/>
  <c r="X430" i="1"/>
  <c r="S401" i="1"/>
  <c r="X401" i="1"/>
  <c r="Y401" i="1" s="1"/>
  <c r="X428" i="1"/>
  <c r="S428" i="1"/>
  <c r="Y428" i="1" s="1"/>
  <c r="S386" i="1"/>
  <c r="X386" i="1"/>
  <c r="Y386" i="1" s="1"/>
  <c r="X423" i="1"/>
  <c r="S423" i="1"/>
  <c r="X424" i="1"/>
  <c r="Y424" i="1"/>
  <c r="S424" i="1"/>
  <c r="S500" i="6"/>
  <c r="X500" i="6"/>
  <c r="Y500" i="6" s="1"/>
  <c r="X463" i="6"/>
  <c r="S463" i="6"/>
  <c r="Y463" i="6"/>
  <c r="X532" i="1"/>
  <c r="S532" i="1"/>
  <c r="X464" i="6"/>
  <c r="S464" i="6"/>
  <c r="Y464" i="6"/>
  <c r="S433" i="6"/>
  <c r="Y433" i="6" s="1"/>
  <c r="X433" i="6"/>
  <c r="S434" i="6"/>
  <c r="Y434" i="6" s="1"/>
  <c r="X434" i="6"/>
  <c r="S435" i="6"/>
  <c r="X435" i="6"/>
  <c r="Y435" i="6" s="1"/>
  <c r="X468" i="6"/>
  <c r="S468" i="6"/>
  <c r="Y468" i="6" s="1"/>
  <c r="X467" i="6"/>
  <c r="S467" i="6"/>
  <c r="Y467" i="6" s="1"/>
  <c r="Y466" i="6"/>
  <c r="X466" i="6"/>
  <c r="S466" i="6"/>
  <c r="S394" i="1"/>
  <c r="X394" i="1"/>
  <c r="Y394" i="1" s="1"/>
  <c r="X393" i="1"/>
  <c r="Y393" i="1" s="1"/>
  <c r="S393" i="1"/>
  <c r="X392" i="1"/>
  <c r="S392" i="1"/>
  <c r="Y392" i="1" s="1"/>
  <c r="X403" i="6"/>
  <c r="S403" i="6"/>
  <c r="Y403" i="6"/>
  <c r="X461" i="6"/>
  <c r="S461" i="6"/>
  <c r="Y461" i="6" s="1"/>
  <c r="X462" i="6"/>
  <c r="S425" i="1"/>
  <c r="X425" i="1"/>
  <c r="Y425" i="1" s="1"/>
  <c r="X463" i="1"/>
  <c r="S463" i="1"/>
  <c r="X462" i="1"/>
  <c r="S462" i="1"/>
  <c r="Y462" i="1" s="1"/>
  <c r="P377" i="1"/>
  <c r="Q377" i="1"/>
  <c r="S377" i="1" s="1"/>
  <c r="R377" i="1"/>
  <c r="O377" i="1"/>
  <c r="S428" i="6"/>
  <c r="X428" i="6"/>
  <c r="S391" i="1"/>
  <c r="X391" i="1"/>
  <c r="Y391" i="1" s="1"/>
  <c r="X390" i="1"/>
  <c r="Y390" i="1" s="1"/>
  <c r="S390" i="1"/>
  <c r="X362" i="1"/>
  <c r="S362" i="1"/>
  <c r="Y362" i="1" s="1"/>
  <c r="X363" i="1"/>
  <c r="S363" i="1"/>
  <c r="Y363" i="1"/>
  <c r="K411" i="6"/>
  <c r="L411" i="6" s="1"/>
  <c r="F411" i="6"/>
  <c r="S411" i="1"/>
  <c r="X411" i="1"/>
  <c r="S412" i="1"/>
  <c r="Y412" i="1" s="1"/>
  <c r="X412" i="1"/>
  <c r="X375" i="1"/>
  <c r="S375" i="1"/>
  <c r="Y375" i="1" s="1"/>
  <c r="X374" i="1"/>
  <c r="S374" i="1"/>
  <c r="Y374" i="1" s="1"/>
  <c r="S489" i="1"/>
  <c r="X376" i="1"/>
  <c r="Y376" i="1" s="1"/>
  <c r="S376" i="1"/>
  <c r="S462" i="6"/>
  <c r="Y462" i="6" s="1"/>
  <c r="S348" i="1"/>
  <c r="Y348" i="1" s="1"/>
  <c r="X348" i="1"/>
  <c r="I375" i="1"/>
  <c r="J529" i="1"/>
  <c r="I529" i="1"/>
  <c r="H529" i="1"/>
  <c r="G529" i="1"/>
  <c r="E529" i="1"/>
  <c r="D529" i="1"/>
  <c r="C529" i="1"/>
  <c r="B529" i="1"/>
  <c r="K528" i="1"/>
  <c r="F528" i="1"/>
  <c r="L528" i="1" s="1"/>
  <c r="K527" i="1"/>
  <c r="F527" i="1"/>
  <c r="K526" i="1"/>
  <c r="F526" i="1"/>
  <c r="L526" i="1" s="1"/>
  <c r="K525" i="1"/>
  <c r="F525" i="1"/>
  <c r="K524" i="1"/>
  <c r="F524" i="1"/>
  <c r="L524" i="1" s="1"/>
  <c r="K523" i="1"/>
  <c r="F523" i="1"/>
  <c r="K522" i="1"/>
  <c r="F522" i="1"/>
  <c r="K521" i="1"/>
  <c r="F521" i="1"/>
  <c r="K520" i="1"/>
  <c r="F520" i="1"/>
  <c r="K519" i="1"/>
  <c r="L519" i="1" s="1"/>
  <c r="F519" i="1"/>
  <c r="K518" i="1"/>
  <c r="F518" i="1"/>
  <c r="L518" i="1" s="1"/>
  <c r="K517" i="1"/>
  <c r="F517" i="1"/>
  <c r="K516" i="1"/>
  <c r="F516" i="1"/>
  <c r="L516" i="1" s="1"/>
  <c r="K515" i="1"/>
  <c r="F515" i="1"/>
  <c r="K514" i="1"/>
  <c r="F514" i="1"/>
  <c r="K513" i="1"/>
  <c r="F513" i="1"/>
  <c r="L513" i="1" s="1"/>
  <c r="K512" i="1"/>
  <c r="F512" i="1"/>
  <c r="L512" i="1" s="1"/>
  <c r="K511" i="1"/>
  <c r="F511" i="1"/>
  <c r="K510" i="1"/>
  <c r="F510" i="1"/>
  <c r="L510" i="1" s="1"/>
  <c r="K509" i="1"/>
  <c r="F509" i="1"/>
  <c r="K508" i="1"/>
  <c r="L508" i="1"/>
  <c r="F508" i="1"/>
  <c r="K507" i="1"/>
  <c r="F507" i="1"/>
  <c r="L507" i="1"/>
  <c r="K506" i="1"/>
  <c r="F506" i="1"/>
  <c r="L506" i="1" s="1"/>
  <c r="K505" i="1"/>
  <c r="F505" i="1"/>
  <c r="L505" i="1" s="1"/>
  <c r="K504" i="1"/>
  <c r="L504" i="1"/>
  <c r="F504" i="1"/>
  <c r="K502" i="1"/>
  <c r="F502" i="1"/>
  <c r="K501" i="1"/>
  <c r="F501" i="1"/>
  <c r="K500" i="1"/>
  <c r="F500" i="1"/>
  <c r="X490" i="1"/>
  <c r="S490" i="1"/>
  <c r="X489" i="1"/>
  <c r="Y489" i="1" s="1"/>
  <c r="R529" i="1"/>
  <c r="Q529" i="1"/>
  <c r="X517" i="1"/>
  <c r="S517" i="1"/>
  <c r="X516" i="1"/>
  <c r="S516" i="1"/>
  <c r="Y516" i="1" s="1"/>
  <c r="X515" i="1"/>
  <c r="S515" i="1"/>
  <c r="X514" i="1"/>
  <c r="S514" i="1"/>
  <c r="X513" i="1"/>
  <c r="S513" i="1"/>
  <c r="X512" i="1"/>
  <c r="Y512" i="1" s="1"/>
  <c r="S512" i="1"/>
  <c r="X511" i="1"/>
  <c r="S511" i="1"/>
  <c r="Y511" i="1" s="1"/>
  <c r="X510" i="1"/>
  <c r="S510" i="1"/>
  <c r="X509" i="1"/>
  <c r="S509" i="1"/>
  <c r="X508" i="1"/>
  <c r="S508" i="1"/>
  <c r="Y508" i="1" s="1"/>
  <c r="X507" i="1"/>
  <c r="S507" i="1"/>
  <c r="X504" i="1"/>
  <c r="S504" i="1"/>
  <c r="X499" i="1"/>
  <c r="S499" i="1"/>
  <c r="Y499" i="1"/>
  <c r="J605" i="6"/>
  <c r="I605" i="6"/>
  <c r="H605" i="6"/>
  <c r="G605" i="6"/>
  <c r="E605" i="6"/>
  <c r="D605" i="6"/>
  <c r="C605" i="6"/>
  <c r="B605" i="6"/>
  <c r="K603" i="6"/>
  <c r="F603" i="6"/>
  <c r="L603" i="6" s="1"/>
  <c r="K602" i="6"/>
  <c r="F602" i="6"/>
  <c r="L602" i="6" s="1"/>
  <c r="K601" i="6"/>
  <c r="L601" i="6" s="1"/>
  <c r="F601" i="6"/>
  <c r="K600" i="6"/>
  <c r="F600" i="6"/>
  <c r="K599" i="6"/>
  <c r="F599" i="6"/>
  <c r="L599" i="6" s="1"/>
  <c r="K598" i="6"/>
  <c r="F598" i="6"/>
  <c r="L598" i="6" s="1"/>
  <c r="K597" i="6"/>
  <c r="F597" i="6"/>
  <c r="L597" i="6" s="1"/>
  <c r="K596" i="6"/>
  <c r="F596" i="6"/>
  <c r="K595" i="6"/>
  <c r="F595" i="6"/>
  <c r="L595" i="6" s="1"/>
  <c r="K594" i="6"/>
  <c r="F594" i="6"/>
  <c r="K593" i="6"/>
  <c r="L593" i="6" s="1"/>
  <c r="F593" i="6"/>
  <c r="K592" i="6"/>
  <c r="F592" i="6"/>
  <c r="L592" i="6" s="1"/>
  <c r="K591" i="6"/>
  <c r="F591" i="6"/>
  <c r="K590" i="6"/>
  <c r="F590" i="6"/>
  <c r="L590" i="6" s="1"/>
  <c r="K589" i="6"/>
  <c r="F589" i="6"/>
  <c r="L589" i="6" s="1"/>
  <c r="K588" i="6"/>
  <c r="F588" i="6"/>
  <c r="L588" i="6" s="1"/>
  <c r="K587" i="6"/>
  <c r="F587" i="6"/>
  <c r="K586" i="6"/>
  <c r="F586" i="6"/>
  <c r="L586" i="6" s="1"/>
  <c r="K585" i="6"/>
  <c r="F585" i="6"/>
  <c r="K584" i="6"/>
  <c r="F584" i="6"/>
  <c r="L584" i="6" s="1"/>
  <c r="K583" i="6"/>
  <c r="F583" i="6"/>
  <c r="K582" i="6"/>
  <c r="F582" i="6"/>
  <c r="L582" i="6" s="1"/>
  <c r="K581" i="6"/>
  <c r="F581" i="6"/>
  <c r="L581" i="6" s="1"/>
  <c r="K580" i="6"/>
  <c r="F580" i="6"/>
  <c r="L580" i="6" s="1"/>
  <c r="K578" i="6"/>
  <c r="L578" i="6"/>
  <c r="F578" i="6"/>
  <c r="K576" i="6"/>
  <c r="F576" i="6"/>
  <c r="L576" i="6"/>
  <c r="K575" i="6"/>
  <c r="F575" i="6"/>
  <c r="W605" i="6"/>
  <c r="W607" i="6" s="1"/>
  <c r="V605" i="6"/>
  <c r="V607" i="6" s="1"/>
  <c r="U605" i="6"/>
  <c r="U607" i="6" s="1"/>
  <c r="T605" i="6"/>
  <c r="T607" i="6" s="1"/>
  <c r="R605" i="6"/>
  <c r="R607" i="6" s="1"/>
  <c r="Q605" i="6"/>
  <c r="Q607" i="6" s="1"/>
  <c r="P605" i="6"/>
  <c r="P607" i="6" s="1"/>
  <c r="O605" i="6"/>
  <c r="O607" i="6" s="1"/>
  <c r="X594" i="6"/>
  <c r="S594" i="6"/>
  <c r="X593" i="6"/>
  <c r="S593" i="6"/>
  <c r="Y593" i="6" s="1"/>
  <c r="X592" i="6"/>
  <c r="S592" i="6"/>
  <c r="Y592" i="6" s="1"/>
  <c r="X591" i="6"/>
  <c r="S591" i="6"/>
  <c r="Y591" i="6"/>
  <c r="X590" i="6"/>
  <c r="S590" i="6"/>
  <c r="Y590" i="6" s="1"/>
  <c r="X589" i="6"/>
  <c r="Y589" i="6" s="1"/>
  <c r="S589" i="6"/>
  <c r="X588" i="6"/>
  <c r="S588" i="6"/>
  <c r="Y588" i="6" s="1"/>
  <c r="X587" i="6"/>
  <c r="S587" i="6"/>
  <c r="Y587" i="6" s="1"/>
  <c r="X586" i="6"/>
  <c r="S586" i="6"/>
  <c r="X585" i="6"/>
  <c r="S585" i="6"/>
  <c r="Y585" i="6" s="1"/>
  <c r="X584" i="6"/>
  <c r="S584" i="6"/>
  <c r="Y584" i="6" s="1"/>
  <c r="X583" i="6"/>
  <c r="S583" i="6"/>
  <c r="Y583" i="6"/>
  <c r="X582" i="6"/>
  <c r="S582" i="6"/>
  <c r="X581" i="6"/>
  <c r="S581" i="6"/>
  <c r="Y581" i="6" s="1"/>
  <c r="X580" i="6"/>
  <c r="S580" i="6"/>
  <c r="Y580" i="6" s="1"/>
  <c r="X578" i="6"/>
  <c r="S578" i="6"/>
  <c r="Y578" i="6" s="1"/>
  <c r="X577" i="6"/>
  <c r="S577" i="6"/>
  <c r="Y577" i="6" s="1"/>
  <c r="S523" i="6"/>
  <c r="S447" i="1"/>
  <c r="X447" i="1"/>
  <c r="X448" i="1"/>
  <c r="J567" i="6"/>
  <c r="I567" i="6"/>
  <c r="H567" i="6"/>
  <c r="G567" i="6"/>
  <c r="E567" i="6"/>
  <c r="D567" i="6"/>
  <c r="C567" i="6"/>
  <c r="B567" i="6"/>
  <c r="K566" i="6"/>
  <c r="F566" i="6"/>
  <c r="L566" i="6"/>
  <c r="K565" i="6"/>
  <c r="L565" i="6" s="1"/>
  <c r="F565" i="6"/>
  <c r="K564" i="6"/>
  <c r="L564" i="6"/>
  <c r="F564" i="6"/>
  <c r="K563" i="6"/>
  <c r="F563" i="6"/>
  <c r="L563" i="6" s="1"/>
  <c r="K562" i="6"/>
  <c r="F562" i="6"/>
  <c r="L562" i="6"/>
  <c r="K561" i="6"/>
  <c r="F561" i="6"/>
  <c r="K560" i="6"/>
  <c r="L560" i="6" s="1"/>
  <c r="F560" i="6"/>
  <c r="K559" i="6"/>
  <c r="F559" i="6"/>
  <c r="K558" i="6"/>
  <c r="F558" i="6"/>
  <c r="L558" i="6"/>
  <c r="K557" i="6"/>
  <c r="F557" i="6"/>
  <c r="K556" i="6"/>
  <c r="L556" i="6"/>
  <c r="F556" i="6"/>
  <c r="K555" i="6"/>
  <c r="F555" i="6"/>
  <c r="L555" i="6" s="1"/>
  <c r="K554" i="6"/>
  <c r="F554" i="6"/>
  <c r="L554" i="6"/>
  <c r="K553" i="6"/>
  <c r="L553" i="6" s="1"/>
  <c r="F553" i="6"/>
  <c r="K552" i="6"/>
  <c r="L552" i="6" s="1"/>
  <c r="F552" i="6"/>
  <c r="K551" i="6"/>
  <c r="F551" i="6"/>
  <c r="L551" i="6" s="1"/>
  <c r="K550" i="6"/>
  <c r="F550" i="6"/>
  <c r="L550" i="6"/>
  <c r="K549" i="6"/>
  <c r="L549" i="6" s="1"/>
  <c r="F549" i="6"/>
  <c r="K548" i="6"/>
  <c r="F548" i="6"/>
  <c r="L548" i="6" s="1"/>
  <c r="K547" i="6"/>
  <c r="F547" i="6"/>
  <c r="L547" i="6" s="1"/>
  <c r="K546" i="6"/>
  <c r="F546" i="6"/>
  <c r="L546" i="6"/>
  <c r="K545" i="6"/>
  <c r="L545" i="6" s="1"/>
  <c r="F545" i="6"/>
  <c r="K544" i="6"/>
  <c r="F544" i="6"/>
  <c r="L544" i="6" s="1"/>
  <c r="K543" i="6"/>
  <c r="F543" i="6"/>
  <c r="L543" i="6" s="1"/>
  <c r="K542" i="6"/>
  <c r="L542" i="6"/>
  <c r="K540" i="6"/>
  <c r="F540" i="6"/>
  <c r="L540" i="6" s="1"/>
  <c r="K539" i="6"/>
  <c r="L539" i="6" s="1"/>
  <c r="F539" i="6"/>
  <c r="K538" i="6"/>
  <c r="F538" i="6"/>
  <c r="Y523" i="6"/>
  <c r="X523" i="6"/>
  <c r="X524" i="6"/>
  <c r="S487" i="6"/>
  <c r="X487" i="6"/>
  <c r="S488" i="6"/>
  <c r="X488" i="6"/>
  <c r="X489" i="6"/>
  <c r="S489" i="6"/>
  <c r="S483" i="6"/>
  <c r="X483" i="6"/>
  <c r="S484" i="6"/>
  <c r="Y484" i="6" s="1"/>
  <c r="X484" i="6"/>
  <c r="S485" i="6"/>
  <c r="Y485" i="6"/>
  <c r="X485" i="6"/>
  <c r="S486" i="6"/>
  <c r="X486" i="6"/>
  <c r="X526" i="6"/>
  <c r="S526" i="6"/>
  <c r="Y526" i="6" s="1"/>
  <c r="X525" i="6"/>
  <c r="S525" i="6"/>
  <c r="Y525" i="6" s="1"/>
  <c r="W567" i="6"/>
  <c r="V567" i="6"/>
  <c r="U567" i="6"/>
  <c r="Q567" i="6"/>
  <c r="O567" i="6"/>
  <c r="X558" i="6"/>
  <c r="S558" i="6"/>
  <c r="Y558" i="6"/>
  <c r="X557" i="6"/>
  <c r="S557" i="6"/>
  <c r="Y557" i="6" s="1"/>
  <c r="X556" i="6"/>
  <c r="Y556" i="6" s="1"/>
  <c r="S556" i="6"/>
  <c r="X555" i="6"/>
  <c r="S555" i="6"/>
  <c r="X554" i="6"/>
  <c r="S554" i="6"/>
  <c r="Y554" i="6" s="1"/>
  <c r="X553" i="6"/>
  <c r="S553" i="6"/>
  <c r="Y553" i="6" s="1"/>
  <c r="X552" i="6"/>
  <c r="S552" i="6"/>
  <c r="Y552" i="6" s="1"/>
  <c r="X551" i="6"/>
  <c r="S551" i="6"/>
  <c r="X550" i="6"/>
  <c r="S550" i="6"/>
  <c r="Y550" i="6" s="1"/>
  <c r="X549" i="6"/>
  <c r="S549" i="6"/>
  <c r="Y549" i="6"/>
  <c r="X548" i="6"/>
  <c r="S548" i="6"/>
  <c r="Y548" i="6" s="1"/>
  <c r="X547" i="6"/>
  <c r="Y547" i="6" s="1"/>
  <c r="S547" i="6"/>
  <c r="X546" i="6"/>
  <c r="S546" i="6"/>
  <c r="Y546" i="6" s="1"/>
  <c r="X545" i="6"/>
  <c r="S545" i="6"/>
  <c r="Y545" i="6"/>
  <c r="X542" i="6"/>
  <c r="S542" i="6"/>
  <c r="Y542" i="6"/>
  <c r="S376" i="6"/>
  <c r="Y376" i="6" s="1"/>
  <c r="X450" i="1"/>
  <c r="S450" i="1"/>
  <c r="Y450" i="1" s="1"/>
  <c r="X449" i="1"/>
  <c r="S449" i="1"/>
  <c r="Y449" i="1" s="1"/>
  <c r="X425" i="6"/>
  <c r="Y425" i="6"/>
  <c r="X424" i="6"/>
  <c r="X423" i="6"/>
  <c r="Y423" i="6"/>
  <c r="X426" i="6"/>
  <c r="S426" i="6"/>
  <c r="S425" i="6"/>
  <c r="J529" i="6"/>
  <c r="I529" i="6"/>
  <c r="H529" i="6"/>
  <c r="G529" i="6"/>
  <c r="E529" i="6"/>
  <c r="D529" i="6"/>
  <c r="C529" i="6"/>
  <c r="B529" i="6"/>
  <c r="K528" i="6"/>
  <c r="L528" i="6"/>
  <c r="F528" i="6"/>
  <c r="K527" i="6"/>
  <c r="F527" i="6"/>
  <c r="L527" i="6"/>
  <c r="K526" i="6"/>
  <c r="F526" i="6"/>
  <c r="L526" i="6" s="1"/>
  <c r="L525" i="6"/>
  <c r="K525" i="6"/>
  <c r="F525" i="6"/>
  <c r="K524" i="6"/>
  <c r="F524" i="6"/>
  <c r="L524" i="6" s="1"/>
  <c r="K523" i="6"/>
  <c r="F523" i="6"/>
  <c r="L523" i="6"/>
  <c r="K522" i="6"/>
  <c r="F522" i="6"/>
  <c r="L522" i="6" s="1"/>
  <c r="K521" i="6"/>
  <c r="F521" i="6"/>
  <c r="L521" i="6" s="1"/>
  <c r="K520" i="6"/>
  <c r="F520" i="6"/>
  <c r="L520" i="6" s="1"/>
  <c r="K519" i="6"/>
  <c r="F519" i="6"/>
  <c r="L519" i="6" s="1"/>
  <c r="K518" i="6"/>
  <c r="F518" i="6"/>
  <c r="L518" i="6" s="1"/>
  <c r="K517" i="6"/>
  <c r="L517" i="6" s="1"/>
  <c r="F517" i="6"/>
  <c r="K516" i="6"/>
  <c r="L516" i="6"/>
  <c r="F516" i="6"/>
  <c r="K515" i="6"/>
  <c r="F515" i="6"/>
  <c r="L515" i="6" s="1"/>
  <c r="K514" i="6"/>
  <c r="F514" i="6"/>
  <c r="L514" i="6"/>
  <c r="K513" i="6"/>
  <c r="L513" i="6" s="1"/>
  <c r="F513" i="6"/>
  <c r="K512" i="6"/>
  <c r="F512" i="6"/>
  <c r="L512" i="6" s="1"/>
  <c r="K511" i="6"/>
  <c r="F511" i="6"/>
  <c r="L511" i="6"/>
  <c r="K510" i="6"/>
  <c r="L510" i="6" s="1"/>
  <c r="F510" i="6"/>
  <c r="K509" i="6"/>
  <c r="F509" i="6"/>
  <c r="L509" i="6" s="1"/>
  <c r="K508" i="6"/>
  <c r="L508" i="6"/>
  <c r="F508" i="6"/>
  <c r="K507" i="6"/>
  <c r="F507" i="6"/>
  <c r="L507" i="6"/>
  <c r="K506" i="6"/>
  <c r="F506" i="6"/>
  <c r="L506" i="6"/>
  <c r="L505" i="6"/>
  <c r="K505" i="6"/>
  <c r="F505" i="6"/>
  <c r="K504" i="6"/>
  <c r="F504" i="6"/>
  <c r="L504" i="6" s="1"/>
  <c r="K502" i="6"/>
  <c r="L502" i="6" s="1"/>
  <c r="F502" i="6"/>
  <c r="K501" i="6"/>
  <c r="F501" i="6"/>
  <c r="K500" i="6"/>
  <c r="F500" i="6"/>
  <c r="K499" i="6"/>
  <c r="F499" i="6"/>
  <c r="L499" i="6" s="1"/>
  <c r="S521" i="6"/>
  <c r="X521" i="6"/>
  <c r="Y521" i="6" s="1"/>
  <c r="S522" i="6"/>
  <c r="X522" i="6"/>
  <c r="S499" i="6"/>
  <c r="Y499" i="6" s="1"/>
  <c r="X499" i="6"/>
  <c r="W529" i="6"/>
  <c r="V529" i="6"/>
  <c r="U529" i="6"/>
  <c r="T529" i="6"/>
  <c r="R529" i="6"/>
  <c r="Q529" i="6"/>
  <c r="P529" i="6"/>
  <c r="X520" i="6"/>
  <c r="S520" i="6"/>
  <c r="Y520" i="6" s="1"/>
  <c r="X519" i="6"/>
  <c r="S519" i="6"/>
  <c r="Y519" i="6"/>
  <c r="X518" i="6"/>
  <c r="S518" i="6"/>
  <c r="Y518" i="6" s="1"/>
  <c r="X517" i="6"/>
  <c r="S517" i="6"/>
  <c r="X516" i="6"/>
  <c r="S516" i="6"/>
  <c r="X515" i="6"/>
  <c r="S515" i="6"/>
  <c r="X514" i="6"/>
  <c r="S514" i="6"/>
  <c r="Y513" i="6"/>
  <c r="X513" i="6"/>
  <c r="S513" i="6"/>
  <c r="X512" i="6"/>
  <c r="S512" i="6"/>
  <c r="Y512" i="6" s="1"/>
  <c r="X511" i="6"/>
  <c r="S511" i="6"/>
  <c r="Y511" i="6"/>
  <c r="X510" i="6"/>
  <c r="S510" i="6"/>
  <c r="Y510" i="6" s="1"/>
  <c r="Y509" i="6"/>
  <c r="X509" i="6"/>
  <c r="S509" i="6"/>
  <c r="X507" i="6"/>
  <c r="S507" i="6"/>
  <c r="Y507" i="6" s="1"/>
  <c r="X505" i="6"/>
  <c r="S505" i="6"/>
  <c r="Y505" i="6" s="1"/>
  <c r="X504" i="6"/>
  <c r="S504" i="6"/>
  <c r="Y504" i="6" s="1"/>
  <c r="S352" i="1"/>
  <c r="X352" i="1"/>
  <c r="Y352" i="1" s="1"/>
  <c r="X322" i="1"/>
  <c r="S322" i="1"/>
  <c r="Y322" i="1" s="1"/>
  <c r="S323" i="1"/>
  <c r="X323" i="1"/>
  <c r="Y323" i="1" s="1"/>
  <c r="S324" i="1"/>
  <c r="X324" i="1"/>
  <c r="Y324" i="1"/>
  <c r="X358" i="6"/>
  <c r="S358" i="6"/>
  <c r="Y358" i="6" s="1"/>
  <c r="F334" i="1"/>
  <c r="S334" i="1"/>
  <c r="F333" i="1"/>
  <c r="X319" i="1"/>
  <c r="S319" i="1"/>
  <c r="Y319" i="1"/>
  <c r="S424" i="6"/>
  <c r="Y424" i="6" s="1"/>
  <c r="S349" i="1"/>
  <c r="X349" i="1"/>
  <c r="J491" i="1"/>
  <c r="I491" i="1"/>
  <c r="H491" i="1"/>
  <c r="G491" i="1"/>
  <c r="E491" i="1"/>
  <c r="D491" i="1"/>
  <c r="C491" i="1"/>
  <c r="B491" i="1"/>
  <c r="K490" i="1"/>
  <c r="F490" i="1"/>
  <c r="K489" i="1"/>
  <c r="F489" i="1"/>
  <c r="K488" i="1"/>
  <c r="F488" i="1"/>
  <c r="K487" i="1"/>
  <c r="F487" i="1"/>
  <c r="K486" i="1"/>
  <c r="F486" i="1"/>
  <c r="L486" i="1" s="1"/>
  <c r="K485" i="1"/>
  <c r="F485" i="1"/>
  <c r="K484" i="1"/>
  <c r="F484" i="1"/>
  <c r="L484" i="1" s="1"/>
  <c r="K483" i="1"/>
  <c r="F483" i="1"/>
  <c r="K482" i="1"/>
  <c r="F482" i="1"/>
  <c r="K481" i="1"/>
  <c r="F481" i="1"/>
  <c r="K480" i="1"/>
  <c r="L480" i="1" s="1"/>
  <c r="F480" i="1"/>
  <c r="K479" i="1"/>
  <c r="F479" i="1"/>
  <c r="K478" i="1"/>
  <c r="F478" i="1"/>
  <c r="L478" i="1" s="1"/>
  <c r="K477" i="1"/>
  <c r="F477" i="1"/>
  <c r="L477" i="1"/>
  <c r="K476" i="1"/>
  <c r="F476" i="1"/>
  <c r="K475" i="1"/>
  <c r="F475" i="1"/>
  <c r="L475" i="1" s="1"/>
  <c r="K474" i="1"/>
  <c r="L474" i="1" s="1"/>
  <c r="F474" i="1"/>
  <c r="K473" i="1"/>
  <c r="L473" i="1" s="1"/>
  <c r="F473" i="1"/>
  <c r="K472" i="1"/>
  <c r="F472" i="1"/>
  <c r="L472" i="1" s="1"/>
  <c r="K471" i="1"/>
  <c r="F471" i="1"/>
  <c r="L471" i="1" s="1"/>
  <c r="K470" i="1"/>
  <c r="L470" i="1" s="1"/>
  <c r="F470" i="1"/>
  <c r="K469" i="1"/>
  <c r="F469" i="1"/>
  <c r="L469" i="1"/>
  <c r="K468" i="1"/>
  <c r="F468" i="1"/>
  <c r="L468" i="1" s="1"/>
  <c r="K467" i="1"/>
  <c r="F467" i="1"/>
  <c r="L467" i="1" s="1"/>
  <c r="K466" i="1"/>
  <c r="L466" i="1"/>
  <c r="F466" i="1"/>
  <c r="K464" i="1"/>
  <c r="F464" i="1"/>
  <c r="K463" i="1"/>
  <c r="F463" i="1"/>
  <c r="L463" i="1" s="1"/>
  <c r="K462" i="1"/>
  <c r="F462" i="1"/>
  <c r="K461" i="1"/>
  <c r="F461" i="1"/>
  <c r="L461" i="1" s="1"/>
  <c r="W491" i="1"/>
  <c r="V491" i="1"/>
  <c r="T491" i="1"/>
  <c r="R491" i="1"/>
  <c r="O491" i="1"/>
  <c r="X481" i="1"/>
  <c r="S481" i="1"/>
  <c r="X480" i="1"/>
  <c r="S480" i="1"/>
  <c r="X479" i="1"/>
  <c r="S479" i="1"/>
  <c r="X476" i="1"/>
  <c r="S476" i="1"/>
  <c r="Y476" i="1" s="1"/>
  <c r="X475" i="1"/>
  <c r="S475" i="1"/>
  <c r="Y475" i="1" s="1"/>
  <c r="X474" i="1"/>
  <c r="S474" i="1"/>
  <c r="Y474" i="1" s="1"/>
  <c r="X473" i="1"/>
  <c r="S473" i="1"/>
  <c r="X472" i="1"/>
  <c r="S472" i="1"/>
  <c r="X471" i="1"/>
  <c r="S471" i="1"/>
  <c r="X470" i="1"/>
  <c r="S470" i="1"/>
  <c r="Y470" i="1"/>
  <c r="X469" i="1"/>
  <c r="S469" i="1"/>
  <c r="Y469" i="1" s="1"/>
  <c r="X468" i="1"/>
  <c r="S468" i="1"/>
  <c r="X467" i="1"/>
  <c r="S467" i="1"/>
  <c r="Y467" i="1" s="1"/>
  <c r="X466" i="1"/>
  <c r="S466" i="1"/>
  <c r="Y466" i="1" s="1"/>
  <c r="X464" i="1"/>
  <c r="S464" i="1"/>
  <c r="X461" i="1"/>
  <c r="S461" i="1"/>
  <c r="I323" i="1"/>
  <c r="K323" i="1" s="1"/>
  <c r="S449" i="6"/>
  <c r="Y449" i="6" s="1"/>
  <c r="X449" i="6"/>
  <c r="S450" i="6"/>
  <c r="X450" i="6"/>
  <c r="Y450" i="6"/>
  <c r="S451" i="6"/>
  <c r="X451" i="6"/>
  <c r="Y451" i="6"/>
  <c r="S452" i="6"/>
  <c r="X452" i="6"/>
  <c r="S271" i="1"/>
  <c r="X271" i="1"/>
  <c r="Y271" i="1" s="1"/>
  <c r="X312" i="1"/>
  <c r="S312" i="1"/>
  <c r="Y312" i="1" s="1"/>
  <c r="S411" i="6"/>
  <c r="Y411" i="6"/>
  <c r="X411" i="6"/>
  <c r="S412" i="6"/>
  <c r="X412" i="6"/>
  <c r="Y412" i="6" s="1"/>
  <c r="X374" i="6"/>
  <c r="S374" i="6"/>
  <c r="Y374" i="6"/>
  <c r="X373" i="6"/>
  <c r="S373" i="6"/>
  <c r="Y373" i="6" s="1"/>
  <c r="X354" i="6"/>
  <c r="S354" i="6"/>
  <c r="J366" i="6"/>
  <c r="K366" i="6"/>
  <c r="F366" i="6"/>
  <c r="X333" i="6"/>
  <c r="S333" i="6"/>
  <c r="Y333" i="6" s="1"/>
  <c r="X332" i="6"/>
  <c r="S332" i="6"/>
  <c r="X279" i="1"/>
  <c r="Y279" i="1" s="1"/>
  <c r="S279" i="1"/>
  <c r="K320" i="1"/>
  <c r="F320" i="1"/>
  <c r="X355" i="6"/>
  <c r="S355" i="6"/>
  <c r="Y355" i="6"/>
  <c r="X353" i="6"/>
  <c r="S353" i="6"/>
  <c r="Y353" i="6" s="1"/>
  <c r="X352" i="6"/>
  <c r="S352" i="6"/>
  <c r="Y352" i="6" s="1"/>
  <c r="S329" i="1"/>
  <c r="X329" i="1"/>
  <c r="S330" i="1"/>
  <c r="X330" i="1"/>
  <c r="Y330" i="1" s="1"/>
  <c r="S331" i="1"/>
  <c r="Y331" i="1"/>
  <c r="X331" i="1"/>
  <c r="S332" i="1"/>
  <c r="Y332" i="1" s="1"/>
  <c r="X332" i="1"/>
  <c r="S333" i="1"/>
  <c r="Y333" i="1" s="1"/>
  <c r="X333" i="1"/>
  <c r="X334" i="1"/>
  <c r="Y334" i="1" s="1"/>
  <c r="S335" i="1"/>
  <c r="X335" i="1"/>
  <c r="Y335" i="1" s="1"/>
  <c r="S336" i="1"/>
  <c r="Y336" i="1"/>
  <c r="X336" i="1"/>
  <c r="S409" i="6"/>
  <c r="Y409" i="6" s="1"/>
  <c r="X409" i="6"/>
  <c r="S410" i="6"/>
  <c r="Y410" i="6" s="1"/>
  <c r="X410" i="6"/>
  <c r="T301" i="1"/>
  <c r="W301" i="1"/>
  <c r="X298" i="1"/>
  <c r="S298" i="1"/>
  <c r="X297" i="1"/>
  <c r="Y297" i="1" s="1"/>
  <c r="S297" i="1"/>
  <c r="S408" i="6"/>
  <c r="X408" i="6"/>
  <c r="J453" i="1"/>
  <c r="I453" i="1"/>
  <c r="H453" i="1"/>
  <c r="G453" i="1"/>
  <c r="E453" i="1"/>
  <c r="D453" i="1"/>
  <c r="C453" i="1"/>
  <c r="B453" i="1"/>
  <c r="K452" i="1"/>
  <c r="F452" i="1"/>
  <c r="K451" i="1"/>
  <c r="F451" i="1"/>
  <c r="K450" i="1"/>
  <c r="L450" i="1" s="1"/>
  <c r="F450" i="1"/>
  <c r="K449" i="1"/>
  <c r="L449" i="1" s="1"/>
  <c r="F449" i="1"/>
  <c r="K448" i="1"/>
  <c r="F448" i="1"/>
  <c r="K447" i="1"/>
  <c r="F447" i="1"/>
  <c r="K446" i="1"/>
  <c r="L446" i="1" s="1"/>
  <c r="F446" i="1"/>
  <c r="K445" i="1"/>
  <c r="F445" i="1"/>
  <c r="K444" i="1"/>
  <c r="F444" i="1"/>
  <c r="K443" i="1"/>
  <c r="F443" i="1"/>
  <c r="K442" i="1"/>
  <c r="F442" i="1"/>
  <c r="K441" i="1"/>
  <c r="F441" i="1"/>
  <c r="K440" i="1"/>
  <c r="L440" i="1" s="1"/>
  <c r="F440" i="1"/>
  <c r="K439" i="1"/>
  <c r="F439" i="1"/>
  <c r="K438" i="1"/>
  <c r="F438" i="1"/>
  <c r="K437" i="1"/>
  <c r="F437" i="1"/>
  <c r="K436" i="1"/>
  <c r="F436" i="1"/>
  <c r="K435" i="1"/>
  <c r="F435" i="1"/>
  <c r="K434" i="1"/>
  <c r="L434" i="1" s="1"/>
  <c r="F434" i="1"/>
  <c r="K433" i="1"/>
  <c r="F433" i="1"/>
  <c r="K432" i="1"/>
  <c r="L432" i="1" s="1"/>
  <c r="F432" i="1"/>
  <c r="K431" i="1"/>
  <c r="L431" i="1" s="1"/>
  <c r="F431" i="1"/>
  <c r="K430" i="1"/>
  <c r="L430" i="1" s="1"/>
  <c r="F430" i="1"/>
  <c r="K429" i="1"/>
  <c r="F429" i="1"/>
  <c r="K428" i="1"/>
  <c r="F428" i="1"/>
  <c r="K426" i="1"/>
  <c r="F426" i="1"/>
  <c r="K425" i="1"/>
  <c r="F425" i="1"/>
  <c r="K424" i="1"/>
  <c r="F424" i="1"/>
  <c r="L424" i="1" s="1"/>
  <c r="K423" i="1"/>
  <c r="F423" i="1"/>
  <c r="S413" i="1"/>
  <c r="X413" i="1"/>
  <c r="X414" i="1"/>
  <c r="Y414" i="1" s="1"/>
  <c r="S414" i="1"/>
  <c r="S451" i="1"/>
  <c r="X451" i="1"/>
  <c r="Y451" i="1" s="1"/>
  <c r="S387" i="1"/>
  <c r="Y387" i="1" s="1"/>
  <c r="X387" i="1"/>
  <c r="W453" i="1"/>
  <c r="U453" i="1"/>
  <c r="T453" i="1"/>
  <c r="R453" i="1"/>
  <c r="Q453" i="1"/>
  <c r="P453" i="1"/>
  <c r="O453" i="1"/>
  <c r="S452" i="1"/>
  <c r="X446" i="1"/>
  <c r="S446" i="1"/>
  <c r="X445" i="1"/>
  <c r="S445" i="1"/>
  <c r="X444" i="1"/>
  <c r="S444" i="1"/>
  <c r="X443" i="1"/>
  <c r="S443" i="1"/>
  <c r="X442" i="1"/>
  <c r="S442" i="1"/>
  <c r="Y442" i="1" s="1"/>
  <c r="X441" i="1"/>
  <c r="S441" i="1"/>
  <c r="X440" i="1"/>
  <c r="S440" i="1"/>
  <c r="Y440" i="1" s="1"/>
  <c r="X439" i="1"/>
  <c r="S439" i="1"/>
  <c r="Y439" i="1" s="1"/>
  <c r="X438" i="1"/>
  <c r="S438" i="1"/>
  <c r="Y438" i="1" s="1"/>
  <c r="X437" i="1"/>
  <c r="S437" i="1"/>
  <c r="X436" i="1"/>
  <c r="S436" i="1"/>
  <c r="X435" i="1"/>
  <c r="S435" i="1"/>
  <c r="X434" i="1"/>
  <c r="S434" i="1"/>
  <c r="Y434" i="1" s="1"/>
  <c r="X433" i="1"/>
  <c r="S433" i="1"/>
  <c r="X432" i="1"/>
  <c r="S432" i="1"/>
  <c r="Y432" i="1" s="1"/>
  <c r="X431" i="1"/>
  <c r="Y431" i="1" s="1"/>
  <c r="S431" i="1"/>
  <c r="X429" i="1"/>
  <c r="S429" i="1"/>
  <c r="Y429" i="1" s="1"/>
  <c r="X426" i="1"/>
  <c r="S426" i="1"/>
  <c r="S280" i="1"/>
  <c r="X280" i="1"/>
  <c r="X314" i="1"/>
  <c r="S314" i="1"/>
  <c r="X277" i="1"/>
  <c r="S277" i="1"/>
  <c r="Y277" i="1" s="1"/>
  <c r="S372" i="1"/>
  <c r="Y372" i="1" s="1"/>
  <c r="X372" i="1"/>
  <c r="S373" i="1"/>
  <c r="X373" i="1"/>
  <c r="Y373" i="1" s="1"/>
  <c r="S257" i="1"/>
  <c r="X257" i="1"/>
  <c r="X276" i="1"/>
  <c r="S276" i="1"/>
  <c r="K352" i="6"/>
  <c r="F352" i="6"/>
  <c r="L352" i="6" s="1"/>
  <c r="X253" i="1"/>
  <c r="S253" i="1"/>
  <c r="X299" i="1"/>
  <c r="S299" i="1"/>
  <c r="V491" i="6"/>
  <c r="U491" i="6"/>
  <c r="Q491" i="6"/>
  <c r="P491" i="6"/>
  <c r="O491" i="6"/>
  <c r="J491" i="6"/>
  <c r="I491" i="6"/>
  <c r="H491" i="6"/>
  <c r="G491" i="6"/>
  <c r="E491" i="6"/>
  <c r="D491" i="6"/>
  <c r="C491" i="6"/>
  <c r="B491" i="6"/>
  <c r="K490" i="6"/>
  <c r="F490" i="6"/>
  <c r="L490" i="6" s="1"/>
  <c r="K489" i="6"/>
  <c r="F489" i="6"/>
  <c r="L489" i="6" s="1"/>
  <c r="K488" i="6"/>
  <c r="L488" i="6" s="1"/>
  <c r="F488" i="6"/>
  <c r="K487" i="6"/>
  <c r="F487" i="6"/>
  <c r="L487" i="6" s="1"/>
  <c r="K486" i="6"/>
  <c r="F486" i="6"/>
  <c r="L486" i="6"/>
  <c r="K485" i="6"/>
  <c r="F485" i="6"/>
  <c r="L485" i="6" s="1"/>
  <c r="K484" i="6"/>
  <c r="F484" i="6"/>
  <c r="K483" i="6"/>
  <c r="F483" i="6"/>
  <c r="L483" i="6" s="1"/>
  <c r="K482" i="6"/>
  <c r="F482" i="6"/>
  <c r="L482" i="6" s="1"/>
  <c r="K481" i="6"/>
  <c r="F481" i="6"/>
  <c r="L481" i="6" s="1"/>
  <c r="X480" i="6"/>
  <c r="S480" i="6"/>
  <c r="K480" i="6"/>
  <c r="F480" i="6"/>
  <c r="L480" i="6" s="1"/>
  <c r="X479" i="6"/>
  <c r="S479" i="6"/>
  <c r="Y479" i="6"/>
  <c r="K479" i="6"/>
  <c r="F479" i="6"/>
  <c r="L479" i="6" s="1"/>
  <c r="X478" i="6"/>
  <c r="Y478" i="6" s="1"/>
  <c r="S478" i="6"/>
  <c r="K478" i="6"/>
  <c r="F478" i="6"/>
  <c r="L478" i="6" s="1"/>
  <c r="X477" i="6"/>
  <c r="S477" i="6"/>
  <c r="Y477" i="6"/>
  <c r="K477" i="6"/>
  <c r="F477" i="6"/>
  <c r="L477" i="6" s="1"/>
  <c r="X476" i="6"/>
  <c r="Y476" i="6" s="1"/>
  <c r="S476" i="6"/>
  <c r="K476" i="6"/>
  <c r="F476" i="6"/>
  <c r="L476" i="6" s="1"/>
  <c r="X475" i="6"/>
  <c r="K475" i="6"/>
  <c r="F475" i="6"/>
  <c r="L475" i="6" s="1"/>
  <c r="X474" i="6"/>
  <c r="S474" i="6"/>
  <c r="Y474" i="6"/>
  <c r="K474" i="6"/>
  <c r="F474" i="6"/>
  <c r="L474" i="6" s="1"/>
  <c r="X473" i="6"/>
  <c r="S473" i="6"/>
  <c r="K473" i="6"/>
  <c r="F473" i="6"/>
  <c r="L473" i="6"/>
  <c r="X472" i="6"/>
  <c r="S472" i="6"/>
  <c r="Y472" i="6" s="1"/>
  <c r="K472" i="6"/>
  <c r="L472" i="6" s="1"/>
  <c r="F472" i="6"/>
  <c r="X471" i="6"/>
  <c r="S471" i="6"/>
  <c r="K471" i="6"/>
  <c r="F471" i="6"/>
  <c r="L471" i="6" s="1"/>
  <c r="X470" i="6"/>
  <c r="Y470" i="6" s="1"/>
  <c r="S470" i="6"/>
  <c r="K470" i="6"/>
  <c r="F470" i="6"/>
  <c r="L470" i="6" s="1"/>
  <c r="X469" i="6"/>
  <c r="S469" i="6"/>
  <c r="K469" i="6"/>
  <c r="L469" i="6" s="1"/>
  <c r="F469" i="6"/>
  <c r="K468" i="6"/>
  <c r="F468" i="6"/>
  <c r="L468" i="6" s="1"/>
  <c r="K467" i="6"/>
  <c r="F467" i="6"/>
  <c r="L467" i="6"/>
  <c r="K466" i="6"/>
  <c r="F466" i="6"/>
  <c r="L466" i="6" s="1"/>
  <c r="K464" i="6"/>
  <c r="L464" i="6" s="1"/>
  <c r="F464" i="6"/>
  <c r="K463" i="6"/>
  <c r="F463" i="6"/>
  <c r="L463" i="6" s="1"/>
  <c r="K462" i="6"/>
  <c r="F462" i="6"/>
  <c r="L462" i="6"/>
  <c r="K461" i="6"/>
  <c r="F461" i="6"/>
  <c r="L461" i="6" s="1"/>
  <c r="S409" i="1"/>
  <c r="X409" i="1"/>
  <c r="S410" i="1"/>
  <c r="Y410" i="1" s="1"/>
  <c r="X410" i="1"/>
  <c r="W415" i="1"/>
  <c r="V415" i="1"/>
  <c r="U415" i="1"/>
  <c r="T415" i="1"/>
  <c r="R415" i="1"/>
  <c r="P415" i="1"/>
  <c r="J415" i="1"/>
  <c r="I415" i="1"/>
  <c r="H415" i="1"/>
  <c r="G415" i="1"/>
  <c r="E415" i="1"/>
  <c r="F415" i="1" s="1"/>
  <c r="D415" i="1"/>
  <c r="C415" i="1"/>
  <c r="B415" i="1"/>
  <c r="K414" i="1"/>
  <c r="F414" i="1"/>
  <c r="K413" i="1"/>
  <c r="F413" i="1"/>
  <c r="L413" i="1" s="1"/>
  <c r="K412" i="1"/>
  <c r="L412" i="1" s="1"/>
  <c r="F412" i="1"/>
  <c r="K411" i="1"/>
  <c r="F411" i="1"/>
  <c r="L411" i="1" s="1"/>
  <c r="Q415" i="1"/>
  <c r="S415" i="1" s="1"/>
  <c r="O415" i="1"/>
  <c r="K410" i="1"/>
  <c r="F410" i="1"/>
  <c r="L410" i="1"/>
  <c r="K409" i="1"/>
  <c r="F409" i="1"/>
  <c r="X408" i="1"/>
  <c r="S408" i="1"/>
  <c r="Y408" i="1" s="1"/>
  <c r="K408" i="1"/>
  <c r="F408" i="1"/>
  <c r="X407" i="1"/>
  <c r="S407" i="1"/>
  <c r="Y407" i="1" s="1"/>
  <c r="K407" i="1"/>
  <c r="F407" i="1"/>
  <c r="L407" i="1" s="1"/>
  <c r="X406" i="1"/>
  <c r="S406" i="1"/>
  <c r="K406" i="1"/>
  <c r="F406" i="1"/>
  <c r="X405" i="1"/>
  <c r="S405" i="1"/>
  <c r="Y405" i="1" s="1"/>
  <c r="K405" i="1"/>
  <c r="F405" i="1"/>
  <c r="L405" i="1" s="1"/>
  <c r="X404" i="1"/>
  <c r="S404" i="1"/>
  <c r="K404" i="1"/>
  <c r="F404" i="1"/>
  <c r="X403" i="1"/>
  <c r="S403" i="1"/>
  <c r="Y403" i="1"/>
  <c r="K403" i="1"/>
  <c r="L403" i="1" s="1"/>
  <c r="F403" i="1"/>
  <c r="X402" i="1"/>
  <c r="S402" i="1"/>
  <c r="Y402" i="1" s="1"/>
  <c r="K402" i="1"/>
  <c r="L402" i="1" s="1"/>
  <c r="F402" i="1"/>
  <c r="K401" i="1"/>
  <c r="F401" i="1"/>
  <c r="X400" i="1"/>
  <c r="Y400" i="1" s="1"/>
  <c r="S400" i="1"/>
  <c r="K400" i="1"/>
  <c r="F400" i="1"/>
  <c r="X399" i="1"/>
  <c r="Y399" i="1" s="1"/>
  <c r="S399" i="1"/>
  <c r="K399" i="1"/>
  <c r="F399" i="1"/>
  <c r="X398" i="1"/>
  <c r="Y398" i="1" s="1"/>
  <c r="S398" i="1"/>
  <c r="K398" i="1"/>
  <c r="F398" i="1"/>
  <c r="X397" i="1"/>
  <c r="Y397" i="1" s="1"/>
  <c r="S397" i="1"/>
  <c r="K397" i="1"/>
  <c r="F397" i="1"/>
  <c r="X396" i="1"/>
  <c r="S396" i="1"/>
  <c r="K396" i="1"/>
  <c r="F396" i="1"/>
  <c r="X395" i="1"/>
  <c r="Y395" i="1" s="1"/>
  <c r="S395" i="1"/>
  <c r="K395" i="1"/>
  <c r="F395" i="1"/>
  <c r="K394" i="1"/>
  <c r="L394" i="1" s="1"/>
  <c r="F394" i="1"/>
  <c r="K393" i="1"/>
  <c r="F393" i="1"/>
  <c r="K392" i="1"/>
  <c r="L392" i="1" s="1"/>
  <c r="F392" i="1"/>
  <c r="K391" i="1"/>
  <c r="F391" i="1"/>
  <c r="K390" i="1"/>
  <c r="L390" i="1" s="1"/>
  <c r="F390" i="1"/>
  <c r="X388" i="1"/>
  <c r="S388" i="1"/>
  <c r="K388" i="1"/>
  <c r="F388" i="1"/>
  <c r="K387" i="1"/>
  <c r="F387" i="1"/>
  <c r="L387" i="1" s="1"/>
  <c r="K386" i="1"/>
  <c r="F386" i="1"/>
  <c r="X385" i="1"/>
  <c r="S385" i="1"/>
  <c r="Y385" i="1" s="1"/>
  <c r="K385" i="1"/>
  <c r="F385" i="1"/>
  <c r="X249" i="1"/>
  <c r="S249" i="1"/>
  <c r="Y249" i="1" s="1"/>
  <c r="X327" i="6"/>
  <c r="Y327" i="6"/>
  <c r="S327" i="6"/>
  <c r="D330" i="6"/>
  <c r="F330" i="6" s="1"/>
  <c r="L330" i="6" s="1"/>
  <c r="X245" i="1"/>
  <c r="S245" i="1"/>
  <c r="X323" i="6"/>
  <c r="S323" i="6"/>
  <c r="Y323" i="6"/>
  <c r="X244" i="1"/>
  <c r="S244" i="1"/>
  <c r="Y244" i="1" s="1"/>
  <c r="K312" i="6"/>
  <c r="F312" i="6"/>
  <c r="X309" i="6"/>
  <c r="S309" i="6"/>
  <c r="Y309" i="6"/>
  <c r="K236" i="1"/>
  <c r="F236" i="1"/>
  <c r="L236" i="1" s="1"/>
  <c r="X233" i="1"/>
  <c r="S233" i="1"/>
  <c r="Y233" i="1" s="1"/>
  <c r="X242" i="1"/>
  <c r="S242" i="1"/>
  <c r="Y242" i="1" s="1"/>
  <c r="F271" i="1"/>
  <c r="K271" i="1"/>
  <c r="L271" i="1" s="1"/>
  <c r="K235" i="1"/>
  <c r="F235" i="1"/>
  <c r="L235" i="1" s="1"/>
  <c r="F239" i="1"/>
  <c r="K239" i="1"/>
  <c r="L239" i="1" s="1"/>
  <c r="F240" i="1"/>
  <c r="K240" i="1"/>
  <c r="F241" i="1"/>
  <c r="K241" i="1"/>
  <c r="L241" i="1" s="1"/>
  <c r="F242" i="1"/>
  <c r="K242" i="1"/>
  <c r="F243" i="1"/>
  <c r="K243" i="1"/>
  <c r="F244" i="1"/>
  <c r="K244" i="1"/>
  <c r="F245" i="1"/>
  <c r="K245" i="1"/>
  <c r="L245" i="1" s="1"/>
  <c r="F246" i="1"/>
  <c r="K246" i="1"/>
  <c r="F247" i="1"/>
  <c r="K247" i="1"/>
  <c r="L247" i="1" s="1"/>
  <c r="F248" i="1"/>
  <c r="K248" i="1"/>
  <c r="F249" i="1"/>
  <c r="K249" i="1"/>
  <c r="L249" i="1" s="1"/>
  <c r="F250" i="1"/>
  <c r="K250" i="1"/>
  <c r="F251" i="1"/>
  <c r="K251" i="1"/>
  <c r="L251" i="1" s="1"/>
  <c r="F252" i="1"/>
  <c r="K252" i="1"/>
  <c r="F347" i="6"/>
  <c r="L347" i="6" s="1"/>
  <c r="K347" i="6"/>
  <c r="K311" i="6"/>
  <c r="L311" i="6" s="1"/>
  <c r="F311" i="6"/>
  <c r="K310" i="6"/>
  <c r="F310" i="6"/>
  <c r="L310" i="6" s="1"/>
  <c r="F316" i="6"/>
  <c r="K316" i="6"/>
  <c r="L316" i="6"/>
  <c r="F317" i="6"/>
  <c r="K317" i="6"/>
  <c r="L317" i="6"/>
  <c r="F318" i="6"/>
  <c r="K318" i="6"/>
  <c r="F319" i="6"/>
  <c r="K319" i="6"/>
  <c r="L319" i="6" s="1"/>
  <c r="F320" i="6"/>
  <c r="K320" i="6"/>
  <c r="L320" i="6" s="1"/>
  <c r="F321" i="6"/>
  <c r="L321" i="6" s="1"/>
  <c r="K321" i="6"/>
  <c r="F322" i="6"/>
  <c r="K322" i="6"/>
  <c r="F323" i="6"/>
  <c r="L323" i="6" s="1"/>
  <c r="K323" i="6"/>
  <c r="P263" i="1"/>
  <c r="X319" i="6"/>
  <c r="S319" i="6"/>
  <c r="Y319" i="6"/>
  <c r="X318" i="6"/>
  <c r="S318" i="6"/>
  <c r="Y318" i="6" s="1"/>
  <c r="X240" i="1"/>
  <c r="S240" i="1"/>
  <c r="X272" i="6"/>
  <c r="S272" i="6"/>
  <c r="Y272" i="6"/>
  <c r="S297" i="6"/>
  <c r="Y297" i="6"/>
  <c r="X297" i="6"/>
  <c r="S298" i="6"/>
  <c r="Y298" i="6" s="1"/>
  <c r="X298" i="6"/>
  <c r="X335" i="6"/>
  <c r="P339" i="6"/>
  <c r="S335" i="6"/>
  <c r="Y335" i="6"/>
  <c r="T339" i="6"/>
  <c r="S239" i="1"/>
  <c r="Y239" i="1" s="1"/>
  <c r="X239" i="1"/>
  <c r="X216" i="1"/>
  <c r="S216" i="1"/>
  <c r="X271" i="6"/>
  <c r="Y271" i="6" s="1"/>
  <c r="S271" i="6"/>
  <c r="X288" i="6"/>
  <c r="S288" i="6"/>
  <c r="Y288" i="6" s="1"/>
  <c r="X214" i="1"/>
  <c r="Y214" i="1" s="1"/>
  <c r="S214" i="1"/>
  <c r="S221" i="1"/>
  <c r="X221" i="1"/>
  <c r="S222" i="1"/>
  <c r="Y222" i="1" s="1"/>
  <c r="X222" i="1"/>
  <c r="S223" i="1"/>
  <c r="T225" i="1"/>
  <c r="W225" i="1"/>
  <c r="S224" i="1"/>
  <c r="X224" i="1"/>
  <c r="X220" i="1"/>
  <c r="S220" i="1"/>
  <c r="Y220" i="1" s="1"/>
  <c r="U263" i="1"/>
  <c r="Q263" i="1"/>
  <c r="X212" i="1"/>
  <c r="S212" i="1"/>
  <c r="Y212" i="1" s="1"/>
  <c r="X211" i="1"/>
  <c r="S211" i="1"/>
  <c r="Y211" i="1" s="1"/>
  <c r="X285" i="6"/>
  <c r="S285" i="6"/>
  <c r="J453" i="6"/>
  <c r="I453" i="6"/>
  <c r="H453" i="6"/>
  <c r="G453" i="6"/>
  <c r="E453" i="6"/>
  <c r="D453" i="6"/>
  <c r="C453" i="6"/>
  <c r="B453" i="6"/>
  <c r="K452" i="6"/>
  <c r="F452" i="6"/>
  <c r="K451" i="6"/>
  <c r="F451" i="6"/>
  <c r="K450" i="6"/>
  <c r="F450" i="6"/>
  <c r="K449" i="6"/>
  <c r="F449" i="6"/>
  <c r="L449" i="6" s="1"/>
  <c r="K448" i="6"/>
  <c r="L448" i="6" s="1"/>
  <c r="F448" i="6"/>
  <c r="K447" i="6"/>
  <c r="F447" i="6"/>
  <c r="K446" i="6"/>
  <c r="F446" i="6"/>
  <c r="K445" i="6"/>
  <c r="F445" i="6"/>
  <c r="L445" i="6" s="1"/>
  <c r="K444" i="6"/>
  <c r="F444" i="6"/>
  <c r="K443" i="6"/>
  <c r="F443" i="6"/>
  <c r="K442" i="6"/>
  <c r="F442" i="6"/>
  <c r="K441" i="6"/>
  <c r="F441" i="6"/>
  <c r="K440" i="6"/>
  <c r="F440" i="6"/>
  <c r="K439" i="6"/>
  <c r="F439" i="6"/>
  <c r="L439" i="6" s="1"/>
  <c r="K438" i="6"/>
  <c r="F438" i="6"/>
  <c r="K437" i="6"/>
  <c r="F437" i="6"/>
  <c r="L437" i="6" s="1"/>
  <c r="K436" i="6"/>
  <c r="F436" i="6"/>
  <c r="K435" i="6"/>
  <c r="F435" i="6"/>
  <c r="K434" i="6"/>
  <c r="F434" i="6"/>
  <c r="K433" i="6"/>
  <c r="F433" i="6"/>
  <c r="L433" i="6"/>
  <c r="K432" i="6"/>
  <c r="F432" i="6"/>
  <c r="K431" i="6"/>
  <c r="F431" i="6"/>
  <c r="L431" i="6" s="1"/>
  <c r="K430" i="6"/>
  <c r="F430" i="6"/>
  <c r="L430" i="6"/>
  <c r="K429" i="6"/>
  <c r="F429" i="6"/>
  <c r="K428" i="6"/>
  <c r="F428" i="6"/>
  <c r="K426" i="6"/>
  <c r="F426" i="6"/>
  <c r="K425" i="6"/>
  <c r="F425" i="6"/>
  <c r="L425" i="6" s="1"/>
  <c r="K424" i="6"/>
  <c r="F424" i="6"/>
  <c r="K423" i="6"/>
  <c r="F423" i="6"/>
  <c r="S334" i="6"/>
  <c r="X334" i="6"/>
  <c r="S336" i="6"/>
  <c r="Y336" i="6" s="1"/>
  <c r="X336" i="6"/>
  <c r="S337" i="6"/>
  <c r="X337" i="6"/>
  <c r="S338" i="6"/>
  <c r="X338" i="6"/>
  <c r="X376" i="6"/>
  <c r="X375" i="6"/>
  <c r="S375" i="6"/>
  <c r="X413" i="6"/>
  <c r="S413" i="6"/>
  <c r="Y413" i="6" s="1"/>
  <c r="X414" i="6"/>
  <c r="S414" i="6"/>
  <c r="S387" i="6"/>
  <c r="Y387" i="6"/>
  <c r="X387" i="6"/>
  <c r="W453" i="6"/>
  <c r="V453" i="6"/>
  <c r="U453" i="6"/>
  <c r="T453" i="6"/>
  <c r="R453" i="6"/>
  <c r="Q453" i="6"/>
  <c r="P453" i="6"/>
  <c r="O453" i="6"/>
  <c r="X448" i="6"/>
  <c r="S448" i="6"/>
  <c r="X447" i="6"/>
  <c r="Y447" i="6" s="1"/>
  <c r="S447" i="6"/>
  <c r="X446" i="6"/>
  <c r="S446" i="6"/>
  <c r="X445" i="6"/>
  <c r="S445" i="6"/>
  <c r="Y445" i="6" s="1"/>
  <c r="X444" i="6"/>
  <c r="S444" i="6"/>
  <c r="X443" i="6"/>
  <c r="S443" i="6"/>
  <c r="Y443" i="6" s="1"/>
  <c r="Y442" i="6"/>
  <c r="X442" i="6"/>
  <c r="S442" i="6"/>
  <c r="X441" i="6"/>
  <c r="S441" i="6"/>
  <c r="X440" i="6"/>
  <c r="S440" i="6"/>
  <c r="Y440" i="6"/>
  <c r="X439" i="6"/>
  <c r="S439" i="6"/>
  <c r="Y439" i="6" s="1"/>
  <c r="X438" i="6"/>
  <c r="S438" i="6"/>
  <c r="X437" i="6"/>
  <c r="S437" i="6"/>
  <c r="X436" i="6"/>
  <c r="S436" i="6"/>
  <c r="X432" i="6"/>
  <c r="S432" i="6"/>
  <c r="X431" i="6"/>
  <c r="S431" i="6"/>
  <c r="Y431" i="6" s="1"/>
  <c r="X430" i="6"/>
  <c r="S430" i="6"/>
  <c r="Y430" i="6" s="1"/>
  <c r="X429" i="6"/>
  <c r="S429" i="6"/>
  <c r="S423" i="6"/>
  <c r="K297" i="6"/>
  <c r="F297" i="6"/>
  <c r="K224" i="1"/>
  <c r="F224" i="1"/>
  <c r="L224" i="1"/>
  <c r="X210" i="1"/>
  <c r="S210" i="1"/>
  <c r="Y210" i="1" s="1"/>
  <c r="X284" i="6"/>
  <c r="S284" i="6"/>
  <c r="X238" i="1"/>
  <c r="S238" i="1"/>
  <c r="O225" i="1"/>
  <c r="S219" i="1"/>
  <c r="Y219" i="1" s="1"/>
  <c r="X219" i="1"/>
  <c r="R263" i="1"/>
  <c r="V225" i="1"/>
  <c r="R225" i="1"/>
  <c r="S258" i="1"/>
  <c r="X258" i="1"/>
  <c r="Y258" i="1" s="1"/>
  <c r="X260" i="1"/>
  <c r="S260" i="1"/>
  <c r="Y260" i="1" s="1"/>
  <c r="F291" i="6"/>
  <c r="L291" i="6"/>
  <c r="K291" i="6"/>
  <c r="K215" i="1"/>
  <c r="L215" i="1" s="1"/>
  <c r="F215" i="1"/>
  <c r="X206" i="1"/>
  <c r="S206" i="1"/>
  <c r="Y206" i="1" s="1"/>
  <c r="X203" i="1"/>
  <c r="S203" i="1"/>
  <c r="X276" i="6"/>
  <c r="S276" i="6"/>
  <c r="K274" i="6"/>
  <c r="F274" i="6"/>
  <c r="F233" i="1"/>
  <c r="K233" i="1"/>
  <c r="K196" i="1"/>
  <c r="F196" i="1"/>
  <c r="L196" i="1"/>
  <c r="X349" i="6"/>
  <c r="X348" i="6"/>
  <c r="Y348" i="6" s="1"/>
  <c r="X347" i="6"/>
  <c r="S348" i="6"/>
  <c r="S349" i="6"/>
  <c r="Y349" i="6" s="1"/>
  <c r="X312" i="6"/>
  <c r="S312" i="6"/>
  <c r="X311" i="6"/>
  <c r="S311" i="6"/>
  <c r="Y311" i="6" s="1"/>
  <c r="X273" i="6"/>
  <c r="Y273" i="6" s="1"/>
  <c r="S273" i="6"/>
  <c r="S274" i="6"/>
  <c r="X274" i="6"/>
  <c r="X235" i="6"/>
  <c r="S235" i="6"/>
  <c r="X234" i="6"/>
  <c r="S234" i="6"/>
  <c r="X196" i="1"/>
  <c r="X159" i="1"/>
  <c r="S159" i="1"/>
  <c r="S196" i="1"/>
  <c r="Y196" i="1" s="1"/>
  <c r="X160" i="1"/>
  <c r="S160" i="1"/>
  <c r="X157" i="1"/>
  <c r="S157" i="1"/>
  <c r="Y157" i="1" s="1"/>
  <c r="X174" i="1"/>
  <c r="S174" i="1"/>
  <c r="F195" i="1"/>
  <c r="K195" i="1"/>
  <c r="L195" i="1" s="1"/>
  <c r="K234" i="1"/>
  <c r="F234" i="1"/>
  <c r="X248" i="6"/>
  <c r="S248" i="6"/>
  <c r="J415" i="6"/>
  <c r="I415" i="6"/>
  <c r="H415" i="6"/>
  <c r="G415" i="6"/>
  <c r="E415" i="6"/>
  <c r="D415" i="6"/>
  <c r="C415" i="6"/>
  <c r="B415" i="6"/>
  <c r="K414" i="6"/>
  <c r="F414" i="6"/>
  <c r="L414" i="6" s="1"/>
  <c r="K413" i="6"/>
  <c r="F413" i="6"/>
  <c r="K412" i="6"/>
  <c r="F412" i="6"/>
  <c r="K410" i="6"/>
  <c r="F410" i="6"/>
  <c r="K409" i="6"/>
  <c r="F409" i="6"/>
  <c r="K408" i="6"/>
  <c r="F408" i="6"/>
  <c r="L408" i="6"/>
  <c r="K407" i="6"/>
  <c r="F407" i="6"/>
  <c r="L407" i="6" s="1"/>
  <c r="K406" i="6"/>
  <c r="F406" i="6"/>
  <c r="K405" i="6"/>
  <c r="F405" i="6"/>
  <c r="K404" i="6"/>
  <c r="F404" i="6"/>
  <c r="K403" i="6"/>
  <c r="F403" i="6"/>
  <c r="L403" i="6"/>
  <c r="K402" i="6"/>
  <c r="F402" i="6"/>
  <c r="K401" i="6"/>
  <c r="F401" i="6"/>
  <c r="L401" i="6" s="1"/>
  <c r="K400" i="6"/>
  <c r="F400" i="6"/>
  <c r="L400" i="6"/>
  <c r="K399" i="6"/>
  <c r="L399" i="6" s="1"/>
  <c r="F399" i="6"/>
  <c r="K398" i="6"/>
  <c r="F398" i="6"/>
  <c r="L398" i="6" s="1"/>
  <c r="K397" i="6"/>
  <c r="F397" i="6"/>
  <c r="K396" i="6"/>
  <c r="F396" i="6"/>
  <c r="K395" i="6"/>
  <c r="F395" i="6"/>
  <c r="L395" i="6"/>
  <c r="K394" i="6"/>
  <c r="F394" i="6"/>
  <c r="K393" i="6"/>
  <c r="F393" i="6"/>
  <c r="K392" i="6"/>
  <c r="F392" i="6"/>
  <c r="K391" i="6"/>
  <c r="F391" i="6"/>
  <c r="L391" i="6"/>
  <c r="K390" i="6"/>
  <c r="F390" i="6"/>
  <c r="L390" i="6" s="1"/>
  <c r="K388" i="6"/>
  <c r="F388" i="6"/>
  <c r="K387" i="6"/>
  <c r="F387" i="6"/>
  <c r="L387" i="6"/>
  <c r="K386" i="6"/>
  <c r="F386" i="6"/>
  <c r="K385" i="6"/>
  <c r="F385" i="6"/>
  <c r="L385" i="6" s="1"/>
  <c r="S386" i="6"/>
  <c r="X386" i="6"/>
  <c r="W415" i="6"/>
  <c r="V415" i="6"/>
  <c r="U415" i="6"/>
  <c r="T415" i="6"/>
  <c r="R415" i="6"/>
  <c r="Q415" i="6"/>
  <c r="P415" i="6"/>
  <c r="O415" i="6"/>
  <c r="X407" i="6"/>
  <c r="S407" i="6"/>
  <c r="X406" i="6"/>
  <c r="S406" i="6"/>
  <c r="X405" i="6"/>
  <c r="S405" i="6"/>
  <c r="X404" i="6"/>
  <c r="Y404" i="6" s="1"/>
  <c r="S404" i="6"/>
  <c r="X402" i="6"/>
  <c r="S402" i="6"/>
  <c r="X401" i="6"/>
  <c r="S401" i="6"/>
  <c r="Y401" i="6" s="1"/>
  <c r="X400" i="6"/>
  <c r="S400" i="6"/>
  <c r="Y400" i="6" s="1"/>
  <c r="X399" i="6"/>
  <c r="S399" i="6"/>
  <c r="Y399" i="6"/>
  <c r="X398" i="6"/>
  <c r="S398" i="6"/>
  <c r="X397" i="6"/>
  <c r="S397" i="6"/>
  <c r="X396" i="6"/>
  <c r="S396" i="6"/>
  <c r="X395" i="6"/>
  <c r="S395" i="6"/>
  <c r="Y395" i="6" s="1"/>
  <c r="X394" i="6"/>
  <c r="S394" i="6"/>
  <c r="X393" i="6"/>
  <c r="Y393" i="6" s="1"/>
  <c r="S393" i="6"/>
  <c r="X392" i="6"/>
  <c r="S392" i="6"/>
  <c r="Y392" i="6"/>
  <c r="X391" i="6"/>
  <c r="S391" i="6"/>
  <c r="X390" i="6"/>
  <c r="S390" i="6"/>
  <c r="X388" i="6"/>
  <c r="S388" i="6"/>
  <c r="X385" i="6"/>
  <c r="S385" i="6"/>
  <c r="S272" i="1"/>
  <c r="Y272" i="1" s="1"/>
  <c r="X272" i="1"/>
  <c r="X310" i="1"/>
  <c r="S310" i="1"/>
  <c r="S337" i="1"/>
  <c r="X337" i="1"/>
  <c r="X338" i="1"/>
  <c r="S338" i="1"/>
  <c r="F200" i="1"/>
  <c r="K200" i="1"/>
  <c r="K182" i="1"/>
  <c r="F182" i="1"/>
  <c r="L182" i="1" s="1"/>
  <c r="K181" i="1"/>
  <c r="F181" i="1"/>
  <c r="F272" i="6"/>
  <c r="K272" i="6"/>
  <c r="L272" i="6" s="1"/>
  <c r="K261" i="6"/>
  <c r="F261" i="6"/>
  <c r="F276" i="6"/>
  <c r="K276" i="6"/>
  <c r="F277" i="6"/>
  <c r="K277" i="6"/>
  <c r="L277" i="6" s="1"/>
  <c r="K260" i="6"/>
  <c r="F260" i="6"/>
  <c r="K259" i="6"/>
  <c r="F259" i="6"/>
  <c r="L259" i="6" s="1"/>
  <c r="X171" i="1"/>
  <c r="S171" i="1"/>
  <c r="Y171" i="1" s="1"/>
  <c r="X183" i="1"/>
  <c r="S183" i="1"/>
  <c r="X184" i="1"/>
  <c r="S184" i="1"/>
  <c r="X182" i="1"/>
  <c r="Y182" i="1" s="1"/>
  <c r="S182" i="1"/>
  <c r="X181" i="1"/>
  <c r="S181" i="1"/>
  <c r="Y181" i="1" s="1"/>
  <c r="X180" i="1"/>
  <c r="S180" i="1"/>
  <c r="X179" i="1"/>
  <c r="S179" i="1"/>
  <c r="S295" i="6"/>
  <c r="X295" i="6"/>
  <c r="X296" i="6"/>
  <c r="S296" i="6"/>
  <c r="X260" i="6"/>
  <c r="S260" i="6"/>
  <c r="X259" i="6"/>
  <c r="Y259" i="6" s="1"/>
  <c r="S259" i="6"/>
  <c r="X240" i="6"/>
  <c r="S240" i="6"/>
  <c r="X166" i="1"/>
  <c r="S166" i="1"/>
  <c r="S214" i="6"/>
  <c r="X214" i="6"/>
  <c r="Y214" i="6"/>
  <c r="S215" i="6"/>
  <c r="Y215" i="6" s="1"/>
  <c r="X215" i="6"/>
  <c r="Y239" i="6"/>
  <c r="X239" i="6"/>
  <c r="S239" i="6"/>
  <c r="X238" i="6"/>
  <c r="Y238" i="6" s="1"/>
  <c r="S238" i="6"/>
  <c r="X121" i="1"/>
  <c r="S121" i="1"/>
  <c r="X122" i="1"/>
  <c r="S122" i="1"/>
  <c r="Y122" i="1" s="1"/>
  <c r="W120" i="1"/>
  <c r="V120" i="1"/>
  <c r="T120" i="1"/>
  <c r="X120" i="1" s="1"/>
  <c r="S120" i="1"/>
  <c r="W119" i="1"/>
  <c r="V119" i="1"/>
  <c r="U119" i="1"/>
  <c r="T119" i="1"/>
  <c r="S119" i="1"/>
  <c r="X83" i="1"/>
  <c r="Y83" i="1" s="1"/>
  <c r="S83" i="1"/>
  <c r="X82" i="1"/>
  <c r="Y82" i="1" s="1"/>
  <c r="S82" i="1"/>
  <c r="X197" i="6"/>
  <c r="S197" i="6"/>
  <c r="X196" i="6"/>
  <c r="R196" i="6"/>
  <c r="O196" i="6"/>
  <c r="X195" i="6"/>
  <c r="R195" i="6"/>
  <c r="Q195" i="6"/>
  <c r="P195" i="6"/>
  <c r="O195" i="6"/>
  <c r="X213" i="6"/>
  <c r="S213" i="6"/>
  <c r="X135" i="1"/>
  <c r="Y135" i="1" s="1"/>
  <c r="S135" i="1"/>
  <c r="F220" i="6"/>
  <c r="K220" i="6"/>
  <c r="L220" i="6"/>
  <c r="X212" i="6"/>
  <c r="Y212" i="6" s="1"/>
  <c r="S212" i="6"/>
  <c r="S163" i="1"/>
  <c r="X163" i="1"/>
  <c r="X134" i="1"/>
  <c r="S134" i="1"/>
  <c r="Y134" i="1" s="1"/>
  <c r="F166" i="1"/>
  <c r="K166" i="1"/>
  <c r="X162" i="1"/>
  <c r="S162" i="1"/>
  <c r="Y162" i="1" s="1"/>
  <c r="X133" i="1"/>
  <c r="S133" i="1"/>
  <c r="S293" i="6"/>
  <c r="Y293" i="6" s="1"/>
  <c r="X293" i="6"/>
  <c r="S294" i="6"/>
  <c r="X294" i="6"/>
  <c r="S299" i="6"/>
  <c r="Y299" i="6" s="1"/>
  <c r="X299" i="6"/>
  <c r="S300" i="6"/>
  <c r="X300" i="6"/>
  <c r="X261" i="1"/>
  <c r="S261" i="1"/>
  <c r="F145" i="1"/>
  <c r="K145" i="1"/>
  <c r="L145" i="1" s="1"/>
  <c r="X132" i="1"/>
  <c r="S132" i="1"/>
  <c r="Y132" i="1" s="1"/>
  <c r="X131" i="1"/>
  <c r="S131" i="1"/>
  <c r="Y131" i="1" s="1"/>
  <c r="X208" i="6"/>
  <c r="S208" i="6"/>
  <c r="X207" i="6"/>
  <c r="S207" i="6"/>
  <c r="Y207" i="6" s="1"/>
  <c r="V263" i="6"/>
  <c r="X261" i="6"/>
  <c r="D211" i="6"/>
  <c r="X81" i="1"/>
  <c r="Y81" i="1" s="1"/>
  <c r="S81" i="1"/>
  <c r="X203" i="6"/>
  <c r="S203" i="6"/>
  <c r="Y203" i="6"/>
  <c r="X127" i="1"/>
  <c r="S127" i="1"/>
  <c r="Y127" i="1" s="1"/>
  <c r="S186" i="6"/>
  <c r="Y186" i="6" s="1"/>
  <c r="X172" i="6"/>
  <c r="S172" i="6"/>
  <c r="W225" i="6"/>
  <c r="V225" i="6"/>
  <c r="X222" i="6"/>
  <c r="S222" i="6"/>
  <c r="Q225" i="6"/>
  <c r="J377" i="1"/>
  <c r="I377" i="1"/>
  <c r="H377" i="1"/>
  <c r="G377" i="1"/>
  <c r="E377" i="1"/>
  <c r="D377" i="1"/>
  <c r="C377" i="1"/>
  <c r="B377" i="1"/>
  <c r="K376" i="1"/>
  <c r="F376" i="1"/>
  <c r="K375" i="1"/>
  <c r="F375" i="1"/>
  <c r="L375" i="1" s="1"/>
  <c r="K374" i="1"/>
  <c r="F374" i="1"/>
  <c r="K373" i="1"/>
  <c r="F373" i="1"/>
  <c r="L373" i="1" s="1"/>
  <c r="K372" i="1"/>
  <c r="F372" i="1"/>
  <c r="K371" i="1"/>
  <c r="F371" i="1"/>
  <c r="K370" i="1"/>
  <c r="F370" i="1"/>
  <c r="K369" i="1"/>
  <c r="F369" i="1"/>
  <c r="L369" i="1" s="1"/>
  <c r="K368" i="1"/>
  <c r="F368" i="1"/>
  <c r="K367" i="1"/>
  <c r="L367" i="1" s="1"/>
  <c r="F367" i="1"/>
  <c r="K366" i="1"/>
  <c r="F366" i="1"/>
  <c r="K365" i="1"/>
  <c r="L365" i="1" s="1"/>
  <c r="F365" i="1"/>
  <c r="K364" i="1"/>
  <c r="F364" i="1"/>
  <c r="K363" i="1"/>
  <c r="L363" i="1" s="1"/>
  <c r="F363" i="1"/>
  <c r="K362" i="1"/>
  <c r="F362" i="1"/>
  <c r="K361" i="1"/>
  <c r="F361" i="1"/>
  <c r="K360" i="1"/>
  <c r="L360" i="1" s="1"/>
  <c r="F360" i="1"/>
  <c r="K359" i="1"/>
  <c r="L359" i="1" s="1"/>
  <c r="F359" i="1"/>
  <c r="K358" i="1"/>
  <c r="L358" i="1" s="1"/>
  <c r="F358" i="1"/>
  <c r="K357" i="1"/>
  <c r="L357" i="1" s="1"/>
  <c r="F357" i="1"/>
  <c r="K356" i="1"/>
  <c r="F356" i="1"/>
  <c r="K355" i="1"/>
  <c r="L355" i="1" s="1"/>
  <c r="F355" i="1"/>
  <c r="K354" i="1"/>
  <c r="F354" i="1"/>
  <c r="K353" i="1"/>
  <c r="L353" i="1" s="1"/>
  <c r="F353" i="1"/>
  <c r="K352" i="1"/>
  <c r="F352" i="1"/>
  <c r="L352" i="1"/>
  <c r="K350" i="1"/>
  <c r="F350" i="1"/>
  <c r="L350" i="1" s="1"/>
  <c r="K349" i="1"/>
  <c r="F349" i="1"/>
  <c r="L349" i="1" s="1"/>
  <c r="K348" i="1"/>
  <c r="F348" i="1"/>
  <c r="K347" i="1"/>
  <c r="F347" i="1"/>
  <c r="L347" i="1" s="1"/>
  <c r="W339" i="1"/>
  <c r="V339" i="1"/>
  <c r="U339" i="1"/>
  <c r="T339" i="1"/>
  <c r="X339" i="1" s="1"/>
  <c r="R339" i="1"/>
  <c r="Q339" i="1"/>
  <c r="P339" i="1"/>
  <c r="O339" i="1"/>
  <c r="S339" i="1" s="1"/>
  <c r="Y339" i="1" s="1"/>
  <c r="X328" i="1"/>
  <c r="S328" i="1"/>
  <c r="Y328" i="1" s="1"/>
  <c r="X327" i="1"/>
  <c r="S327" i="1"/>
  <c r="Y327" i="1" s="1"/>
  <c r="X326" i="1"/>
  <c r="S326" i="1"/>
  <c r="X325" i="1"/>
  <c r="S325" i="1"/>
  <c r="Y325" i="1" s="1"/>
  <c r="X321" i="1"/>
  <c r="S321" i="1"/>
  <c r="X320" i="1"/>
  <c r="S320" i="1"/>
  <c r="Y320" i="1" s="1"/>
  <c r="X318" i="1"/>
  <c r="S318" i="1"/>
  <c r="X317" i="1"/>
  <c r="S317" i="1"/>
  <c r="X316" i="1"/>
  <c r="Y316" i="1" s="1"/>
  <c r="S316" i="1"/>
  <c r="X315" i="1"/>
  <c r="Y315" i="1" s="1"/>
  <c r="S315" i="1"/>
  <c r="X311" i="1"/>
  <c r="S311" i="1"/>
  <c r="Y311" i="1" s="1"/>
  <c r="X309" i="1"/>
  <c r="S309" i="1"/>
  <c r="V301" i="1"/>
  <c r="R301" i="1"/>
  <c r="Q301" i="1"/>
  <c r="P301" i="1"/>
  <c r="O301" i="1"/>
  <c r="S300" i="1"/>
  <c r="Y300" i="1" s="1"/>
  <c r="X296" i="1"/>
  <c r="S296" i="1"/>
  <c r="Y296" i="1" s="1"/>
  <c r="X295" i="1"/>
  <c r="S295" i="1"/>
  <c r="Y295" i="1" s="1"/>
  <c r="X294" i="1"/>
  <c r="S294" i="1"/>
  <c r="X293" i="1"/>
  <c r="S293" i="1"/>
  <c r="X292" i="1"/>
  <c r="S292" i="1"/>
  <c r="X291" i="1"/>
  <c r="S291" i="1"/>
  <c r="X290" i="1"/>
  <c r="S290" i="1"/>
  <c r="Y290" i="1" s="1"/>
  <c r="X289" i="1"/>
  <c r="S289" i="1"/>
  <c r="Y289" i="1" s="1"/>
  <c r="X288" i="1"/>
  <c r="S288" i="1"/>
  <c r="X287" i="1"/>
  <c r="S287" i="1"/>
  <c r="Y287" i="1" s="1"/>
  <c r="X286" i="1"/>
  <c r="S286" i="1"/>
  <c r="Y286" i="1" s="1"/>
  <c r="X285" i="1"/>
  <c r="S285" i="1"/>
  <c r="Y285" i="1" s="1"/>
  <c r="X284" i="1"/>
  <c r="S284" i="1"/>
  <c r="Y284" i="1" s="1"/>
  <c r="X283" i="1"/>
  <c r="S283" i="1"/>
  <c r="Y283" i="1" s="1"/>
  <c r="X282" i="1"/>
  <c r="S282" i="1"/>
  <c r="X281" i="1"/>
  <c r="S281" i="1"/>
  <c r="X278" i="1"/>
  <c r="S278" i="1"/>
  <c r="Y278" i="1" s="1"/>
  <c r="X274" i="1"/>
  <c r="S274" i="1"/>
  <c r="Y274" i="1" s="1"/>
  <c r="X273" i="1"/>
  <c r="S273" i="1"/>
  <c r="Y273" i="1" s="1"/>
  <c r="S197" i="1"/>
  <c r="X197" i="1"/>
  <c r="Y197" i="1" s="1"/>
  <c r="X195" i="1"/>
  <c r="S195" i="1"/>
  <c r="X158" i="1"/>
  <c r="S158" i="1"/>
  <c r="S235" i="1"/>
  <c r="X235" i="1"/>
  <c r="S350" i="1"/>
  <c r="X350" i="1"/>
  <c r="Y350" i="1" s="1"/>
  <c r="W377" i="1"/>
  <c r="V377" i="1"/>
  <c r="U377" i="1"/>
  <c r="T377" i="1"/>
  <c r="X377" i="1" s="1"/>
  <c r="X371" i="1"/>
  <c r="S371" i="1"/>
  <c r="Y371" i="1" s="1"/>
  <c r="X370" i="1"/>
  <c r="S370" i="1"/>
  <c r="X369" i="1"/>
  <c r="S369" i="1"/>
  <c r="Y369" i="1" s="1"/>
  <c r="X368" i="1"/>
  <c r="S368" i="1"/>
  <c r="Y368" i="1" s="1"/>
  <c r="X367" i="1"/>
  <c r="S367" i="1"/>
  <c r="X366" i="1"/>
  <c r="S366" i="1"/>
  <c r="Y366" i="1" s="1"/>
  <c r="X365" i="1"/>
  <c r="S365" i="1"/>
  <c r="Y365" i="1" s="1"/>
  <c r="X364" i="1"/>
  <c r="S364" i="1"/>
  <c r="Y364" i="1" s="1"/>
  <c r="X361" i="1"/>
  <c r="S361" i="1"/>
  <c r="Y361" i="1" s="1"/>
  <c r="X360" i="1"/>
  <c r="S360" i="1"/>
  <c r="X359" i="1"/>
  <c r="S359" i="1"/>
  <c r="Y359" i="1" s="1"/>
  <c r="X358" i="1"/>
  <c r="S358" i="1"/>
  <c r="Y358" i="1" s="1"/>
  <c r="X357" i="1"/>
  <c r="S357" i="1"/>
  <c r="Y357" i="1" s="1"/>
  <c r="X356" i="1"/>
  <c r="S356" i="1"/>
  <c r="Y356" i="1" s="1"/>
  <c r="X355" i="1"/>
  <c r="S355" i="1"/>
  <c r="Y355" i="1" s="1"/>
  <c r="X354" i="1"/>
  <c r="S354" i="1"/>
  <c r="Y354" i="1" s="1"/>
  <c r="X353" i="1"/>
  <c r="S353" i="1"/>
  <c r="X347" i="1"/>
  <c r="S347" i="1"/>
  <c r="J339" i="1"/>
  <c r="H339" i="1"/>
  <c r="G339" i="1"/>
  <c r="E339" i="1"/>
  <c r="D339" i="1"/>
  <c r="C339" i="1"/>
  <c r="B339" i="1"/>
  <c r="K338" i="1"/>
  <c r="F338" i="1"/>
  <c r="K337" i="1"/>
  <c r="F337" i="1"/>
  <c r="K336" i="1"/>
  <c r="F336" i="1"/>
  <c r="K335" i="1"/>
  <c r="F335" i="1"/>
  <c r="K334" i="1"/>
  <c r="K333" i="1"/>
  <c r="K332" i="1"/>
  <c r="F332" i="1"/>
  <c r="K331" i="1"/>
  <c r="F331" i="1"/>
  <c r="K330" i="1"/>
  <c r="F330" i="1"/>
  <c r="K329" i="1"/>
  <c r="F329" i="1"/>
  <c r="K328" i="1"/>
  <c r="F328" i="1"/>
  <c r="K327" i="1"/>
  <c r="F327" i="1"/>
  <c r="K326" i="1"/>
  <c r="F326" i="1"/>
  <c r="K325" i="1"/>
  <c r="F325" i="1"/>
  <c r="K324" i="1"/>
  <c r="F324" i="1"/>
  <c r="F323" i="1"/>
  <c r="K322" i="1"/>
  <c r="F322" i="1"/>
  <c r="K321" i="1"/>
  <c r="F321" i="1"/>
  <c r="L321" i="1" s="1"/>
  <c r="K319" i="1"/>
  <c r="F319" i="1"/>
  <c r="K318" i="1"/>
  <c r="F318" i="1"/>
  <c r="L318" i="1" s="1"/>
  <c r="K317" i="1"/>
  <c r="F317" i="1"/>
  <c r="K316" i="1"/>
  <c r="L316" i="1"/>
  <c r="F316" i="1"/>
  <c r="K315" i="1"/>
  <c r="F315" i="1"/>
  <c r="K314" i="1"/>
  <c r="L314" i="1" s="1"/>
  <c r="F314" i="1"/>
  <c r="K312" i="1"/>
  <c r="F312" i="1"/>
  <c r="K311" i="1"/>
  <c r="F311" i="1"/>
  <c r="K310" i="1"/>
  <c r="L310" i="1" s="1"/>
  <c r="F310" i="1"/>
  <c r="K309" i="1"/>
  <c r="L309" i="1" s="1"/>
  <c r="F309" i="1"/>
  <c r="J377" i="6"/>
  <c r="I377" i="6"/>
  <c r="H377" i="6"/>
  <c r="K377" i="6" s="1"/>
  <c r="G377" i="6"/>
  <c r="E377" i="6"/>
  <c r="D377" i="6"/>
  <c r="C377" i="6"/>
  <c r="B377" i="6"/>
  <c r="K376" i="6"/>
  <c r="F376" i="6"/>
  <c r="L376" i="6"/>
  <c r="K375" i="6"/>
  <c r="F375" i="6"/>
  <c r="K374" i="6"/>
  <c r="F374" i="6"/>
  <c r="K373" i="6"/>
  <c r="F373" i="6"/>
  <c r="K372" i="6"/>
  <c r="F372" i="6"/>
  <c r="K371" i="6"/>
  <c r="F371" i="6"/>
  <c r="K370" i="6"/>
  <c r="F370" i="6"/>
  <c r="L370" i="6" s="1"/>
  <c r="K369" i="6"/>
  <c r="F369" i="6"/>
  <c r="K368" i="6"/>
  <c r="F368" i="6"/>
  <c r="L368" i="6" s="1"/>
  <c r="K367" i="6"/>
  <c r="F367" i="6"/>
  <c r="K365" i="6"/>
  <c r="L365" i="6"/>
  <c r="F365" i="6"/>
  <c r="K364" i="6"/>
  <c r="F364" i="6"/>
  <c r="L364" i="6"/>
  <c r="K363" i="6"/>
  <c r="F363" i="6"/>
  <c r="K362" i="6"/>
  <c r="F362" i="6"/>
  <c r="L362" i="6" s="1"/>
  <c r="K361" i="6"/>
  <c r="F361" i="6"/>
  <c r="L361" i="6" s="1"/>
  <c r="K360" i="6"/>
  <c r="L360" i="6" s="1"/>
  <c r="F360" i="6"/>
  <c r="K359" i="6"/>
  <c r="F359" i="6"/>
  <c r="K358" i="6"/>
  <c r="F358" i="6"/>
  <c r="K357" i="6"/>
  <c r="L357" i="6"/>
  <c r="F357" i="6"/>
  <c r="K356" i="6"/>
  <c r="F356" i="6"/>
  <c r="L356" i="6"/>
  <c r="K355" i="6"/>
  <c r="F355" i="6"/>
  <c r="K354" i="6"/>
  <c r="F354" i="6"/>
  <c r="L354" i="6" s="1"/>
  <c r="K353" i="6"/>
  <c r="F353" i="6"/>
  <c r="L353" i="6" s="1"/>
  <c r="K350" i="6"/>
  <c r="F350" i="6"/>
  <c r="L350" i="6"/>
  <c r="K349" i="6"/>
  <c r="L349" i="6" s="1"/>
  <c r="F349" i="6"/>
  <c r="K348" i="6"/>
  <c r="F348" i="6"/>
  <c r="L348" i="6" s="1"/>
  <c r="W377" i="6"/>
  <c r="V377" i="6"/>
  <c r="U377" i="6"/>
  <c r="T377" i="6"/>
  <c r="X377" i="6" s="1"/>
  <c r="Q377" i="6"/>
  <c r="P377" i="6"/>
  <c r="O377" i="6"/>
  <c r="X372" i="6"/>
  <c r="S372" i="6"/>
  <c r="X371" i="6"/>
  <c r="S371" i="6"/>
  <c r="Y371" i="6" s="1"/>
  <c r="X370" i="6"/>
  <c r="S370" i="6"/>
  <c r="Y370" i="6"/>
  <c r="X369" i="6"/>
  <c r="S369" i="6"/>
  <c r="Y369" i="6"/>
  <c r="X368" i="6"/>
  <c r="Y368" i="6" s="1"/>
  <c r="S368" i="6"/>
  <c r="X367" i="6"/>
  <c r="S367" i="6"/>
  <c r="Y367" i="6"/>
  <c r="X366" i="6"/>
  <c r="S366" i="6"/>
  <c r="Y366" i="6" s="1"/>
  <c r="X365" i="6"/>
  <c r="S365" i="6"/>
  <c r="Y365" i="6" s="1"/>
  <c r="X364" i="6"/>
  <c r="S364" i="6"/>
  <c r="Y364" i="6" s="1"/>
  <c r="X363" i="6"/>
  <c r="S363" i="6"/>
  <c r="X362" i="6"/>
  <c r="S362" i="6"/>
  <c r="Y362" i="6" s="1"/>
  <c r="X361" i="6"/>
  <c r="S361" i="6"/>
  <c r="Y361" i="6" s="1"/>
  <c r="X360" i="6"/>
  <c r="S360" i="6"/>
  <c r="X359" i="6"/>
  <c r="S359" i="6"/>
  <c r="Y359" i="6" s="1"/>
  <c r="X357" i="6"/>
  <c r="S357" i="6"/>
  <c r="Y357" i="6" s="1"/>
  <c r="X356" i="6"/>
  <c r="S356" i="6"/>
  <c r="X350" i="6"/>
  <c r="S350" i="6"/>
  <c r="S347" i="6"/>
  <c r="X186" i="6"/>
  <c r="X184" i="6"/>
  <c r="Y184" i="6" s="1"/>
  <c r="S184" i="6"/>
  <c r="X185" i="6"/>
  <c r="S185" i="6"/>
  <c r="F127" i="1"/>
  <c r="K127" i="1"/>
  <c r="X125" i="1"/>
  <c r="Y125" i="1" s="1"/>
  <c r="S125" i="1"/>
  <c r="X171" i="6"/>
  <c r="S171" i="6"/>
  <c r="Y171" i="6" s="1"/>
  <c r="X292" i="6"/>
  <c r="Y292" i="6" s="1"/>
  <c r="S292" i="6"/>
  <c r="S198" i="1"/>
  <c r="X198" i="1"/>
  <c r="S170" i="6"/>
  <c r="X170" i="6"/>
  <c r="X169" i="6"/>
  <c r="S169" i="6"/>
  <c r="X200" i="6"/>
  <c r="Y200" i="6" s="1"/>
  <c r="S200" i="6"/>
  <c r="X99" i="1"/>
  <c r="S99" i="1"/>
  <c r="S256" i="6"/>
  <c r="Y256" i="6" s="1"/>
  <c r="X256" i="6"/>
  <c r="S257" i="6"/>
  <c r="X257" i="6"/>
  <c r="Y257" i="6" s="1"/>
  <c r="X98" i="1"/>
  <c r="S98" i="1"/>
  <c r="K103" i="1"/>
  <c r="K104" i="1"/>
  <c r="K105" i="1"/>
  <c r="X168" i="6"/>
  <c r="S168" i="6"/>
  <c r="F174" i="6"/>
  <c r="L174" i="6" s="1"/>
  <c r="K174" i="6"/>
  <c r="F186" i="6"/>
  <c r="K186" i="6"/>
  <c r="X167" i="6"/>
  <c r="S167" i="6"/>
  <c r="K172" i="6"/>
  <c r="F172" i="6"/>
  <c r="L172" i="6" s="1"/>
  <c r="J301" i="1"/>
  <c r="I301" i="1"/>
  <c r="H301" i="1"/>
  <c r="G301" i="1"/>
  <c r="E301" i="1"/>
  <c r="D301" i="1"/>
  <c r="F301" i="1" s="1"/>
  <c r="C301" i="1"/>
  <c r="B301" i="1"/>
  <c r="K300" i="1"/>
  <c r="F300" i="1"/>
  <c r="K299" i="1"/>
  <c r="F299" i="1"/>
  <c r="K298" i="1"/>
  <c r="F298" i="1"/>
  <c r="K297" i="1"/>
  <c r="F297" i="1"/>
  <c r="K296" i="1"/>
  <c r="F296" i="1"/>
  <c r="K295" i="1"/>
  <c r="F295" i="1"/>
  <c r="K294" i="1"/>
  <c r="F294" i="1"/>
  <c r="K293" i="1"/>
  <c r="F293" i="1"/>
  <c r="K292" i="1"/>
  <c r="F292" i="1"/>
  <c r="K291" i="1"/>
  <c r="F291" i="1"/>
  <c r="L291" i="1" s="1"/>
  <c r="K290" i="1"/>
  <c r="F290" i="1"/>
  <c r="K289" i="1"/>
  <c r="F289" i="1"/>
  <c r="K288" i="1"/>
  <c r="F288" i="1"/>
  <c r="K287" i="1"/>
  <c r="F287" i="1"/>
  <c r="K286" i="1"/>
  <c r="F286" i="1"/>
  <c r="K285" i="1"/>
  <c r="F285" i="1"/>
  <c r="K284" i="1"/>
  <c r="F284" i="1"/>
  <c r="K283" i="1"/>
  <c r="F283" i="1"/>
  <c r="K282" i="1"/>
  <c r="F282" i="1"/>
  <c r="K281" i="1"/>
  <c r="F281" i="1"/>
  <c r="K280" i="1"/>
  <c r="F280" i="1"/>
  <c r="K279" i="1"/>
  <c r="F279" i="1"/>
  <c r="K278" i="1"/>
  <c r="F278" i="1"/>
  <c r="K277" i="1"/>
  <c r="F277" i="1"/>
  <c r="K276" i="1"/>
  <c r="F276" i="1"/>
  <c r="K274" i="1"/>
  <c r="F274" i="1"/>
  <c r="K273" i="1"/>
  <c r="F273" i="1"/>
  <c r="K272" i="1"/>
  <c r="F272" i="1"/>
  <c r="S146" i="1"/>
  <c r="X146" i="1"/>
  <c r="S144" i="1"/>
  <c r="X144" i="1"/>
  <c r="S145" i="1"/>
  <c r="X145" i="1"/>
  <c r="O149" i="1"/>
  <c r="S147" i="1"/>
  <c r="X147" i="1"/>
  <c r="W149" i="1"/>
  <c r="P149" i="1"/>
  <c r="X148" i="1"/>
  <c r="V187" i="1"/>
  <c r="X186" i="1"/>
  <c r="S186" i="1"/>
  <c r="X185" i="1"/>
  <c r="S185" i="1"/>
  <c r="S200" i="1"/>
  <c r="X200" i="1"/>
  <c r="S201" i="1"/>
  <c r="X201" i="1"/>
  <c r="Y201" i="1"/>
  <c r="S202" i="1"/>
  <c r="X202" i="1"/>
  <c r="Y202" i="1" s="1"/>
  <c r="S204" i="1"/>
  <c r="X204" i="1"/>
  <c r="S205" i="1"/>
  <c r="X205" i="1"/>
  <c r="Y205" i="1" s="1"/>
  <c r="S207" i="1"/>
  <c r="X207" i="1"/>
  <c r="Y207" i="1" s="1"/>
  <c r="S208" i="1"/>
  <c r="X208" i="1"/>
  <c r="S209" i="1"/>
  <c r="X209" i="1"/>
  <c r="Y209" i="1" s="1"/>
  <c r="S213" i="1"/>
  <c r="X213" i="1"/>
  <c r="S215" i="1"/>
  <c r="X215" i="1"/>
  <c r="S217" i="1"/>
  <c r="X217" i="1"/>
  <c r="S218" i="1"/>
  <c r="X218" i="1"/>
  <c r="P225" i="1"/>
  <c r="S234" i="1"/>
  <c r="X234" i="1"/>
  <c r="S236" i="1"/>
  <c r="X236" i="1"/>
  <c r="S241" i="1"/>
  <c r="X241" i="1"/>
  <c r="Y241" i="1"/>
  <c r="S243" i="1"/>
  <c r="X243" i="1"/>
  <c r="S246" i="1"/>
  <c r="X246" i="1"/>
  <c r="Y246" i="1" s="1"/>
  <c r="S247" i="1"/>
  <c r="X247" i="1"/>
  <c r="S248" i="1"/>
  <c r="X248" i="1"/>
  <c r="S250" i="1"/>
  <c r="X250" i="1"/>
  <c r="S251" i="1"/>
  <c r="X251" i="1"/>
  <c r="S252" i="1"/>
  <c r="X252" i="1"/>
  <c r="S254" i="1"/>
  <c r="X254" i="1"/>
  <c r="S255" i="1"/>
  <c r="X255" i="1"/>
  <c r="S256" i="1"/>
  <c r="X256" i="1"/>
  <c r="S262" i="1"/>
  <c r="X262" i="1"/>
  <c r="O263" i="1"/>
  <c r="T263" i="1"/>
  <c r="V263" i="1"/>
  <c r="W263" i="1"/>
  <c r="J339" i="6"/>
  <c r="I339" i="6"/>
  <c r="H339" i="6"/>
  <c r="K339" i="6" s="1"/>
  <c r="G339" i="6"/>
  <c r="E339" i="6"/>
  <c r="C339" i="6"/>
  <c r="B339" i="6"/>
  <c r="K338" i="6"/>
  <c r="F338" i="6"/>
  <c r="L338" i="6" s="1"/>
  <c r="K337" i="6"/>
  <c r="F337" i="6"/>
  <c r="L337" i="6" s="1"/>
  <c r="K336" i="6"/>
  <c r="F336" i="6"/>
  <c r="L336" i="6" s="1"/>
  <c r="K335" i="6"/>
  <c r="F335" i="6"/>
  <c r="L335" i="6"/>
  <c r="K334" i="6"/>
  <c r="L334" i="6" s="1"/>
  <c r="F334" i="6"/>
  <c r="K333" i="6"/>
  <c r="F333" i="6"/>
  <c r="L333" i="6" s="1"/>
  <c r="K332" i="6"/>
  <c r="F332" i="6"/>
  <c r="L332" i="6"/>
  <c r="K331" i="6"/>
  <c r="F331" i="6"/>
  <c r="L331" i="6" s="1"/>
  <c r="K330" i="6"/>
  <c r="K329" i="6"/>
  <c r="F329" i="6"/>
  <c r="L329" i="6" s="1"/>
  <c r="K328" i="6"/>
  <c r="F328" i="6"/>
  <c r="L328" i="6" s="1"/>
  <c r="K327" i="6"/>
  <c r="F327" i="6"/>
  <c r="K326" i="6"/>
  <c r="F326" i="6"/>
  <c r="L326" i="6" s="1"/>
  <c r="K325" i="6"/>
  <c r="F325" i="6"/>
  <c r="K324" i="6"/>
  <c r="F324" i="6"/>
  <c r="L324" i="6" s="1"/>
  <c r="K315" i="6"/>
  <c r="F315" i="6"/>
  <c r="K314" i="6"/>
  <c r="F314" i="6"/>
  <c r="L314" i="6" s="1"/>
  <c r="K309" i="6"/>
  <c r="F309" i="6"/>
  <c r="S221" i="6"/>
  <c r="X221" i="6"/>
  <c r="S183" i="6"/>
  <c r="Y183" i="6" s="1"/>
  <c r="X183" i="6"/>
  <c r="X224" i="6"/>
  <c r="Y224" i="6" s="1"/>
  <c r="S224" i="6"/>
  <c r="X223" i="6"/>
  <c r="S223" i="6"/>
  <c r="Y223" i="6"/>
  <c r="P225" i="6"/>
  <c r="S198" i="6"/>
  <c r="X198" i="6"/>
  <c r="S218" i="6"/>
  <c r="Y218" i="6" s="1"/>
  <c r="X218" i="6"/>
  <c r="S219" i="6"/>
  <c r="X219" i="6"/>
  <c r="Y219" i="6" s="1"/>
  <c r="S220" i="6"/>
  <c r="X220" i="6"/>
  <c r="Y220" i="6"/>
  <c r="S233" i="6"/>
  <c r="Y233" i="6" s="1"/>
  <c r="X233" i="6"/>
  <c r="S236" i="6"/>
  <c r="X236" i="6"/>
  <c r="S241" i="6"/>
  <c r="X241" i="6"/>
  <c r="S242" i="6"/>
  <c r="X242" i="6"/>
  <c r="S243" i="6"/>
  <c r="X243" i="6"/>
  <c r="S244" i="6"/>
  <c r="Y244" i="6" s="1"/>
  <c r="X244" i="6"/>
  <c r="S245" i="6"/>
  <c r="X245" i="6"/>
  <c r="Y245" i="6" s="1"/>
  <c r="S246" i="6"/>
  <c r="X246" i="6"/>
  <c r="S247" i="6"/>
  <c r="X247" i="6"/>
  <c r="Y247" i="6" s="1"/>
  <c r="S249" i="6"/>
  <c r="X249" i="6"/>
  <c r="S250" i="6"/>
  <c r="X250" i="6"/>
  <c r="Y250" i="6" s="1"/>
  <c r="S251" i="6"/>
  <c r="X251" i="6"/>
  <c r="S252" i="6"/>
  <c r="X252" i="6"/>
  <c r="S253" i="6"/>
  <c r="X253" i="6"/>
  <c r="Y253" i="6" s="1"/>
  <c r="S254" i="6"/>
  <c r="X254" i="6"/>
  <c r="S255" i="6"/>
  <c r="X255" i="6"/>
  <c r="Y255" i="6" s="1"/>
  <c r="S258" i="6"/>
  <c r="X258" i="6"/>
  <c r="R263" i="6"/>
  <c r="S261" i="6"/>
  <c r="Y261" i="6" s="1"/>
  <c r="S262" i="6"/>
  <c r="X262" i="6"/>
  <c r="O263" i="6"/>
  <c r="P263" i="6"/>
  <c r="S263" i="6" s="1"/>
  <c r="Q263" i="6"/>
  <c r="U263" i="6"/>
  <c r="W263" i="6"/>
  <c r="S277" i="6"/>
  <c r="Y277" i="6" s="1"/>
  <c r="X277" i="6"/>
  <c r="S278" i="6"/>
  <c r="X278" i="6"/>
  <c r="S279" i="6"/>
  <c r="X279" i="6"/>
  <c r="S280" i="6"/>
  <c r="X280" i="6"/>
  <c r="Y280" i="6" s="1"/>
  <c r="S281" i="6"/>
  <c r="X281" i="6"/>
  <c r="Y281" i="6"/>
  <c r="S282" i="6"/>
  <c r="Y282" i="6" s="1"/>
  <c r="X282" i="6"/>
  <c r="S283" i="6"/>
  <c r="X283" i="6"/>
  <c r="Y283" i="6" s="1"/>
  <c r="S286" i="6"/>
  <c r="Y286" i="6" s="1"/>
  <c r="X286" i="6"/>
  <c r="S287" i="6"/>
  <c r="Y287" i="6" s="1"/>
  <c r="X287" i="6"/>
  <c r="S289" i="6"/>
  <c r="X289" i="6"/>
  <c r="Y289" i="6"/>
  <c r="S290" i="6"/>
  <c r="X290" i="6"/>
  <c r="S291" i="6"/>
  <c r="X291" i="6"/>
  <c r="Y291" i="6" s="1"/>
  <c r="O301" i="6"/>
  <c r="P301" i="6"/>
  <c r="Q301" i="6"/>
  <c r="R301" i="6"/>
  <c r="S301" i="6" s="1"/>
  <c r="T301" i="6"/>
  <c r="U301" i="6"/>
  <c r="V301" i="6"/>
  <c r="W301" i="6"/>
  <c r="S310" i="6"/>
  <c r="X310" i="6"/>
  <c r="S314" i="6"/>
  <c r="Y314" i="6"/>
  <c r="X314" i="6"/>
  <c r="S315" i="6"/>
  <c r="X315" i="6"/>
  <c r="Y315" i="6"/>
  <c r="S316" i="6"/>
  <c r="Y316" i="6" s="1"/>
  <c r="X316" i="6"/>
  <c r="S317" i="6"/>
  <c r="Y317" i="6" s="1"/>
  <c r="X317" i="6"/>
  <c r="S320" i="6"/>
  <c r="X320" i="6"/>
  <c r="S321" i="6"/>
  <c r="Y321" i="6" s="1"/>
  <c r="X321" i="6"/>
  <c r="S322" i="6"/>
  <c r="X322" i="6"/>
  <c r="Y322" i="6" s="1"/>
  <c r="S324" i="6"/>
  <c r="X324" i="6"/>
  <c r="S325" i="6"/>
  <c r="X325" i="6"/>
  <c r="S326" i="6"/>
  <c r="X326" i="6"/>
  <c r="S328" i="6"/>
  <c r="X328" i="6"/>
  <c r="S329" i="6"/>
  <c r="X329" i="6"/>
  <c r="S330" i="6"/>
  <c r="Y330" i="6"/>
  <c r="X330" i="6"/>
  <c r="S331" i="6"/>
  <c r="X331" i="6"/>
  <c r="Y331" i="6" s="1"/>
  <c r="O339" i="6"/>
  <c r="Q339" i="6"/>
  <c r="R339" i="6"/>
  <c r="U339" i="6"/>
  <c r="X339" i="6" s="1"/>
  <c r="Y339" i="6" s="1"/>
  <c r="W339" i="6"/>
  <c r="S160" i="6"/>
  <c r="S159" i="6"/>
  <c r="X159" i="6"/>
  <c r="Y159" i="6" s="1"/>
  <c r="X160" i="6"/>
  <c r="X166" i="6"/>
  <c r="S166" i="6"/>
  <c r="Y166" i="6"/>
  <c r="X97" i="1"/>
  <c r="S97" i="1"/>
  <c r="C167" i="6"/>
  <c r="X164" i="6"/>
  <c r="Y164" i="6" s="1"/>
  <c r="S164" i="6"/>
  <c r="X95" i="1"/>
  <c r="S95" i="1"/>
  <c r="F166" i="6"/>
  <c r="L166" i="6" s="1"/>
  <c r="K166" i="6"/>
  <c r="X163" i="6"/>
  <c r="S163" i="6"/>
  <c r="Y163" i="6" s="1"/>
  <c r="C94" i="1"/>
  <c r="X91" i="1"/>
  <c r="S91" i="1"/>
  <c r="J301" i="6"/>
  <c r="K301" i="6" s="1"/>
  <c r="I301" i="6"/>
  <c r="H301" i="6"/>
  <c r="G301" i="6"/>
  <c r="E301" i="6"/>
  <c r="F301" i="6" s="1"/>
  <c r="D301" i="6"/>
  <c r="C301" i="6"/>
  <c r="B301" i="6"/>
  <c r="K300" i="6"/>
  <c r="L300" i="6" s="1"/>
  <c r="F300" i="6"/>
  <c r="K299" i="6"/>
  <c r="F299" i="6"/>
  <c r="K298" i="6"/>
  <c r="L298" i="6" s="1"/>
  <c r="F298" i="6"/>
  <c r="K296" i="6"/>
  <c r="F296" i="6"/>
  <c r="K295" i="6"/>
  <c r="L295" i="6" s="1"/>
  <c r="F295" i="6"/>
  <c r="K294" i="6"/>
  <c r="F294" i="6"/>
  <c r="K293" i="6"/>
  <c r="F293" i="6"/>
  <c r="K292" i="6"/>
  <c r="F292" i="6"/>
  <c r="K290" i="6"/>
  <c r="L290" i="6" s="1"/>
  <c r="F290" i="6"/>
  <c r="K289" i="6"/>
  <c r="F289" i="6"/>
  <c r="K288" i="6"/>
  <c r="F288" i="6"/>
  <c r="K287" i="6"/>
  <c r="F287" i="6"/>
  <c r="K286" i="6"/>
  <c r="F286" i="6"/>
  <c r="L286" i="6" s="1"/>
  <c r="K285" i="6"/>
  <c r="L285" i="6"/>
  <c r="F285" i="6"/>
  <c r="K284" i="6"/>
  <c r="F284" i="6"/>
  <c r="L284" i="6" s="1"/>
  <c r="K283" i="6"/>
  <c r="F283" i="6"/>
  <c r="L283" i="6"/>
  <c r="K282" i="6"/>
  <c r="F282" i="6"/>
  <c r="K281" i="6"/>
  <c r="F281" i="6"/>
  <c r="K280" i="6"/>
  <c r="L280" i="6" s="1"/>
  <c r="F280" i="6"/>
  <c r="K279" i="6"/>
  <c r="F279" i="6"/>
  <c r="K278" i="6"/>
  <c r="F278" i="6"/>
  <c r="K273" i="6"/>
  <c r="F273" i="6"/>
  <c r="L273" i="6"/>
  <c r="K271" i="6"/>
  <c r="F271" i="6"/>
  <c r="X90" i="1"/>
  <c r="S90" i="1"/>
  <c r="F61" i="1"/>
  <c r="K61" i="1"/>
  <c r="L61" i="1" s="1"/>
  <c r="K86" i="1"/>
  <c r="F86" i="1"/>
  <c r="X137" i="6"/>
  <c r="S137" i="6"/>
  <c r="J263" i="1"/>
  <c r="I263" i="1"/>
  <c r="H263" i="1"/>
  <c r="G263" i="1"/>
  <c r="E263" i="1"/>
  <c r="D263" i="1"/>
  <c r="C263" i="1"/>
  <c r="B263" i="1"/>
  <c r="K262" i="1"/>
  <c r="F262" i="1"/>
  <c r="K261" i="1"/>
  <c r="F261" i="1"/>
  <c r="K260" i="1"/>
  <c r="F260" i="1"/>
  <c r="L260" i="1" s="1"/>
  <c r="K259" i="1"/>
  <c r="L259" i="1" s="1"/>
  <c r="F259" i="1"/>
  <c r="K258" i="1"/>
  <c r="F258" i="1"/>
  <c r="K257" i="1"/>
  <c r="F257" i="1"/>
  <c r="K256" i="1"/>
  <c r="F256" i="1"/>
  <c r="L256" i="1" s="1"/>
  <c r="K255" i="1"/>
  <c r="F255" i="1"/>
  <c r="K254" i="1"/>
  <c r="F254" i="1"/>
  <c r="K253" i="1"/>
  <c r="F253" i="1"/>
  <c r="K238" i="1"/>
  <c r="F238" i="1"/>
  <c r="F58" i="1"/>
  <c r="K58" i="1"/>
  <c r="S64" i="1"/>
  <c r="X64" i="1"/>
  <c r="F54" i="1"/>
  <c r="K54" i="1"/>
  <c r="X135" i="6"/>
  <c r="S135" i="6"/>
  <c r="F53" i="1"/>
  <c r="K53" i="1"/>
  <c r="X61" i="1"/>
  <c r="S61" i="1"/>
  <c r="Y61" i="1" s="1"/>
  <c r="F148" i="6"/>
  <c r="L148" i="6" s="1"/>
  <c r="K148" i="6"/>
  <c r="S143" i="1"/>
  <c r="X143" i="1"/>
  <c r="X60" i="1"/>
  <c r="S60" i="1"/>
  <c r="Y60" i="1" s="1"/>
  <c r="X59" i="1"/>
  <c r="S59" i="1"/>
  <c r="X58" i="1"/>
  <c r="S58" i="1"/>
  <c r="Y58" i="1" s="1"/>
  <c r="X57" i="1"/>
  <c r="S57" i="1"/>
  <c r="Y57" i="1" s="1"/>
  <c r="X56" i="1"/>
  <c r="S56" i="1"/>
  <c r="X55" i="1"/>
  <c r="S55" i="1"/>
  <c r="F82" i="1"/>
  <c r="K82" i="1"/>
  <c r="K44" i="1"/>
  <c r="F44" i="1"/>
  <c r="X70" i="1"/>
  <c r="S87" i="1"/>
  <c r="Y87" i="1" s="1"/>
  <c r="X87" i="1"/>
  <c r="X86" i="1"/>
  <c r="S86" i="1"/>
  <c r="X131" i="6"/>
  <c r="S131" i="6"/>
  <c r="F148" i="1"/>
  <c r="K148" i="1"/>
  <c r="S124" i="1"/>
  <c r="Y124" i="1" s="1"/>
  <c r="X124" i="1"/>
  <c r="S162" i="6"/>
  <c r="X162" i="6"/>
  <c r="X46" i="1"/>
  <c r="S46" i="1"/>
  <c r="X45" i="1"/>
  <c r="S45" i="1"/>
  <c r="Y45" i="1" s="1"/>
  <c r="X44" i="1"/>
  <c r="Y44" i="1" s="1"/>
  <c r="S44" i="1"/>
  <c r="F34" i="1"/>
  <c r="K34" i="1"/>
  <c r="F72" i="1"/>
  <c r="K72" i="1"/>
  <c r="X128" i="6"/>
  <c r="S128" i="6"/>
  <c r="Y128" i="6" s="1"/>
  <c r="X107" i="1"/>
  <c r="Y107" i="1" s="1"/>
  <c r="X146" i="6"/>
  <c r="S146" i="6"/>
  <c r="X145" i="6"/>
  <c r="S145" i="6"/>
  <c r="Y145" i="6"/>
  <c r="X126" i="6"/>
  <c r="S126" i="6"/>
  <c r="F125" i="6"/>
  <c r="K125" i="6"/>
  <c r="L125" i="6"/>
  <c r="X94" i="6"/>
  <c r="S94" i="6"/>
  <c r="X93" i="6"/>
  <c r="S93" i="6"/>
  <c r="Y93" i="6" s="1"/>
  <c r="X22" i="1"/>
  <c r="S22" i="1"/>
  <c r="X91" i="6"/>
  <c r="S91" i="6"/>
  <c r="X20" i="1"/>
  <c r="S20" i="1"/>
  <c r="X88" i="6"/>
  <c r="Y88" i="6" s="1"/>
  <c r="S88" i="6"/>
  <c r="S59" i="6"/>
  <c r="X59" i="6"/>
  <c r="S60" i="6"/>
  <c r="Y60" i="6" s="1"/>
  <c r="X60" i="6"/>
  <c r="X87" i="6"/>
  <c r="Y87" i="6"/>
  <c r="S87" i="6"/>
  <c r="X86" i="6"/>
  <c r="S86" i="6"/>
  <c r="Y86" i="6"/>
  <c r="F69" i="6"/>
  <c r="K69" i="6"/>
  <c r="K86" i="6"/>
  <c r="F86" i="6"/>
  <c r="L86" i="6" s="1"/>
  <c r="J263" i="6"/>
  <c r="I263" i="6"/>
  <c r="H263" i="6"/>
  <c r="G263" i="6"/>
  <c r="E263" i="6"/>
  <c r="D263" i="6"/>
  <c r="C263" i="6"/>
  <c r="F263" i="6" s="1"/>
  <c r="B263" i="6"/>
  <c r="K262" i="6"/>
  <c r="F262" i="6"/>
  <c r="K258" i="6"/>
  <c r="F258" i="6"/>
  <c r="L258" i="6" s="1"/>
  <c r="K257" i="6"/>
  <c r="L257" i="6"/>
  <c r="F257" i="6"/>
  <c r="K256" i="6"/>
  <c r="F256" i="6"/>
  <c r="L256" i="6" s="1"/>
  <c r="K255" i="6"/>
  <c r="F255" i="6"/>
  <c r="K254" i="6"/>
  <c r="F254" i="6"/>
  <c r="K253" i="6"/>
  <c r="F253" i="6"/>
  <c r="K252" i="6"/>
  <c r="F252" i="6"/>
  <c r="L252" i="6" s="1"/>
  <c r="K251" i="6"/>
  <c r="F251" i="6"/>
  <c r="K250" i="6"/>
  <c r="F250" i="6"/>
  <c r="K249" i="6"/>
  <c r="F249" i="6"/>
  <c r="L249" i="6"/>
  <c r="K248" i="6"/>
  <c r="L248" i="6" s="1"/>
  <c r="F248" i="6"/>
  <c r="K247" i="6"/>
  <c r="F247" i="6"/>
  <c r="L247" i="6" s="1"/>
  <c r="K246" i="6"/>
  <c r="F246" i="6"/>
  <c r="K245" i="6"/>
  <c r="F245" i="6"/>
  <c r="L245" i="6" s="1"/>
  <c r="K244" i="6"/>
  <c r="F244" i="6"/>
  <c r="L244" i="6" s="1"/>
  <c r="K243" i="6"/>
  <c r="F243" i="6"/>
  <c r="K242" i="6"/>
  <c r="F242" i="6"/>
  <c r="K241" i="6"/>
  <c r="L241" i="6" s="1"/>
  <c r="F241" i="6"/>
  <c r="K240" i="6"/>
  <c r="F240" i="6"/>
  <c r="K239" i="6"/>
  <c r="L239" i="6" s="1"/>
  <c r="F239" i="6"/>
  <c r="K238" i="6"/>
  <c r="F238" i="6"/>
  <c r="K236" i="6"/>
  <c r="L236" i="6" s="1"/>
  <c r="F236" i="6"/>
  <c r="K235" i="6"/>
  <c r="F235" i="6"/>
  <c r="K234" i="6"/>
  <c r="L234" i="6" s="1"/>
  <c r="F234" i="6"/>
  <c r="K233" i="6"/>
  <c r="F233" i="6"/>
  <c r="J225" i="1"/>
  <c r="I225" i="1"/>
  <c r="H225" i="1"/>
  <c r="G225" i="1"/>
  <c r="E225" i="1"/>
  <c r="D225" i="1"/>
  <c r="C225" i="1"/>
  <c r="B225" i="1"/>
  <c r="K223" i="1"/>
  <c r="F223" i="1"/>
  <c r="K222" i="1"/>
  <c r="L222" i="1" s="1"/>
  <c r="F222" i="1"/>
  <c r="K221" i="1"/>
  <c r="F221" i="1"/>
  <c r="K220" i="1"/>
  <c r="F220" i="1"/>
  <c r="K219" i="1"/>
  <c r="F219" i="1"/>
  <c r="K218" i="1"/>
  <c r="F218" i="1"/>
  <c r="K217" i="1"/>
  <c r="F217" i="1"/>
  <c r="K216" i="1"/>
  <c r="F216" i="1"/>
  <c r="K214" i="1"/>
  <c r="F214" i="1"/>
  <c r="K213" i="1"/>
  <c r="L213" i="1" s="1"/>
  <c r="F213" i="1"/>
  <c r="K212" i="1"/>
  <c r="F212" i="1"/>
  <c r="K211" i="1"/>
  <c r="L211" i="1" s="1"/>
  <c r="F211" i="1"/>
  <c r="K210" i="1"/>
  <c r="F210" i="1"/>
  <c r="L210" i="1" s="1"/>
  <c r="K209" i="1"/>
  <c r="F209" i="1"/>
  <c r="K208" i="1"/>
  <c r="F208" i="1"/>
  <c r="K207" i="1"/>
  <c r="F207" i="1"/>
  <c r="K206" i="1"/>
  <c r="F206" i="1"/>
  <c r="L206" i="1" s="1"/>
  <c r="K205" i="1"/>
  <c r="L205" i="1" s="1"/>
  <c r="F205" i="1"/>
  <c r="K204" i="1"/>
  <c r="F204" i="1"/>
  <c r="K203" i="1"/>
  <c r="L203" i="1" s="1"/>
  <c r="F203" i="1"/>
  <c r="K202" i="1"/>
  <c r="F202" i="1"/>
  <c r="L202" i="1" s="1"/>
  <c r="K201" i="1"/>
  <c r="L201" i="1" s="1"/>
  <c r="F201" i="1"/>
  <c r="K198" i="1"/>
  <c r="F198" i="1"/>
  <c r="K197" i="1"/>
  <c r="L197" i="1" s="1"/>
  <c r="F197" i="1"/>
  <c r="S104" i="1"/>
  <c r="X104" i="1"/>
  <c r="Y104" i="1" s="1"/>
  <c r="S105" i="1"/>
  <c r="Y105" i="1" s="1"/>
  <c r="X105" i="1"/>
  <c r="S106" i="1"/>
  <c r="X106" i="1"/>
  <c r="Y106" i="1" s="1"/>
  <c r="S107" i="1"/>
  <c r="S70" i="1"/>
  <c r="X69" i="1"/>
  <c r="S69" i="1"/>
  <c r="Y69" i="1" s="1"/>
  <c r="X108" i="1"/>
  <c r="Y108" i="1" s="1"/>
  <c r="S108" i="1"/>
  <c r="X110" i="1"/>
  <c r="S110" i="1"/>
  <c r="Y110" i="1" s="1"/>
  <c r="X109" i="1"/>
  <c r="Y109" i="1" s="1"/>
  <c r="S109" i="1"/>
  <c r="X72" i="1"/>
  <c r="S72" i="1"/>
  <c r="X71" i="1"/>
  <c r="S71" i="1"/>
  <c r="X48" i="1"/>
  <c r="S48" i="1"/>
  <c r="Y48" i="1" s="1"/>
  <c r="S84" i="1"/>
  <c r="X84" i="1"/>
  <c r="X43" i="1"/>
  <c r="S43" i="1"/>
  <c r="X34" i="1"/>
  <c r="S34" i="1"/>
  <c r="X33" i="1"/>
  <c r="S33" i="1"/>
  <c r="Y33" i="1" s="1"/>
  <c r="X32" i="1"/>
  <c r="S32" i="1"/>
  <c r="S102" i="1"/>
  <c r="X102" i="1"/>
  <c r="S103" i="1"/>
  <c r="X103" i="1"/>
  <c r="X124" i="6"/>
  <c r="S124" i="6"/>
  <c r="S107" i="6"/>
  <c r="Y107" i="6"/>
  <c r="X107" i="6"/>
  <c r="S108" i="6"/>
  <c r="X108" i="6"/>
  <c r="X110" i="6"/>
  <c r="S110" i="6"/>
  <c r="X109" i="6"/>
  <c r="S109" i="6"/>
  <c r="Y109" i="6"/>
  <c r="X148" i="6"/>
  <c r="S148" i="6"/>
  <c r="X147" i="6"/>
  <c r="S147" i="6"/>
  <c r="S120" i="6"/>
  <c r="X120" i="6"/>
  <c r="Y120" i="6"/>
  <c r="S121" i="6"/>
  <c r="X121" i="6"/>
  <c r="X158" i="6"/>
  <c r="S158" i="6"/>
  <c r="X57" i="6"/>
  <c r="S57" i="6"/>
  <c r="Y57" i="6" s="1"/>
  <c r="X18" i="1"/>
  <c r="Y18" i="1" s="1"/>
  <c r="S18" i="1"/>
  <c r="X56" i="6"/>
  <c r="S56" i="6"/>
  <c r="Y56" i="6"/>
  <c r="U225" i="6"/>
  <c r="T225" i="6"/>
  <c r="O225" i="6"/>
  <c r="J225" i="6"/>
  <c r="I225" i="6"/>
  <c r="K225" i="6" s="1"/>
  <c r="H225" i="6"/>
  <c r="G225" i="6"/>
  <c r="E225" i="6"/>
  <c r="D225" i="6"/>
  <c r="C225" i="6"/>
  <c r="B225" i="6"/>
  <c r="K224" i="6"/>
  <c r="F224" i="6"/>
  <c r="L224" i="6" s="1"/>
  <c r="K223" i="6"/>
  <c r="F223" i="6"/>
  <c r="L223" i="6"/>
  <c r="K222" i="6"/>
  <c r="F222" i="6"/>
  <c r="K221" i="6"/>
  <c r="F221" i="6"/>
  <c r="L221" i="6" s="1"/>
  <c r="K219" i="6"/>
  <c r="F219" i="6"/>
  <c r="L219" i="6"/>
  <c r="K218" i="6"/>
  <c r="F218" i="6"/>
  <c r="X217" i="6"/>
  <c r="S217" i="6"/>
  <c r="Y217" i="6" s="1"/>
  <c r="K217" i="6"/>
  <c r="F217" i="6"/>
  <c r="L217" i="6"/>
  <c r="X216" i="6"/>
  <c r="S216" i="6"/>
  <c r="K216" i="6"/>
  <c r="F216" i="6"/>
  <c r="L216" i="6" s="1"/>
  <c r="K215" i="6"/>
  <c r="F215" i="6"/>
  <c r="L215" i="6"/>
  <c r="K214" i="6"/>
  <c r="F214" i="6"/>
  <c r="K213" i="6"/>
  <c r="F213" i="6"/>
  <c r="L213" i="6" s="1"/>
  <c r="K212" i="6"/>
  <c r="F212" i="6"/>
  <c r="L212" i="6"/>
  <c r="X211" i="6"/>
  <c r="S211" i="6"/>
  <c r="K211" i="6"/>
  <c r="F211" i="6"/>
  <c r="L211" i="6" s="1"/>
  <c r="X210" i="6"/>
  <c r="S210" i="6"/>
  <c r="Y210" i="6"/>
  <c r="K210" i="6"/>
  <c r="F210" i="6"/>
  <c r="X209" i="6"/>
  <c r="S209" i="6"/>
  <c r="Y209" i="6" s="1"/>
  <c r="K209" i="6"/>
  <c r="F209" i="6"/>
  <c r="L209" i="6"/>
  <c r="K208" i="6"/>
  <c r="L208" i="6" s="1"/>
  <c r="F208" i="6"/>
  <c r="K207" i="6"/>
  <c r="F207" i="6"/>
  <c r="L207" i="6"/>
  <c r="X206" i="6"/>
  <c r="S206" i="6"/>
  <c r="Y206" i="6"/>
  <c r="K206" i="6"/>
  <c r="L206" i="6" s="1"/>
  <c r="F206" i="6"/>
  <c r="X205" i="6"/>
  <c r="S205" i="6"/>
  <c r="K205" i="6"/>
  <c r="L205" i="6" s="1"/>
  <c r="F205" i="6"/>
  <c r="X204" i="6"/>
  <c r="S204" i="6"/>
  <c r="Y204" i="6" s="1"/>
  <c r="K204" i="6"/>
  <c r="F204" i="6"/>
  <c r="L204" i="6"/>
  <c r="K203" i="6"/>
  <c r="L203" i="6" s="1"/>
  <c r="F203" i="6"/>
  <c r="X202" i="6"/>
  <c r="S202" i="6"/>
  <c r="Y202" i="6" s="1"/>
  <c r="K202" i="6"/>
  <c r="F202" i="6"/>
  <c r="X201" i="6"/>
  <c r="S201" i="6"/>
  <c r="Y201" i="6" s="1"/>
  <c r="K201" i="6"/>
  <c r="F201" i="6"/>
  <c r="K200" i="6"/>
  <c r="F200" i="6"/>
  <c r="L200" i="6" s="1"/>
  <c r="K198" i="6"/>
  <c r="F198" i="6"/>
  <c r="L198" i="6"/>
  <c r="K197" i="6"/>
  <c r="F197" i="6"/>
  <c r="K196" i="6"/>
  <c r="F196" i="6"/>
  <c r="K195" i="6"/>
  <c r="F195" i="6"/>
  <c r="S55" i="6"/>
  <c r="X55" i="6"/>
  <c r="Y55" i="6" s="1"/>
  <c r="S54" i="6"/>
  <c r="X54" i="6"/>
  <c r="Y54" i="6"/>
  <c r="J187" i="6"/>
  <c r="K187" i="6" s="1"/>
  <c r="I187" i="6"/>
  <c r="H187" i="6"/>
  <c r="G187" i="6"/>
  <c r="E187" i="6"/>
  <c r="F187" i="6" s="1"/>
  <c r="D187" i="6"/>
  <c r="B187" i="6"/>
  <c r="K185" i="6"/>
  <c r="F185" i="6"/>
  <c r="L185" i="6" s="1"/>
  <c r="K184" i="6"/>
  <c r="F184" i="6"/>
  <c r="K183" i="6"/>
  <c r="F183" i="6"/>
  <c r="L183" i="6" s="1"/>
  <c r="K182" i="6"/>
  <c r="F182" i="6"/>
  <c r="K181" i="6"/>
  <c r="F181" i="6"/>
  <c r="L181" i="6" s="1"/>
  <c r="K180" i="6"/>
  <c r="F180" i="6"/>
  <c r="K179" i="6"/>
  <c r="L179" i="6" s="1"/>
  <c r="F179" i="6"/>
  <c r="K178" i="6"/>
  <c r="F178" i="6"/>
  <c r="L178" i="6"/>
  <c r="K177" i="6"/>
  <c r="F177" i="6"/>
  <c r="L177" i="6"/>
  <c r="K176" i="6"/>
  <c r="L176" i="6" s="1"/>
  <c r="F176" i="6"/>
  <c r="K175" i="6"/>
  <c r="F175" i="6"/>
  <c r="L175" i="6"/>
  <c r="K173" i="6"/>
  <c r="F173" i="6"/>
  <c r="L173" i="6"/>
  <c r="K171" i="6"/>
  <c r="L171" i="6" s="1"/>
  <c r="F171" i="6"/>
  <c r="K170" i="6"/>
  <c r="F170" i="6"/>
  <c r="L170" i="6" s="1"/>
  <c r="K169" i="6"/>
  <c r="F169" i="6"/>
  <c r="K168" i="6"/>
  <c r="F168" i="6"/>
  <c r="L168" i="6" s="1"/>
  <c r="K167" i="6"/>
  <c r="K165" i="6"/>
  <c r="F165" i="6"/>
  <c r="K164" i="6"/>
  <c r="F164" i="6"/>
  <c r="K163" i="6"/>
  <c r="F163" i="6"/>
  <c r="L163" i="6" s="1"/>
  <c r="K162" i="6"/>
  <c r="F162" i="6"/>
  <c r="K160" i="6"/>
  <c r="F160" i="6"/>
  <c r="K159" i="6"/>
  <c r="F159" i="6"/>
  <c r="L159" i="6"/>
  <c r="K158" i="6"/>
  <c r="L158" i="6" s="1"/>
  <c r="F158" i="6"/>
  <c r="K157" i="6"/>
  <c r="F157" i="6"/>
  <c r="L157" i="6"/>
  <c r="W187" i="6"/>
  <c r="V187" i="6"/>
  <c r="U187" i="6"/>
  <c r="T187" i="6"/>
  <c r="Q187" i="6"/>
  <c r="X182" i="6"/>
  <c r="S182" i="6"/>
  <c r="Y182" i="6" s="1"/>
  <c r="X181" i="6"/>
  <c r="S181" i="6"/>
  <c r="X180" i="6"/>
  <c r="S180" i="6"/>
  <c r="Y180" i="6" s="1"/>
  <c r="X179" i="6"/>
  <c r="S179" i="6"/>
  <c r="Y179" i="6" s="1"/>
  <c r="X178" i="6"/>
  <c r="S178" i="6"/>
  <c r="Y178" i="6" s="1"/>
  <c r="X177" i="6"/>
  <c r="Y177" i="6" s="1"/>
  <c r="S177" i="6"/>
  <c r="X176" i="6"/>
  <c r="S176" i="6"/>
  <c r="X175" i="6"/>
  <c r="S175" i="6"/>
  <c r="Y175" i="6" s="1"/>
  <c r="X174" i="6"/>
  <c r="Y174" i="6" s="1"/>
  <c r="S174" i="6"/>
  <c r="X173" i="6"/>
  <c r="S173" i="6"/>
  <c r="Y173" i="6"/>
  <c r="X165" i="6"/>
  <c r="S165" i="6"/>
  <c r="X157" i="6"/>
  <c r="S157" i="6"/>
  <c r="Y157" i="6" s="1"/>
  <c r="J187" i="1"/>
  <c r="I187" i="1"/>
  <c r="H187" i="1"/>
  <c r="G187" i="1"/>
  <c r="E187" i="1"/>
  <c r="F187" i="1" s="1"/>
  <c r="L187" i="1" s="1"/>
  <c r="D187" i="1"/>
  <c r="C187" i="1"/>
  <c r="B187" i="1"/>
  <c r="K186" i="1"/>
  <c r="L186" i="1" s="1"/>
  <c r="F186" i="1"/>
  <c r="K185" i="1"/>
  <c r="F185" i="1"/>
  <c r="K184" i="1"/>
  <c r="L184" i="1" s="1"/>
  <c r="F184" i="1"/>
  <c r="K183" i="1"/>
  <c r="F183" i="1"/>
  <c r="L183" i="1" s="1"/>
  <c r="K180" i="1"/>
  <c r="F180" i="1"/>
  <c r="K179" i="1"/>
  <c r="F179" i="1"/>
  <c r="L179" i="1" s="1"/>
  <c r="K178" i="1"/>
  <c r="L178" i="1" s="1"/>
  <c r="F178" i="1"/>
  <c r="K177" i="1"/>
  <c r="F177" i="1"/>
  <c r="K176" i="1"/>
  <c r="L176" i="1" s="1"/>
  <c r="F176" i="1"/>
  <c r="K175" i="1"/>
  <c r="F175" i="1"/>
  <c r="L175" i="1" s="1"/>
  <c r="K174" i="1"/>
  <c r="F174" i="1"/>
  <c r="K173" i="1"/>
  <c r="F173" i="1"/>
  <c r="K172" i="1"/>
  <c r="F172" i="1"/>
  <c r="K171" i="1"/>
  <c r="F171" i="1"/>
  <c r="L171" i="1" s="1"/>
  <c r="K170" i="1"/>
  <c r="L170" i="1" s="1"/>
  <c r="F170" i="1"/>
  <c r="K169" i="1"/>
  <c r="F169" i="1"/>
  <c r="K168" i="1"/>
  <c r="F168" i="1"/>
  <c r="K167" i="1"/>
  <c r="F167" i="1"/>
  <c r="L167" i="1" s="1"/>
  <c r="K165" i="1"/>
  <c r="F165" i="1"/>
  <c r="K164" i="1"/>
  <c r="F164" i="1"/>
  <c r="L164" i="1" s="1"/>
  <c r="K163" i="1"/>
  <c r="F163" i="1"/>
  <c r="K162" i="1"/>
  <c r="F162" i="1"/>
  <c r="L162" i="1" s="1"/>
  <c r="K160" i="1"/>
  <c r="F160" i="1"/>
  <c r="K159" i="1"/>
  <c r="F159" i="1"/>
  <c r="L159" i="1" s="1"/>
  <c r="K158" i="1"/>
  <c r="F158" i="1"/>
  <c r="K157" i="1"/>
  <c r="F157" i="1"/>
  <c r="U187" i="1"/>
  <c r="R187" i="1"/>
  <c r="Q187" i="1"/>
  <c r="P187" i="1"/>
  <c r="O187" i="1"/>
  <c r="S187" i="1" s="1"/>
  <c r="W187" i="1"/>
  <c r="T187" i="1"/>
  <c r="X178" i="1"/>
  <c r="S178" i="1"/>
  <c r="X177" i="1"/>
  <c r="S177" i="1"/>
  <c r="X176" i="1"/>
  <c r="S176" i="1"/>
  <c r="X175" i="1"/>
  <c r="Y175" i="1" s="1"/>
  <c r="S175" i="1"/>
  <c r="X173" i="1"/>
  <c r="S173" i="1"/>
  <c r="Y173" i="1" s="1"/>
  <c r="X172" i="1"/>
  <c r="S172" i="1"/>
  <c r="X170" i="1"/>
  <c r="Y170" i="1" s="1"/>
  <c r="S170" i="1"/>
  <c r="X169" i="1"/>
  <c r="S169" i="1"/>
  <c r="Y169" i="1" s="1"/>
  <c r="X168" i="1"/>
  <c r="S168" i="1"/>
  <c r="X167" i="1"/>
  <c r="S167" i="1"/>
  <c r="X165" i="1"/>
  <c r="S165" i="1"/>
  <c r="X164" i="1"/>
  <c r="S164" i="1"/>
  <c r="X17" i="1"/>
  <c r="S17" i="1"/>
  <c r="Y17" i="1" s="1"/>
  <c r="X52" i="6"/>
  <c r="S52" i="6"/>
  <c r="Y52" i="6" s="1"/>
  <c r="X13" i="1"/>
  <c r="S13" i="1"/>
  <c r="F22" i="6"/>
  <c r="L22" i="6" s="1"/>
  <c r="K22" i="6"/>
  <c r="K48" i="6"/>
  <c r="F48" i="6"/>
  <c r="L48" i="6"/>
  <c r="R149" i="6"/>
  <c r="Q149" i="6"/>
  <c r="J149" i="1"/>
  <c r="I149" i="1"/>
  <c r="H149" i="1"/>
  <c r="G149" i="1"/>
  <c r="E149" i="1"/>
  <c r="D149" i="1"/>
  <c r="C149" i="1"/>
  <c r="B149" i="1"/>
  <c r="K147" i="1"/>
  <c r="F147" i="1"/>
  <c r="K146" i="1"/>
  <c r="L146" i="1" s="1"/>
  <c r="F146" i="1"/>
  <c r="K144" i="1"/>
  <c r="F144" i="1"/>
  <c r="K143" i="1"/>
  <c r="F143" i="1"/>
  <c r="K142" i="1"/>
  <c r="F142" i="1"/>
  <c r="K141" i="1"/>
  <c r="F141" i="1"/>
  <c r="K140" i="1"/>
  <c r="F140" i="1"/>
  <c r="K139" i="1"/>
  <c r="L139" i="1" s="1"/>
  <c r="F139" i="1"/>
  <c r="K138" i="1"/>
  <c r="F138" i="1"/>
  <c r="K137" i="1"/>
  <c r="L137" i="1" s="1"/>
  <c r="F137" i="1"/>
  <c r="K136" i="1"/>
  <c r="F136" i="1"/>
  <c r="K135" i="1"/>
  <c r="F135" i="1"/>
  <c r="K134" i="1"/>
  <c r="F134" i="1"/>
  <c r="K133" i="1"/>
  <c r="F133" i="1"/>
  <c r="K132" i="1"/>
  <c r="F132" i="1"/>
  <c r="K131" i="1"/>
  <c r="F131" i="1"/>
  <c r="K130" i="1"/>
  <c r="F130" i="1"/>
  <c r="K129" i="1"/>
  <c r="L129" i="1" s="1"/>
  <c r="F129" i="1"/>
  <c r="K128" i="1"/>
  <c r="F128" i="1"/>
  <c r="K126" i="1"/>
  <c r="F126" i="1"/>
  <c r="K125" i="1"/>
  <c r="F125" i="1"/>
  <c r="K124" i="1"/>
  <c r="F124" i="1"/>
  <c r="K122" i="1"/>
  <c r="F122" i="1"/>
  <c r="L122" i="1" s="1"/>
  <c r="K121" i="1"/>
  <c r="F121" i="1"/>
  <c r="K120" i="1"/>
  <c r="F120" i="1"/>
  <c r="K119" i="1"/>
  <c r="F119" i="1"/>
  <c r="V149" i="1"/>
  <c r="U149" i="1"/>
  <c r="T149" i="1"/>
  <c r="R149" i="1"/>
  <c r="Q149" i="1"/>
  <c r="X142" i="1"/>
  <c r="Y142" i="1" s="1"/>
  <c r="S142" i="1"/>
  <c r="X141" i="1"/>
  <c r="S141" i="1"/>
  <c r="Y141" i="1"/>
  <c r="X140" i="1"/>
  <c r="S140" i="1"/>
  <c r="X139" i="1"/>
  <c r="S139" i="1"/>
  <c r="X138" i="1"/>
  <c r="S138" i="1"/>
  <c r="X137" i="1"/>
  <c r="S137" i="1"/>
  <c r="X136" i="1"/>
  <c r="S136" i="1"/>
  <c r="X130" i="1"/>
  <c r="S130" i="1"/>
  <c r="Y130" i="1" s="1"/>
  <c r="X129" i="1"/>
  <c r="S129" i="1"/>
  <c r="X128" i="1"/>
  <c r="S128" i="1"/>
  <c r="X126" i="1"/>
  <c r="S126" i="1"/>
  <c r="Y126" i="1" s="1"/>
  <c r="J149" i="6"/>
  <c r="I149" i="6"/>
  <c r="H149" i="6"/>
  <c r="G149" i="6"/>
  <c r="E149" i="6"/>
  <c r="D149" i="6"/>
  <c r="C149" i="6"/>
  <c r="B149" i="6"/>
  <c r="F149" i="6" s="1"/>
  <c r="K147" i="6"/>
  <c r="F147" i="6"/>
  <c r="K146" i="6"/>
  <c r="F146" i="6"/>
  <c r="L146" i="6" s="1"/>
  <c r="K145" i="6"/>
  <c r="F145" i="6"/>
  <c r="L145" i="6" s="1"/>
  <c r="K144" i="6"/>
  <c r="F144" i="6"/>
  <c r="K143" i="6"/>
  <c r="F143" i="6"/>
  <c r="L143" i="6" s="1"/>
  <c r="K142" i="6"/>
  <c r="F142" i="6"/>
  <c r="K141" i="6"/>
  <c r="F141" i="6"/>
  <c r="L141" i="6" s="1"/>
  <c r="K140" i="6"/>
  <c r="F140" i="6"/>
  <c r="L140" i="6" s="1"/>
  <c r="K139" i="6"/>
  <c r="F139" i="6"/>
  <c r="K138" i="6"/>
  <c r="F138" i="6"/>
  <c r="L138" i="6" s="1"/>
  <c r="K137" i="6"/>
  <c r="F137" i="6"/>
  <c r="K136" i="6"/>
  <c r="F136" i="6"/>
  <c r="K135" i="6"/>
  <c r="F135" i="6"/>
  <c r="K134" i="6"/>
  <c r="L134" i="6" s="1"/>
  <c r="F134" i="6"/>
  <c r="K133" i="6"/>
  <c r="F133" i="6"/>
  <c r="K132" i="6"/>
  <c r="L132" i="6" s="1"/>
  <c r="F132" i="6"/>
  <c r="K131" i="6"/>
  <c r="F131" i="6"/>
  <c r="K130" i="6"/>
  <c r="L130" i="6" s="1"/>
  <c r="F130" i="6"/>
  <c r="K129" i="6"/>
  <c r="F129" i="6"/>
  <c r="L129" i="6"/>
  <c r="K128" i="6"/>
  <c r="F128" i="6"/>
  <c r="L128" i="6" s="1"/>
  <c r="K127" i="6"/>
  <c r="L127" i="6" s="1"/>
  <c r="F127" i="6"/>
  <c r="K126" i="6"/>
  <c r="F126" i="6"/>
  <c r="L126" i="6"/>
  <c r="K124" i="6"/>
  <c r="F124" i="6"/>
  <c r="K122" i="6"/>
  <c r="F122" i="6"/>
  <c r="K121" i="6"/>
  <c r="F121" i="6"/>
  <c r="K120" i="6"/>
  <c r="F120" i="6"/>
  <c r="L120" i="6" s="1"/>
  <c r="K119" i="6"/>
  <c r="F119" i="6"/>
  <c r="S119" i="6"/>
  <c r="X119" i="6"/>
  <c r="W149" i="6"/>
  <c r="V149" i="6"/>
  <c r="U149" i="6"/>
  <c r="T149" i="6"/>
  <c r="P149" i="6"/>
  <c r="O149" i="6"/>
  <c r="X144" i="6"/>
  <c r="Y144" i="6" s="1"/>
  <c r="S144" i="6"/>
  <c r="X143" i="6"/>
  <c r="S143" i="6"/>
  <c r="X142" i="6"/>
  <c r="S142" i="6"/>
  <c r="X141" i="6"/>
  <c r="S141" i="6"/>
  <c r="Y141" i="6" s="1"/>
  <c r="X140" i="6"/>
  <c r="S140" i="6"/>
  <c r="X139" i="6"/>
  <c r="S139" i="6"/>
  <c r="Y139" i="6" s="1"/>
  <c r="X138" i="6"/>
  <c r="S138" i="6"/>
  <c r="X136" i="6"/>
  <c r="S136" i="6"/>
  <c r="X134" i="6"/>
  <c r="S134" i="6"/>
  <c r="X133" i="6"/>
  <c r="S133" i="6"/>
  <c r="X132" i="6"/>
  <c r="S132" i="6"/>
  <c r="X130" i="6"/>
  <c r="S130" i="6"/>
  <c r="X129" i="6"/>
  <c r="S129" i="6"/>
  <c r="X127" i="6"/>
  <c r="S127" i="6"/>
  <c r="X125" i="6"/>
  <c r="S125" i="6"/>
  <c r="X122" i="6"/>
  <c r="S122" i="6"/>
  <c r="Y122" i="6" s="1"/>
  <c r="F15" i="1"/>
  <c r="L15" i="1" s="1"/>
  <c r="K15" i="1"/>
  <c r="X11" i="1"/>
  <c r="S11" i="1"/>
  <c r="S71" i="6"/>
  <c r="X71" i="6"/>
  <c r="S72" i="6"/>
  <c r="X72" i="6"/>
  <c r="Y72" i="6" s="1"/>
  <c r="J111" i="1"/>
  <c r="K111" i="1" s="1"/>
  <c r="I111" i="1"/>
  <c r="H111" i="1"/>
  <c r="G111" i="1"/>
  <c r="E111" i="1"/>
  <c r="F111" i="1" s="1"/>
  <c r="L111" i="1" s="1"/>
  <c r="D111" i="1"/>
  <c r="C111" i="1"/>
  <c r="B111" i="1"/>
  <c r="K110" i="1"/>
  <c r="L110" i="1" s="1"/>
  <c r="F110" i="1"/>
  <c r="K109" i="1"/>
  <c r="F109" i="1"/>
  <c r="K108" i="1"/>
  <c r="L108" i="1" s="1"/>
  <c r="F108" i="1"/>
  <c r="K107" i="1"/>
  <c r="F107" i="1"/>
  <c r="K106" i="1"/>
  <c r="F106" i="1"/>
  <c r="F105" i="1"/>
  <c r="F104" i="1"/>
  <c r="F103" i="1"/>
  <c r="L103" i="1" s="1"/>
  <c r="K102" i="1"/>
  <c r="F102" i="1"/>
  <c r="K101" i="1"/>
  <c r="F101" i="1"/>
  <c r="L101" i="1" s="1"/>
  <c r="K100" i="1"/>
  <c r="L100" i="1" s="1"/>
  <c r="F100" i="1"/>
  <c r="K99" i="1"/>
  <c r="F99" i="1"/>
  <c r="L99" i="1" s="1"/>
  <c r="K98" i="1"/>
  <c r="F98" i="1"/>
  <c r="K97" i="1"/>
  <c r="F97" i="1"/>
  <c r="K96" i="1"/>
  <c r="L96" i="1" s="1"/>
  <c r="F96" i="1"/>
  <c r="K95" i="1"/>
  <c r="F95" i="1"/>
  <c r="K94" i="1"/>
  <c r="L94" i="1" s="1"/>
  <c r="F94" i="1"/>
  <c r="K93" i="1"/>
  <c r="F93" i="1"/>
  <c r="L93" i="1" s="1"/>
  <c r="K92" i="1"/>
  <c r="F92" i="1"/>
  <c r="L92" i="1"/>
  <c r="K91" i="1"/>
  <c r="F91" i="1"/>
  <c r="K90" i="1"/>
  <c r="F90" i="1"/>
  <c r="K89" i="1"/>
  <c r="L89" i="1" s="1"/>
  <c r="F89" i="1"/>
  <c r="K88" i="1"/>
  <c r="F88" i="1"/>
  <c r="K87" i="1"/>
  <c r="L87" i="1" s="1"/>
  <c r="F87" i="1"/>
  <c r="K84" i="1"/>
  <c r="F84" i="1"/>
  <c r="K83" i="1"/>
  <c r="F83" i="1"/>
  <c r="K81" i="1"/>
  <c r="F81" i="1"/>
  <c r="L81" i="1" s="1"/>
  <c r="X7" i="1"/>
  <c r="S7" i="1"/>
  <c r="S31" i="1"/>
  <c r="X31" i="1"/>
  <c r="X6" i="1"/>
  <c r="Y6" i="1" s="1"/>
  <c r="S6" i="1"/>
  <c r="W111" i="1"/>
  <c r="V111" i="1"/>
  <c r="V113" i="1" s="1"/>
  <c r="U111" i="1"/>
  <c r="T111" i="1"/>
  <c r="R111" i="1"/>
  <c r="Q111" i="1"/>
  <c r="S111" i="1" s="1"/>
  <c r="P111" i="1"/>
  <c r="O111" i="1"/>
  <c r="X101" i="1"/>
  <c r="S101" i="1"/>
  <c r="X100" i="1"/>
  <c r="Y100" i="1" s="1"/>
  <c r="S100" i="1"/>
  <c r="X96" i="1"/>
  <c r="S96" i="1"/>
  <c r="Y96" i="1" s="1"/>
  <c r="X94" i="1"/>
  <c r="S94" i="1"/>
  <c r="Y94" i="1" s="1"/>
  <c r="X93" i="1"/>
  <c r="S93" i="1"/>
  <c r="X92" i="1"/>
  <c r="S92" i="1"/>
  <c r="Y92" i="1"/>
  <c r="X89" i="1"/>
  <c r="S89" i="1"/>
  <c r="X88" i="1"/>
  <c r="S88" i="1"/>
  <c r="Y88" i="1" s="1"/>
  <c r="X11" i="6"/>
  <c r="S11" i="6"/>
  <c r="Y11" i="6"/>
  <c r="K12" i="6"/>
  <c r="F12" i="6"/>
  <c r="L12" i="6"/>
  <c r="W111" i="6"/>
  <c r="W227" i="6" s="1"/>
  <c r="V111" i="6"/>
  <c r="U111" i="6"/>
  <c r="T111" i="6"/>
  <c r="X106" i="6"/>
  <c r="X105" i="6"/>
  <c r="X104" i="6"/>
  <c r="X103" i="6"/>
  <c r="X102" i="6"/>
  <c r="X101" i="6"/>
  <c r="X100" i="6"/>
  <c r="X99" i="6"/>
  <c r="X98" i="6"/>
  <c r="X97" i="6"/>
  <c r="X96" i="6"/>
  <c r="X95" i="6"/>
  <c r="X92" i="6"/>
  <c r="X90" i="6"/>
  <c r="X89" i="6"/>
  <c r="X84" i="6"/>
  <c r="X83" i="6"/>
  <c r="X82" i="6"/>
  <c r="X81" i="6"/>
  <c r="W73" i="6"/>
  <c r="V73" i="6"/>
  <c r="U73" i="6"/>
  <c r="T73" i="6"/>
  <c r="X70" i="6"/>
  <c r="X69" i="6"/>
  <c r="X68" i="6"/>
  <c r="X67" i="6"/>
  <c r="X66" i="6"/>
  <c r="X65" i="6"/>
  <c r="X64" i="6"/>
  <c r="X63" i="6"/>
  <c r="X62" i="6"/>
  <c r="X61" i="6"/>
  <c r="X58" i="6"/>
  <c r="X53" i="6"/>
  <c r="X51" i="6"/>
  <c r="X50" i="6"/>
  <c r="X49" i="6"/>
  <c r="X48" i="6"/>
  <c r="X46" i="6"/>
  <c r="X45" i="6"/>
  <c r="X44" i="6"/>
  <c r="X43" i="6"/>
  <c r="W35" i="6"/>
  <c r="V35" i="6"/>
  <c r="U35" i="6"/>
  <c r="T35" i="6"/>
  <c r="X34" i="6"/>
  <c r="X33" i="6"/>
  <c r="X32" i="6"/>
  <c r="X31" i="6"/>
  <c r="X30" i="6"/>
  <c r="X29" i="6"/>
  <c r="X28" i="6"/>
  <c r="X27" i="6"/>
  <c r="X26" i="6"/>
  <c r="X25" i="6"/>
  <c r="X24" i="6"/>
  <c r="X23" i="6"/>
  <c r="X22" i="6"/>
  <c r="X21" i="6"/>
  <c r="X20" i="6"/>
  <c r="X19" i="6"/>
  <c r="X18" i="6"/>
  <c r="X17" i="6"/>
  <c r="X16" i="6"/>
  <c r="X15" i="6"/>
  <c r="X14" i="6"/>
  <c r="X13" i="6"/>
  <c r="X12" i="6"/>
  <c r="X10" i="6"/>
  <c r="W9" i="6"/>
  <c r="V9" i="6"/>
  <c r="U9" i="6"/>
  <c r="T9" i="6"/>
  <c r="X8" i="6"/>
  <c r="X7" i="6"/>
  <c r="X6" i="6"/>
  <c r="X5" i="6"/>
  <c r="X4" i="6"/>
  <c r="J111" i="6"/>
  <c r="I111" i="6"/>
  <c r="H111" i="6"/>
  <c r="G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4" i="6"/>
  <c r="K83" i="6"/>
  <c r="K82" i="6"/>
  <c r="K81" i="6"/>
  <c r="J73" i="6"/>
  <c r="I73" i="6"/>
  <c r="H73" i="6"/>
  <c r="G73" i="6"/>
  <c r="K72" i="6"/>
  <c r="K71" i="6"/>
  <c r="K70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6" i="6"/>
  <c r="K45" i="6"/>
  <c r="K44" i="6"/>
  <c r="K43" i="6"/>
  <c r="J35" i="6"/>
  <c r="I35" i="6"/>
  <c r="H35" i="6"/>
  <c r="G35" i="6"/>
  <c r="K34" i="6"/>
  <c r="K33" i="6"/>
  <c r="K32" i="6"/>
  <c r="K31" i="6"/>
  <c r="K30" i="6"/>
  <c r="K29" i="6"/>
  <c r="K28" i="6"/>
  <c r="K27" i="6"/>
  <c r="K26" i="6"/>
  <c r="K25" i="6"/>
  <c r="K24" i="6"/>
  <c r="K23" i="6"/>
  <c r="K21" i="6"/>
  <c r="K20" i="6"/>
  <c r="K19" i="6"/>
  <c r="K18" i="6"/>
  <c r="K17" i="6"/>
  <c r="K16" i="6"/>
  <c r="K15" i="6"/>
  <c r="K14" i="6"/>
  <c r="K13" i="6"/>
  <c r="K11" i="6"/>
  <c r="K10" i="6"/>
  <c r="J9" i="6"/>
  <c r="I9" i="6"/>
  <c r="H9" i="6"/>
  <c r="G9" i="6"/>
  <c r="K8" i="6"/>
  <c r="K7" i="6"/>
  <c r="K6" i="6"/>
  <c r="K5" i="6"/>
  <c r="K4" i="6"/>
  <c r="L441" i="6"/>
  <c r="Y452" i="6"/>
  <c r="L438" i="6"/>
  <c r="Y447" i="1"/>
  <c r="Y396" i="1"/>
  <c r="L436" i="6"/>
  <c r="Y486" i="6"/>
  <c r="Y411" i="1"/>
  <c r="Y487" i="6"/>
  <c r="Y428" i="6"/>
  <c r="L423" i="6"/>
  <c r="L429" i="6"/>
  <c r="L428" i="6"/>
  <c r="L406" i="6"/>
  <c r="Y426" i="6"/>
  <c r="Y396" i="6"/>
  <c r="L392" i="6"/>
  <c r="Y360" i="6"/>
  <c r="R377" i="6"/>
  <c r="L375" i="6"/>
  <c r="L374" i="6"/>
  <c r="L373" i="6"/>
  <c r="L369" i="6"/>
  <c r="Y102" i="1"/>
  <c r="L34" i="1"/>
  <c r="Y183" i="1"/>
  <c r="Y314" i="1"/>
  <c r="L105" i="1"/>
  <c r="Y213" i="1"/>
  <c r="Y282" i="1"/>
  <c r="L242" i="1"/>
  <c r="L400" i="1"/>
  <c r="L404" i="1"/>
  <c r="L406" i="1"/>
  <c r="L408" i="1"/>
  <c r="Y280" i="1"/>
  <c r="Y433" i="1"/>
  <c r="L433" i="1"/>
  <c r="L447" i="1"/>
  <c r="Y354" i="6"/>
  <c r="L367" i="6"/>
  <c r="L366" i="6"/>
  <c r="F377" i="6"/>
  <c r="L359" i="6"/>
  <c r="Y326" i="1"/>
  <c r="L104" i="1"/>
  <c r="Y140" i="1"/>
  <c r="L134" i="1"/>
  <c r="L185" i="1"/>
  <c r="L207" i="1"/>
  <c r="L218" i="1"/>
  <c r="Y95" i="1"/>
  <c r="L288" i="1"/>
  <c r="U301" i="1"/>
  <c r="X300" i="1"/>
  <c r="L429" i="1"/>
  <c r="L330" i="1"/>
  <c r="L334" i="1"/>
  <c r="Y353" i="1"/>
  <c r="Y235" i="1"/>
  <c r="Y180" i="1"/>
  <c r="Y203" i="1"/>
  <c r="Y245" i="1"/>
  <c r="Y276" i="1"/>
  <c r="Y426" i="1"/>
  <c r="Y435" i="1"/>
  <c r="Y443" i="1"/>
  <c r="L423" i="1"/>
  <c r="L435" i="1"/>
  <c r="L451" i="1"/>
  <c r="L317" i="1"/>
  <c r="L355" i="6"/>
  <c r="Y257" i="1"/>
  <c r="L295" i="1"/>
  <c r="L287" i="1"/>
  <c r="Y329" i="6"/>
  <c r="Y254" i="1"/>
  <c r="Y350" i="6"/>
  <c r="Y299" i="1"/>
  <c r="Y250" i="1"/>
  <c r="Y405" i="6"/>
  <c r="Y406" i="6"/>
  <c r="Y469" i="6"/>
  <c r="Y471" i="6"/>
  <c r="Y473" i="6"/>
  <c r="L385" i="1"/>
  <c r="L391" i="1"/>
  <c r="L395" i="1"/>
  <c r="L399" i="1"/>
  <c r="L280" i="1"/>
  <c r="L144" i="1"/>
  <c r="Y145" i="1"/>
  <c r="L279" i="1"/>
  <c r="Y174" i="1"/>
  <c r="L354" i="1"/>
  <c r="L283" i="1"/>
  <c r="L324" i="1"/>
  <c r="Y294" i="1"/>
  <c r="Y321" i="1"/>
  <c r="Y64" i="1"/>
  <c r="L106" i="1"/>
  <c r="L119" i="1"/>
  <c r="L130" i="1"/>
  <c r="L136" i="1"/>
  <c r="L163" i="1"/>
  <c r="L54" i="1"/>
  <c r="Y251" i="1"/>
  <c r="Y217" i="1"/>
  <c r="Y144" i="1"/>
  <c r="L262" i="1"/>
  <c r="L90" i="1"/>
  <c r="L102" i="1"/>
  <c r="L220" i="1"/>
  <c r="Y243" i="1"/>
  <c r="L296" i="1"/>
  <c r="L299" i="1"/>
  <c r="L127" i="1"/>
  <c r="L312" i="1"/>
  <c r="L322" i="1"/>
  <c r="L368" i="1"/>
  <c r="S259" i="1"/>
  <c r="Y221" i="1"/>
  <c r="L248" i="1"/>
  <c r="C187" i="6"/>
  <c r="F167" i="6"/>
  <c r="L167" i="6" s="1"/>
  <c r="Y11" i="1"/>
  <c r="Y130" i="6"/>
  <c r="Y134" i="6"/>
  <c r="L137" i="6"/>
  <c r="L138" i="1"/>
  <c r="Y13" i="1"/>
  <c r="Y176" i="6"/>
  <c r="L180" i="6"/>
  <c r="Y121" i="6"/>
  <c r="Y124" i="6"/>
  <c r="Y32" i="1"/>
  <c r="L209" i="1"/>
  <c r="L242" i="6"/>
  <c r="L254" i="6"/>
  <c r="L44" i="1"/>
  <c r="Y59" i="1"/>
  <c r="L86" i="1"/>
  <c r="L271" i="6"/>
  <c r="L282" i="6"/>
  <c r="L299" i="6"/>
  <c r="Y91" i="1"/>
  <c r="Y326" i="6"/>
  <c r="Y290" i="6"/>
  <c r="Y243" i="6"/>
  <c r="Y198" i="6"/>
  <c r="L325" i="6"/>
  <c r="Y255" i="1"/>
  <c r="Y185" i="1"/>
  <c r="L273" i="1"/>
  <c r="L277" i="1"/>
  <c r="L282" i="1"/>
  <c r="L285" i="1"/>
  <c r="L290" i="1"/>
  <c r="L293" i="1"/>
  <c r="L298" i="1"/>
  <c r="Y293" i="1"/>
  <c r="Y446" i="6"/>
  <c r="L250" i="1"/>
  <c r="L184" i="6"/>
  <c r="Y108" i="6"/>
  <c r="Y328" i="6"/>
  <c r="Y252" i="1"/>
  <c r="Y247" i="1"/>
  <c r="Y140" i="6"/>
  <c r="Y143" i="6"/>
  <c r="L144" i="6"/>
  <c r="L140" i="1"/>
  <c r="L143" i="1"/>
  <c r="L147" i="1"/>
  <c r="Y165" i="6"/>
  <c r="L164" i="6"/>
  <c r="L182" i="6"/>
  <c r="L197" i="6"/>
  <c r="L201" i="6"/>
  <c r="L210" i="6"/>
  <c r="Y211" i="6"/>
  <c r="L214" i="6"/>
  <c r="Y216" i="6"/>
  <c r="L218" i="6"/>
  <c r="L222" i="6"/>
  <c r="Y103" i="1"/>
  <c r="Y84" i="1"/>
  <c r="L240" i="6"/>
  <c r="Y126" i="6"/>
  <c r="L293" i="6"/>
  <c r="L296" i="6"/>
  <c r="Y325" i="6"/>
  <c r="Y278" i="6"/>
  <c r="Y251" i="6"/>
  <c r="L274" i="1"/>
  <c r="L278" i="1"/>
  <c r="L281" i="1"/>
  <c r="L286" i="1"/>
  <c r="L289" i="1"/>
  <c r="L294" i="1"/>
  <c r="L297" i="1"/>
  <c r="Y356" i="6"/>
  <c r="Y363" i="6"/>
  <c r="L336" i="1"/>
  <c r="Y129" i="6"/>
  <c r="Y133" i="6"/>
  <c r="L119" i="6"/>
  <c r="L142" i="6"/>
  <c r="Y136" i="1"/>
  <c r="Y139" i="1"/>
  <c r="L125" i="1"/>
  <c r="Y167" i="1"/>
  <c r="Y181" i="6"/>
  <c r="L162" i="6"/>
  <c r="L165" i="6"/>
  <c r="L169" i="6"/>
  <c r="Y34" i="1"/>
  <c r="L238" i="6"/>
  <c r="L253" i="6"/>
  <c r="Y59" i="6"/>
  <c r="Y94" i="6"/>
  <c r="Y55" i="1"/>
  <c r="L253" i="1"/>
  <c r="Y137" i="6"/>
  <c r="Y90" i="1"/>
  <c r="L281" i="6"/>
  <c r="L287" i="6"/>
  <c r="L309" i="6"/>
  <c r="L327" i="6"/>
  <c r="L272" i="1"/>
  <c r="L276" i="1"/>
  <c r="L284" i="1"/>
  <c r="L292" i="1"/>
  <c r="L300" i="1"/>
  <c r="K301" i="1"/>
  <c r="Y167" i="6"/>
  <c r="Y168" i="6"/>
  <c r="Y99" i="1"/>
  <c r="Y170" i="6"/>
  <c r="Y281" i="1"/>
  <c r="Y391" i="6"/>
  <c r="L363" i="6"/>
  <c r="L371" i="6"/>
  <c r="L323" i="1"/>
  <c r="Y347" i="1"/>
  <c r="Y360" i="1"/>
  <c r="Y370" i="1"/>
  <c r="Y292" i="1"/>
  <c r="L348" i="1"/>
  <c r="Y208" i="6"/>
  <c r="Y133" i="1"/>
  <c r="S195" i="6"/>
  <c r="Y195" i="6" s="1"/>
  <c r="Y184" i="1"/>
  <c r="Y310" i="1"/>
  <c r="Y388" i="6"/>
  <c r="Y394" i="6"/>
  <c r="L386" i="6"/>
  <c r="K415" i="6"/>
  <c r="Y274" i="6"/>
  <c r="Y312" i="6"/>
  <c r="L233" i="1"/>
  <c r="Y432" i="6"/>
  <c r="Y437" i="6"/>
  <c r="Y444" i="6"/>
  <c r="L424" i="6"/>
  <c r="K453" i="6"/>
  <c r="Y285" i="6"/>
  <c r="K377" i="1"/>
  <c r="L377" i="1" s="1"/>
  <c r="Y121" i="1"/>
  <c r="Y402" i="6"/>
  <c r="L393" i="6"/>
  <c r="L409" i="6"/>
  <c r="L444" i="6"/>
  <c r="L447" i="6"/>
  <c r="L452" i="6"/>
  <c r="L372" i="6"/>
  <c r="L311" i="1"/>
  <c r="L319" i="1"/>
  <c r="Y288" i="1"/>
  <c r="L371" i="1"/>
  <c r="Y163" i="1"/>
  <c r="Y197" i="6"/>
  <c r="Y166" i="1"/>
  <c r="Y179" i="1"/>
  <c r="L261" i="6"/>
  <c r="Y338" i="1"/>
  <c r="Y390" i="6"/>
  <c r="Y397" i="6"/>
  <c r="L396" i="6"/>
  <c r="L404" i="6"/>
  <c r="L412" i="6"/>
  <c r="F415" i="6"/>
  <c r="Y160" i="1"/>
  <c r="L274" i="6"/>
  <c r="Y338" i="6"/>
  <c r="Y334" i="6"/>
  <c r="L434" i="6"/>
  <c r="L442" i="6"/>
  <c r="L450" i="6"/>
  <c r="F453" i="6"/>
  <c r="X259" i="1"/>
  <c r="Y259" i="1" s="1"/>
  <c r="L246" i="1"/>
  <c r="F377" i="1"/>
  <c r="X119" i="1"/>
  <c r="Y238" i="1"/>
  <c r="L243" i="1"/>
  <c r="L315" i="1"/>
  <c r="F339" i="1"/>
  <c r="Y367" i="1"/>
  <c r="Y291" i="1"/>
  <c r="Y309" i="1"/>
  <c r="L356" i="1"/>
  <c r="L364" i="1"/>
  <c r="L366" i="1"/>
  <c r="L372" i="1"/>
  <c r="L374" i="1"/>
  <c r="Y172" i="6"/>
  <c r="L166" i="1"/>
  <c r="L200" i="1"/>
  <c r="Y385" i="6"/>
  <c r="Y398" i="6"/>
  <c r="L388" i="6"/>
  <c r="L394" i="6"/>
  <c r="L397" i="6"/>
  <c r="L402" i="6"/>
  <c r="L405" i="6"/>
  <c r="L410" i="6"/>
  <c r="L413" i="6"/>
  <c r="Y248" i="6"/>
  <c r="Y347" i="6"/>
  <c r="L297" i="6"/>
  <c r="Y429" i="6"/>
  <c r="Y436" i="6"/>
  <c r="Y441" i="6"/>
  <c r="Y448" i="6"/>
  <c r="Y414" i="6"/>
  <c r="L426" i="6"/>
  <c r="L432" i="6"/>
  <c r="L435" i="6"/>
  <c r="L440" i="6"/>
  <c r="L443" i="6"/>
  <c r="L451" i="6"/>
  <c r="L318" i="6"/>
  <c r="L240" i="1"/>
  <c r="D339" i="6"/>
  <c r="L261" i="1"/>
  <c r="L312" i="6"/>
  <c r="L258" i="1"/>
  <c r="L257" i="1"/>
  <c r="L315" i="6"/>
  <c r="Y240" i="1"/>
  <c r="Y218" i="1"/>
  <c r="V339" i="6"/>
  <c r="Y337" i="6"/>
  <c r="Y261" i="1"/>
  <c r="Y215" i="1"/>
  <c r="L234" i="1"/>
  <c r="Y296" i="6"/>
  <c r="Y224" i="1"/>
  <c r="X223" i="1"/>
  <c r="Y223" i="1" s="1"/>
  <c r="K263" i="1"/>
  <c r="Y310" i="6"/>
  <c r="L238" i="1"/>
  <c r="F263" i="1"/>
  <c r="Y284" i="6"/>
  <c r="L294" i="6"/>
  <c r="L292" i="6"/>
  <c r="L181" i="1"/>
  <c r="U225" i="1"/>
  <c r="Q225" i="1"/>
  <c r="Y300" i="6"/>
  <c r="Y208" i="1"/>
  <c r="L216" i="1"/>
  <c r="L289" i="6"/>
  <c r="L288" i="6"/>
  <c r="Y204" i="1"/>
  <c r="Y276" i="6"/>
  <c r="Y200" i="1"/>
  <c r="L279" i="6"/>
  <c r="Y177" i="1"/>
  <c r="L278" i="6"/>
  <c r="Y234" i="1"/>
  <c r="Y234" i="6"/>
  <c r="Y235" i="6"/>
  <c r="Y159" i="1"/>
  <c r="Y249" i="6"/>
  <c r="Y260" i="6"/>
  <c r="L262" i="6"/>
  <c r="Y337" i="1"/>
  <c r="Y295" i="6"/>
  <c r="Y386" i="6"/>
  <c r="S415" i="6"/>
  <c r="X415" i="6"/>
  <c r="K225" i="1"/>
  <c r="L260" i="6"/>
  <c r="Y172" i="1"/>
  <c r="L177" i="1"/>
  <c r="Y294" i="6"/>
  <c r="Y241" i="6"/>
  <c r="Y240" i="6"/>
  <c r="L255" i="6"/>
  <c r="L173" i="1"/>
  <c r="L251" i="6"/>
  <c r="Y158" i="1"/>
  <c r="Y164" i="1"/>
  <c r="Y119" i="1"/>
  <c r="Y213" i="6"/>
  <c r="L250" i="6"/>
  <c r="L169" i="1"/>
  <c r="L246" i="6"/>
  <c r="K187" i="1"/>
  <c r="L148" i="1"/>
  <c r="L243" i="6"/>
  <c r="L157" i="1"/>
  <c r="L141" i="1"/>
  <c r="L84" i="1"/>
  <c r="L142" i="1"/>
  <c r="K263" i="6"/>
  <c r="L235" i="6"/>
  <c r="L233" i="6"/>
  <c r="Y129" i="1"/>
  <c r="T263" i="6"/>
  <c r="X263" i="6"/>
  <c r="L135" i="1"/>
  <c r="L120" i="1"/>
  <c r="L133" i="1"/>
  <c r="R187" i="6"/>
  <c r="L132" i="1"/>
  <c r="Y147" i="1"/>
  <c r="L131" i="1"/>
  <c r="L196" i="6"/>
  <c r="L202" i="6"/>
  <c r="F225" i="6"/>
  <c r="L225" i="6" s="1"/>
  <c r="L128" i="1"/>
  <c r="Y222" i="6"/>
  <c r="R225" i="6"/>
  <c r="Y195" i="1"/>
  <c r="Y198" i="1"/>
  <c r="Y185" i="6"/>
  <c r="L195" i="6"/>
  <c r="L186" i="6"/>
  <c r="S339" i="6"/>
  <c r="T227" i="6"/>
  <c r="Y221" i="6"/>
  <c r="Y236" i="1"/>
  <c r="Y146" i="1"/>
  <c r="Y262" i="1"/>
  <c r="S263" i="1"/>
  <c r="Y169" i="6"/>
  <c r="L109" i="1"/>
  <c r="L107" i="1"/>
  <c r="Y98" i="1"/>
  <c r="S148" i="1"/>
  <c r="Y148" i="1" s="1"/>
  <c r="Y186" i="1"/>
  <c r="X263" i="1"/>
  <c r="Y256" i="1"/>
  <c r="Y248" i="1"/>
  <c r="Y320" i="6"/>
  <c r="X301" i="6"/>
  <c r="Y279" i="6"/>
  <c r="Y262" i="6"/>
  <c r="Y258" i="6"/>
  <c r="Y242" i="6"/>
  <c r="Y324" i="6"/>
  <c r="Y254" i="6"/>
  <c r="Y246" i="6"/>
  <c r="P187" i="6"/>
  <c r="Y160" i="6"/>
  <c r="Y97" i="1"/>
  <c r="L98" i="1"/>
  <c r="L160" i="6"/>
  <c r="Y162" i="6"/>
  <c r="Y93" i="1"/>
  <c r="L88" i="1"/>
  <c r="Y89" i="1"/>
  <c r="Y138" i="6"/>
  <c r="L147" i="6"/>
  <c r="L69" i="6"/>
  <c r="L58" i="1"/>
  <c r="Y143" i="1"/>
  <c r="Y136" i="6"/>
  <c r="L122" i="6"/>
  <c r="L53" i="1"/>
  <c r="Y135" i="6"/>
  <c r="Y146" i="6"/>
  <c r="L139" i="6"/>
  <c r="L136" i="6"/>
  <c r="Y132" i="6"/>
  <c r="L135" i="6"/>
  <c r="K149" i="1"/>
  <c r="F149" i="1"/>
  <c r="L149" i="1" s="1"/>
  <c r="L133" i="6"/>
  <c r="L131" i="6"/>
  <c r="Y142" i="6"/>
  <c r="Y43" i="1"/>
  <c r="Y148" i="6"/>
  <c r="Y127" i="6"/>
  <c r="Y147" i="6"/>
  <c r="L121" i="6"/>
  <c r="Y158" i="6"/>
  <c r="Y125" i="6"/>
  <c r="K149" i="6"/>
  <c r="L124" i="6"/>
  <c r="Y110" i="6"/>
  <c r="Y91" i="6"/>
  <c r="Y71" i="6"/>
  <c r="Y205" i="6"/>
  <c r="X187" i="6"/>
  <c r="O187" i="6"/>
  <c r="S149" i="1"/>
  <c r="X149" i="1"/>
  <c r="Y149" i="1" s="1"/>
  <c r="S149" i="6"/>
  <c r="X149" i="6"/>
  <c r="I36" i="6"/>
  <c r="I42" i="6"/>
  <c r="I47" i="6" s="1"/>
  <c r="I74" i="6"/>
  <c r="I80" i="6"/>
  <c r="I85" i="6" s="1"/>
  <c r="I112" i="6" s="1"/>
  <c r="I118" i="6" s="1"/>
  <c r="I123" i="6" s="1"/>
  <c r="I150" i="6" s="1"/>
  <c r="I156" i="6" s="1"/>
  <c r="I161" i="6" s="1"/>
  <c r="I188" i="6" s="1"/>
  <c r="I194" i="6" s="1"/>
  <c r="I199" i="6" s="1"/>
  <c r="I226" i="6" s="1"/>
  <c r="I232" i="6" s="1"/>
  <c r="I237" i="6" s="1"/>
  <c r="I264" i="6" s="1"/>
  <c r="I270" i="6" s="1"/>
  <c r="I275" i="6" s="1"/>
  <c r="I302" i="6" s="1"/>
  <c r="I308" i="6" s="1"/>
  <c r="I313" i="6" s="1"/>
  <c r="I340" i="6" s="1"/>
  <c r="I346" i="6" s="1"/>
  <c r="I351" i="6" s="1"/>
  <c r="I378" i="6" s="1"/>
  <c r="I384" i="6" s="1"/>
  <c r="I389" i="6" s="1"/>
  <c r="I416" i="6" s="1"/>
  <c r="I422" i="6" s="1"/>
  <c r="I427" i="6" s="1"/>
  <c r="I454" i="6" s="1"/>
  <c r="I460" i="6" s="1"/>
  <c r="I465" i="6" s="1"/>
  <c r="I492" i="6" s="1"/>
  <c r="I498" i="6" s="1"/>
  <c r="I503" i="6" s="1"/>
  <c r="V36" i="6"/>
  <c r="V42" i="6"/>
  <c r="V47" i="6"/>
  <c r="V74" i="6"/>
  <c r="V80" i="6" s="1"/>
  <c r="V85" i="6" s="1"/>
  <c r="V112" i="6" s="1"/>
  <c r="V118" i="6" s="1"/>
  <c r="V123" i="6" s="1"/>
  <c r="V150" i="6" s="1"/>
  <c r="V156" i="6" s="1"/>
  <c r="V161" i="6" s="1"/>
  <c r="V188" i="6" s="1"/>
  <c r="V194" i="6" s="1"/>
  <c r="V199" i="6" s="1"/>
  <c r="V226" i="6" s="1"/>
  <c r="V232" i="6" s="1"/>
  <c r="V237" i="6" s="1"/>
  <c r="V264" i="6" s="1"/>
  <c r="V270" i="6" s="1"/>
  <c r="V275" i="6" s="1"/>
  <c r="V302" i="6" s="1"/>
  <c r="V308" i="6" s="1"/>
  <c r="V313" i="6" s="1"/>
  <c r="V340" i="6" s="1"/>
  <c r="V346" i="6" s="1"/>
  <c r="V351" i="6" s="1"/>
  <c r="V378" i="6" s="1"/>
  <c r="V384" i="6" s="1"/>
  <c r="V389" i="6" s="1"/>
  <c r="V416" i="6" s="1"/>
  <c r="V422" i="6" s="1"/>
  <c r="V427" i="6" s="1"/>
  <c r="V454" i="6" s="1"/>
  <c r="V460" i="6" s="1"/>
  <c r="V465" i="6" s="1"/>
  <c r="T36" i="6"/>
  <c r="T42" i="6"/>
  <c r="T47" i="6"/>
  <c r="T74" i="6"/>
  <c r="T80" i="6" s="1"/>
  <c r="G36" i="6"/>
  <c r="G42" i="6"/>
  <c r="G47" i="6"/>
  <c r="G74" i="6" s="1"/>
  <c r="G80" i="6" s="1"/>
  <c r="X111" i="6"/>
  <c r="U36" i="6"/>
  <c r="U42" i="6"/>
  <c r="X9" i="6"/>
  <c r="W36" i="6"/>
  <c r="W42" i="6" s="1"/>
  <c r="W47" i="6" s="1"/>
  <c r="W74" i="6" s="1"/>
  <c r="W80" i="6" s="1"/>
  <c r="W85" i="6" s="1"/>
  <c r="W112" i="6" s="1"/>
  <c r="W118" i="6" s="1"/>
  <c r="W123" i="6"/>
  <c r="W150" i="6" s="1"/>
  <c r="W156" i="6" s="1"/>
  <c r="W161" i="6" s="1"/>
  <c r="W188" i="6"/>
  <c r="W194" i="6" s="1"/>
  <c r="W199" i="6" s="1"/>
  <c r="W226" i="6" s="1"/>
  <c r="W232" i="6" s="1"/>
  <c r="W237" i="6" s="1"/>
  <c r="W264" i="6" s="1"/>
  <c r="W270" i="6" s="1"/>
  <c r="W275" i="6" s="1"/>
  <c r="W302" i="6" s="1"/>
  <c r="W308" i="6" s="1"/>
  <c r="W313" i="6" s="1"/>
  <c r="W340" i="6"/>
  <c r="W346" i="6" s="1"/>
  <c r="W351" i="6" s="1"/>
  <c r="W378" i="6" s="1"/>
  <c r="W384" i="6" s="1"/>
  <c r="W389" i="6" s="1"/>
  <c r="W416" i="6" s="1"/>
  <c r="W422" i="6" s="1"/>
  <c r="W427" i="6" s="1"/>
  <c r="W454" i="6" s="1"/>
  <c r="W460" i="6" s="1"/>
  <c r="W465" i="6" s="1"/>
  <c r="H36" i="6"/>
  <c r="H42" i="6" s="1"/>
  <c r="X35" i="6"/>
  <c r="T37" i="6" s="1"/>
  <c r="X37" i="6"/>
  <c r="X73" i="6"/>
  <c r="K9" i="6"/>
  <c r="J36" i="6"/>
  <c r="J42" i="6"/>
  <c r="J47" i="6"/>
  <c r="J74" i="6" s="1"/>
  <c r="J80" i="6" s="1"/>
  <c r="J85" i="6" s="1"/>
  <c r="J112" i="6"/>
  <c r="J118" i="6" s="1"/>
  <c r="J123" i="6" s="1"/>
  <c r="J150" i="6" s="1"/>
  <c r="J156" i="6"/>
  <c r="J161" i="6" s="1"/>
  <c r="J188" i="6" s="1"/>
  <c r="J194" i="6" s="1"/>
  <c r="J199" i="6" s="1"/>
  <c r="J226" i="6" s="1"/>
  <c r="J232" i="6" s="1"/>
  <c r="J237" i="6" s="1"/>
  <c r="J264" i="6" s="1"/>
  <c r="J270" i="6" s="1"/>
  <c r="J275" i="6" s="1"/>
  <c r="J302" i="6" s="1"/>
  <c r="J308" i="6"/>
  <c r="J313" i="6" s="1"/>
  <c r="J340" i="6" s="1"/>
  <c r="J346" i="6" s="1"/>
  <c r="J351" i="6" s="1"/>
  <c r="J378" i="6" s="1"/>
  <c r="J384" i="6" s="1"/>
  <c r="J389" i="6" s="1"/>
  <c r="J416" i="6" s="1"/>
  <c r="J422" i="6" s="1"/>
  <c r="J427" i="6" s="1"/>
  <c r="J454" i="6" s="1"/>
  <c r="J460" i="6" s="1"/>
  <c r="J465" i="6" s="1"/>
  <c r="J492" i="6" s="1"/>
  <c r="J498" i="6" s="1"/>
  <c r="J503" i="6" s="1"/>
  <c r="K73" i="6"/>
  <c r="K111" i="6"/>
  <c r="K35" i="6"/>
  <c r="K4" i="1"/>
  <c r="J73" i="1"/>
  <c r="I73" i="1"/>
  <c r="H73" i="1"/>
  <c r="G73" i="1"/>
  <c r="K71" i="1"/>
  <c r="K70" i="1"/>
  <c r="K69" i="1"/>
  <c r="L69" i="1" s="1"/>
  <c r="K68" i="1"/>
  <c r="K67" i="1"/>
  <c r="K66" i="1"/>
  <c r="K65" i="1"/>
  <c r="L65" i="1" s="1"/>
  <c r="K64" i="1"/>
  <c r="K63" i="1"/>
  <c r="K62" i="1"/>
  <c r="K60" i="1"/>
  <c r="L60" i="1" s="1"/>
  <c r="K59" i="1"/>
  <c r="K57" i="1"/>
  <c r="K56" i="1"/>
  <c r="K55" i="1"/>
  <c r="L55" i="1" s="1"/>
  <c r="K52" i="1"/>
  <c r="K51" i="1"/>
  <c r="K50" i="1"/>
  <c r="K49" i="1"/>
  <c r="L49" i="1" s="1"/>
  <c r="K48" i="1"/>
  <c r="K46" i="1"/>
  <c r="K45" i="1"/>
  <c r="K43" i="1"/>
  <c r="J35" i="1"/>
  <c r="I35" i="1"/>
  <c r="H35" i="1"/>
  <c r="G35" i="1"/>
  <c r="K33" i="1"/>
  <c r="K32" i="1"/>
  <c r="K31" i="1"/>
  <c r="K30" i="1"/>
  <c r="K29" i="1"/>
  <c r="K28" i="1"/>
  <c r="K27" i="1"/>
  <c r="K26" i="1"/>
  <c r="L26" i="1" s="1"/>
  <c r="K25" i="1"/>
  <c r="K24" i="1"/>
  <c r="K23" i="1"/>
  <c r="K22" i="1"/>
  <c r="L22" i="1" s="1"/>
  <c r="K21" i="1"/>
  <c r="K20" i="1"/>
  <c r="K19" i="1"/>
  <c r="K18" i="1"/>
  <c r="L18" i="1" s="1"/>
  <c r="K17" i="1"/>
  <c r="K16" i="1"/>
  <c r="K14" i="1"/>
  <c r="K13" i="1"/>
  <c r="L13" i="1" s="1"/>
  <c r="K12" i="1"/>
  <c r="K11" i="1"/>
  <c r="K10" i="1"/>
  <c r="J9" i="1"/>
  <c r="I9" i="1"/>
  <c r="H9" i="1"/>
  <c r="G9" i="1"/>
  <c r="K8" i="1"/>
  <c r="L8" i="1" s="1"/>
  <c r="K7" i="1"/>
  <c r="L7" i="1" s="1"/>
  <c r="K6" i="1"/>
  <c r="K5" i="1"/>
  <c r="W73" i="1"/>
  <c r="V73" i="1"/>
  <c r="U73" i="1"/>
  <c r="T73" i="1"/>
  <c r="X68" i="1"/>
  <c r="X67" i="1"/>
  <c r="X66" i="1"/>
  <c r="X65" i="1"/>
  <c r="X63" i="1"/>
  <c r="X62" i="1"/>
  <c r="X54" i="1"/>
  <c r="X53" i="1"/>
  <c r="X52" i="1"/>
  <c r="Y52" i="1" s="1"/>
  <c r="X51" i="1"/>
  <c r="X50" i="1"/>
  <c r="X49" i="1"/>
  <c r="W35" i="1"/>
  <c r="W36" i="1" s="1"/>
  <c r="W42" i="1" s="1"/>
  <c r="W47" i="1" s="1"/>
  <c r="W74" i="1" s="1"/>
  <c r="W80" i="1" s="1"/>
  <c r="W85" i="1" s="1"/>
  <c r="W112" i="1" s="1"/>
  <c r="W118" i="1" s="1"/>
  <c r="W123" i="1" s="1"/>
  <c r="W150" i="1" s="1"/>
  <c r="W156" i="1" s="1"/>
  <c r="W161" i="1" s="1"/>
  <c r="W188" i="1" s="1"/>
  <c r="W194" i="1" s="1"/>
  <c r="W199" i="1" s="1"/>
  <c r="V35" i="1"/>
  <c r="U35" i="1"/>
  <c r="T35" i="1"/>
  <c r="X30" i="1"/>
  <c r="X29" i="1"/>
  <c r="Y29" i="1" s="1"/>
  <c r="X28" i="1"/>
  <c r="X27" i="1"/>
  <c r="X26" i="1"/>
  <c r="X25" i="1"/>
  <c r="X24" i="1"/>
  <c r="X23" i="1"/>
  <c r="X21" i="1"/>
  <c r="X19" i="1"/>
  <c r="Y19" i="1" s="1"/>
  <c r="X16" i="1"/>
  <c r="X15" i="1"/>
  <c r="X14" i="1"/>
  <c r="X12" i="1"/>
  <c r="X10" i="1"/>
  <c r="W9" i="1"/>
  <c r="V9" i="1"/>
  <c r="U9" i="1"/>
  <c r="T9" i="1"/>
  <c r="X8" i="1"/>
  <c r="X5" i="1"/>
  <c r="X4" i="1"/>
  <c r="E111" i="6"/>
  <c r="D111" i="6"/>
  <c r="C111" i="6"/>
  <c r="B111" i="6"/>
  <c r="F110" i="6"/>
  <c r="L110" i="6" s="1"/>
  <c r="F109" i="6"/>
  <c r="L109" i="6"/>
  <c r="F108" i="6"/>
  <c r="L108" i="6" s="1"/>
  <c r="F107" i="6"/>
  <c r="L107" i="6"/>
  <c r="F106" i="6"/>
  <c r="L106" i="6" s="1"/>
  <c r="F105" i="6"/>
  <c r="L105" i="6"/>
  <c r="F104" i="6"/>
  <c r="L104" i="6" s="1"/>
  <c r="F103" i="6"/>
  <c r="L103" i="6"/>
  <c r="F102" i="6"/>
  <c r="L102" i="6" s="1"/>
  <c r="F101" i="6"/>
  <c r="L101" i="6"/>
  <c r="F100" i="6"/>
  <c r="L100" i="6" s="1"/>
  <c r="F99" i="6"/>
  <c r="L99" i="6"/>
  <c r="F98" i="6"/>
  <c r="L98" i="6" s="1"/>
  <c r="F97" i="6"/>
  <c r="L97" i="6"/>
  <c r="F96" i="6"/>
  <c r="L96" i="6" s="1"/>
  <c r="F95" i="6"/>
  <c r="L95" i="6"/>
  <c r="F94" i="6"/>
  <c r="L94" i="6" s="1"/>
  <c r="F93" i="6"/>
  <c r="L93" i="6"/>
  <c r="F92" i="6"/>
  <c r="L92" i="6" s="1"/>
  <c r="F91" i="6"/>
  <c r="L91" i="6"/>
  <c r="F90" i="6"/>
  <c r="L90" i="6" s="1"/>
  <c r="F89" i="6"/>
  <c r="L89" i="6"/>
  <c r="F88" i="6"/>
  <c r="L88" i="6" s="1"/>
  <c r="F87" i="6"/>
  <c r="L87" i="6"/>
  <c r="F84" i="6"/>
  <c r="L84" i="6"/>
  <c r="F83" i="6"/>
  <c r="L83" i="6"/>
  <c r="F82" i="6"/>
  <c r="L82" i="6"/>
  <c r="F81" i="6"/>
  <c r="L81" i="6"/>
  <c r="S6" i="6"/>
  <c r="Y6" i="6"/>
  <c r="S44" i="6"/>
  <c r="Y44" i="6"/>
  <c r="S45" i="6"/>
  <c r="Y45" i="6"/>
  <c r="R111" i="6"/>
  <c r="Q111" i="6"/>
  <c r="P111" i="6"/>
  <c r="O111" i="6"/>
  <c r="S106" i="6"/>
  <c r="Y106" i="6"/>
  <c r="S105" i="6"/>
  <c r="Y105" i="6" s="1"/>
  <c r="S104" i="6"/>
  <c r="Y104" i="6"/>
  <c r="S103" i="6"/>
  <c r="Y103" i="6" s="1"/>
  <c r="S102" i="6"/>
  <c r="Y102" i="6"/>
  <c r="S101" i="6"/>
  <c r="Y101" i="6" s="1"/>
  <c r="S100" i="6"/>
  <c r="Y100" i="6"/>
  <c r="S99" i="6"/>
  <c r="Y99" i="6" s="1"/>
  <c r="S98" i="6"/>
  <c r="Y98" i="6"/>
  <c r="S97" i="6"/>
  <c r="Y97" i="6" s="1"/>
  <c r="S96" i="6"/>
  <c r="Y96" i="6"/>
  <c r="S95" i="6"/>
  <c r="Y95" i="6" s="1"/>
  <c r="S92" i="6"/>
  <c r="Y92" i="6"/>
  <c r="S90" i="6"/>
  <c r="Y90" i="6" s="1"/>
  <c r="S89" i="6"/>
  <c r="Y89" i="6"/>
  <c r="S84" i="6"/>
  <c r="Y84" i="6" s="1"/>
  <c r="S83" i="6"/>
  <c r="Y83" i="6"/>
  <c r="S82" i="6"/>
  <c r="Y82" i="6" s="1"/>
  <c r="S81" i="6"/>
  <c r="Y81" i="6"/>
  <c r="S32" i="6"/>
  <c r="Y32" i="6" s="1"/>
  <c r="S34" i="6"/>
  <c r="Y34" i="6"/>
  <c r="S5" i="6"/>
  <c r="S4" i="6"/>
  <c r="Y4" i="6"/>
  <c r="F7" i="1"/>
  <c r="F6" i="1"/>
  <c r="L6" i="1" s="1"/>
  <c r="F5" i="1"/>
  <c r="L5" i="1" s="1"/>
  <c r="F4" i="1"/>
  <c r="R73" i="6"/>
  <c r="Q73" i="6"/>
  <c r="P73" i="6"/>
  <c r="O73" i="6"/>
  <c r="E73" i="6"/>
  <c r="F73" i="6" s="1"/>
  <c r="D73" i="6"/>
  <c r="C73" i="6"/>
  <c r="B73" i="6"/>
  <c r="F72" i="6"/>
  <c r="L72" i="6" s="1"/>
  <c r="F71" i="6"/>
  <c r="L71" i="6"/>
  <c r="S70" i="6"/>
  <c r="Y70" i="6" s="1"/>
  <c r="F70" i="6"/>
  <c r="L70" i="6"/>
  <c r="S69" i="6"/>
  <c r="Y69" i="6" s="1"/>
  <c r="S68" i="6"/>
  <c r="Y68" i="6"/>
  <c r="F68" i="6"/>
  <c r="L68" i="6" s="1"/>
  <c r="S67" i="6"/>
  <c r="Y67" i="6"/>
  <c r="F67" i="6"/>
  <c r="L67" i="6" s="1"/>
  <c r="S66" i="6"/>
  <c r="Y66" i="6"/>
  <c r="F66" i="6"/>
  <c r="L66" i="6" s="1"/>
  <c r="S65" i="6"/>
  <c r="Y65" i="6"/>
  <c r="F65" i="6"/>
  <c r="L65" i="6" s="1"/>
  <c r="S64" i="6"/>
  <c r="Y64" i="6"/>
  <c r="F64" i="6"/>
  <c r="L64" i="6" s="1"/>
  <c r="S63" i="6"/>
  <c r="Y63" i="6"/>
  <c r="F63" i="6"/>
  <c r="L63" i="6" s="1"/>
  <c r="S62" i="6"/>
  <c r="Y62" i="6"/>
  <c r="F62" i="6"/>
  <c r="L62" i="6" s="1"/>
  <c r="S61" i="6"/>
  <c r="Y61" i="6"/>
  <c r="F61" i="6"/>
  <c r="L61" i="6" s="1"/>
  <c r="F60" i="6"/>
  <c r="L60" i="6"/>
  <c r="F59" i="6"/>
  <c r="L59" i="6" s="1"/>
  <c r="S58" i="6"/>
  <c r="Y58" i="6"/>
  <c r="F58" i="6"/>
  <c r="L58" i="6" s="1"/>
  <c r="F57" i="6"/>
  <c r="L57" i="6"/>
  <c r="F56" i="6"/>
  <c r="L56" i="6" s="1"/>
  <c r="F55" i="6"/>
  <c r="L55" i="6"/>
  <c r="F54" i="6"/>
  <c r="L54" i="6" s="1"/>
  <c r="S53" i="6"/>
  <c r="Y53" i="6"/>
  <c r="F53" i="6"/>
  <c r="L53" i="6" s="1"/>
  <c r="F52" i="6"/>
  <c r="L52" i="6"/>
  <c r="S51" i="6"/>
  <c r="Y51" i="6" s="1"/>
  <c r="F51" i="6"/>
  <c r="L51" i="6"/>
  <c r="S50" i="6"/>
  <c r="Y50" i="6" s="1"/>
  <c r="F50" i="6"/>
  <c r="L50" i="6"/>
  <c r="S49" i="6"/>
  <c r="Y49" i="6" s="1"/>
  <c r="F49" i="6"/>
  <c r="L49" i="6"/>
  <c r="S48" i="6"/>
  <c r="Y48" i="6" s="1"/>
  <c r="S46" i="6"/>
  <c r="Y46" i="6"/>
  <c r="F46" i="6"/>
  <c r="L46" i="6" s="1"/>
  <c r="F45" i="6"/>
  <c r="L45" i="6"/>
  <c r="F44" i="6"/>
  <c r="L44" i="6" s="1"/>
  <c r="S43" i="6"/>
  <c r="Y43" i="6"/>
  <c r="F43" i="6"/>
  <c r="L43" i="6" s="1"/>
  <c r="R35" i="6"/>
  <c r="Q35" i="6"/>
  <c r="Q227" i="6" s="1"/>
  <c r="P35" i="6"/>
  <c r="P227" i="6" s="1"/>
  <c r="O35" i="6"/>
  <c r="E35" i="6"/>
  <c r="D35" i="6"/>
  <c r="D36" i="6" s="1"/>
  <c r="C35" i="6"/>
  <c r="F35" i="6" s="1"/>
  <c r="L35" i="6" s="1"/>
  <c r="B35" i="6"/>
  <c r="F34" i="6"/>
  <c r="L34" i="6"/>
  <c r="S33" i="6"/>
  <c r="Y33" i="6" s="1"/>
  <c r="F33" i="6"/>
  <c r="L33" i="6"/>
  <c r="F32" i="6"/>
  <c r="L32" i="6" s="1"/>
  <c r="S31" i="6"/>
  <c r="Y31" i="6"/>
  <c r="F31" i="6"/>
  <c r="L31" i="6" s="1"/>
  <c r="S30" i="6"/>
  <c r="Y30" i="6"/>
  <c r="F30" i="6"/>
  <c r="L30" i="6" s="1"/>
  <c r="S29" i="6"/>
  <c r="Y29" i="6"/>
  <c r="F29" i="6"/>
  <c r="L29" i="6" s="1"/>
  <c r="S28" i="6"/>
  <c r="Y28" i="6"/>
  <c r="F28" i="6"/>
  <c r="L28" i="6" s="1"/>
  <c r="S27" i="6"/>
  <c r="Y27" i="6"/>
  <c r="F27" i="6"/>
  <c r="L27" i="6" s="1"/>
  <c r="S26" i="6"/>
  <c r="Y26" i="6"/>
  <c r="F26" i="6"/>
  <c r="L26" i="6" s="1"/>
  <c r="S25" i="6"/>
  <c r="Y25" i="6"/>
  <c r="F25" i="6"/>
  <c r="L25" i="6" s="1"/>
  <c r="S24" i="6"/>
  <c r="Y24" i="6"/>
  <c r="F24" i="6"/>
  <c r="L24" i="6" s="1"/>
  <c r="S23" i="6"/>
  <c r="Y23" i="6"/>
  <c r="F23" i="6"/>
  <c r="L23" i="6" s="1"/>
  <c r="S22" i="6"/>
  <c r="Y22" i="6"/>
  <c r="S21" i="6"/>
  <c r="Y21" i="6" s="1"/>
  <c r="F21" i="6"/>
  <c r="L21" i="6"/>
  <c r="S20" i="6"/>
  <c r="Y20" i="6" s="1"/>
  <c r="F20" i="6"/>
  <c r="L20" i="6"/>
  <c r="S19" i="6"/>
  <c r="Y19" i="6" s="1"/>
  <c r="F19" i="6"/>
  <c r="L19" i="6"/>
  <c r="S18" i="6"/>
  <c r="Y18" i="6" s="1"/>
  <c r="F18" i="6"/>
  <c r="L18" i="6"/>
  <c r="S17" i="6"/>
  <c r="Y17" i="6" s="1"/>
  <c r="F17" i="6"/>
  <c r="L17" i="6"/>
  <c r="S16" i="6"/>
  <c r="Y16" i="6" s="1"/>
  <c r="F16" i="6"/>
  <c r="L16" i="6"/>
  <c r="S15" i="6"/>
  <c r="Y15" i="6" s="1"/>
  <c r="F15" i="6"/>
  <c r="L15" i="6"/>
  <c r="S14" i="6"/>
  <c r="Y14" i="6" s="1"/>
  <c r="F14" i="6"/>
  <c r="L14" i="6"/>
  <c r="S13" i="6"/>
  <c r="Y13" i="6" s="1"/>
  <c r="F13" i="6"/>
  <c r="L13" i="6"/>
  <c r="S12" i="6"/>
  <c r="Y12" i="6" s="1"/>
  <c r="F11" i="6"/>
  <c r="L11" i="6"/>
  <c r="S10" i="6"/>
  <c r="Y10" i="6" s="1"/>
  <c r="F10" i="6"/>
  <c r="L10" i="6"/>
  <c r="R9" i="6"/>
  <c r="Q9" i="6"/>
  <c r="P9" i="6"/>
  <c r="O9" i="6"/>
  <c r="O36" i="6" s="1"/>
  <c r="O42" i="6" s="1"/>
  <c r="E9" i="6"/>
  <c r="E36" i="6" s="1"/>
  <c r="E42" i="6" s="1"/>
  <c r="E47" i="6" s="1"/>
  <c r="E74" i="6" s="1"/>
  <c r="E80" i="6" s="1"/>
  <c r="E85" i="6" s="1"/>
  <c r="E112" i="6" s="1"/>
  <c r="E118" i="6" s="1"/>
  <c r="E123" i="6" s="1"/>
  <c r="E150" i="6" s="1"/>
  <c r="E156" i="6" s="1"/>
  <c r="E161" i="6" s="1"/>
  <c r="E188" i="6" s="1"/>
  <c r="E194" i="6" s="1"/>
  <c r="E199" i="6" s="1"/>
  <c r="E226" i="6" s="1"/>
  <c r="E232" i="6" s="1"/>
  <c r="E237" i="6" s="1"/>
  <c r="E264" i="6" s="1"/>
  <c r="E270" i="6" s="1"/>
  <c r="E275" i="6" s="1"/>
  <c r="E302" i="6" s="1"/>
  <c r="E308" i="6" s="1"/>
  <c r="E313" i="6" s="1"/>
  <c r="E340" i="6" s="1"/>
  <c r="E346" i="6" s="1"/>
  <c r="E351" i="6" s="1"/>
  <c r="E378" i="6" s="1"/>
  <c r="E384" i="6" s="1"/>
  <c r="E389" i="6" s="1"/>
  <c r="E416" i="6" s="1"/>
  <c r="E422" i="6" s="1"/>
  <c r="E427" i="6" s="1"/>
  <c r="E454" i="6" s="1"/>
  <c r="E460" i="6" s="1"/>
  <c r="E465" i="6" s="1"/>
  <c r="E492" i="6" s="1"/>
  <c r="E498" i="6" s="1"/>
  <c r="E503" i="6" s="1"/>
  <c r="D9" i="6"/>
  <c r="C9" i="6"/>
  <c r="B9" i="6"/>
  <c r="S8" i="6"/>
  <c r="Y8" i="6" s="1"/>
  <c r="F8" i="6"/>
  <c r="L8" i="6"/>
  <c r="S7" i="6"/>
  <c r="Y7" i="6" s="1"/>
  <c r="F7" i="6"/>
  <c r="L7" i="6" s="1"/>
  <c r="F6" i="6"/>
  <c r="L6" i="6" s="1"/>
  <c r="F5" i="6"/>
  <c r="L5" i="6" s="1"/>
  <c r="F4" i="6"/>
  <c r="L4" i="6" s="1"/>
  <c r="S377" i="6"/>
  <c r="Y377" i="6" s="1"/>
  <c r="L415" i="6"/>
  <c r="L377" i="6"/>
  <c r="T113" i="1"/>
  <c r="U113" i="1"/>
  <c r="R227" i="6"/>
  <c r="L453" i="6"/>
  <c r="O227" i="6"/>
  <c r="W37" i="6"/>
  <c r="U37" i="6"/>
  <c r="V37" i="6"/>
  <c r="L263" i="1"/>
  <c r="L301" i="6"/>
  <c r="Y415" i="6"/>
  <c r="L263" i="6"/>
  <c r="S225" i="6"/>
  <c r="Y377" i="1"/>
  <c r="Y263" i="6"/>
  <c r="Y301" i="6"/>
  <c r="L187" i="6"/>
  <c r="S187" i="6"/>
  <c r="L149" i="6"/>
  <c r="Y149" i="6"/>
  <c r="X36" i="6"/>
  <c r="K36" i="6"/>
  <c r="D42" i="6"/>
  <c r="D47" i="6" s="1"/>
  <c r="D74" i="6" s="1"/>
  <c r="D80" i="6" s="1"/>
  <c r="D85" i="6"/>
  <c r="D112" i="6"/>
  <c r="D118" i="6" s="1"/>
  <c r="D123" i="6" s="1"/>
  <c r="D150" i="6" s="1"/>
  <c r="D156" i="6" s="1"/>
  <c r="D161" i="6" s="1"/>
  <c r="D188" i="6" s="1"/>
  <c r="D194" i="6" s="1"/>
  <c r="D199" i="6" s="1"/>
  <c r="D226" i="6" s="1"/>
  <c r="D232" i="6" s="1"/>
  <c r="D237" i="6" s="1"/>
  <c r="D264" i="6" s="1"/>
  <c r="D270" i="6" s="1"/>
  <c r="D275" i="6" s="1"/>
  <c r="D302" i="6" s="1"/>
  <c r="D308" i="6" s="1"/>
  <c r="D313" i="6" s="1"/>
  <c r="D340" i="6" s="1"/>
  <c r="D346" i="6" s="1"/>
  <c r="D351" i="6" s="1"/>
  <c r="D378" i="6" s="1"/>
  <c r="D384" i="6" s="1"/>
  <c r="D389" i="6" s="1"/>
  <c r="D416" i="6" s="1"/>
  <c r="D422" i="6" s="1"/>
  <c r="D427" i="6" s="1"/>
  <c r="D454" i="6" s="1"/>
  <c r="D460" i="6" s="1"/>
  <c r="D465" i="6" s="1"/>
  <c r="S111" i="6"/>
  <c r="Y111" i="6" s="1"/>
  <c r="F111" i="6"/>
  <c r="L111" i="6" s="1"/>
  <c r="C36" i="6"/>
  <c r="C42" i="6" s="1"/>
  <c r="C47" i="6" s="1"/>
  <c r="C74" i="6" s="1"/>
  <c r="C80" i="6" s="1"/>
  <c r="C85" i="6" s="1"/>
  <c r="C112" i="6" s="1"/>
  <c r="C118" i="6" s="1"/>
  <c r="C123" i="6" s="1"/>
  <c r="C150" i="6" s="1"/>
  <c r="C156" i="6" s="1"/>
  <c r="C161" i="6" s="1"/>
  <c r="C188" i="6" s="1"/>
  <c r="C194" i="6" s="1"/>
  <c r="C199" i="6" s="1"/>
  <c r="C226" i="6" s="1"/>
  <c r="C232" i="6" s="1"/>
  <c r="C237" i="6" s="1"/>
  <c r="C264" i="6" s="1"/>
  <c r="C270" i="6" s="1"/>
  <c r="C275" i="6" s="1"/>
  <c r="C302" i="6" s="1"/>
  <c r="C308" i="6" s="1"/>
  <c r="C313" i="6" s="1"/>
  <c r="C340" i="6" s="1"/>
  <c r="C346" i="6" s="1"/>
  <c r="C351" i="6" s="1"/>
  <c r="C378" i="6" s="1"/>
  <c r="C384" i="6" s="1"/>
  <c r="C389" i="6" s="1"/>
  <c r="C416" i="6" s="1"/>
  <c r="C422" i="6" s="1"/>
  <c r="C427" i="6" s="1"/>
  <c r="C454" i="6" s="1"/>
  <c r="C460" i="6" s="1"/>
  <c r="C465" i="6" s="1"/>
  <c r="T85" i="6"/>
  <c r="T112" i="6" s="1"/>
  <c r="T118" i="6"/>
  <c r="L73" i="6"/>
  <c r="B36" i="6"/>
  <c r="B42" i="6"/>
  <c r="B47" i="6" s="1"/>
  <c r="B74" i="6" s="1"/>
  <c r="B80" i="6" s="1"/>
  <c r="T36" i="1"/>
  <c r="T42" i="1" s="1"/>
  <c r="T47" i="1" s="1"/>
  <c r="T74" i="1" s="1"/>
  <c r="T80" i="1" s="1"/>
  <c r="S73" i="6"/>
  <c r="Y73" i="6" s="1"/>
  <c r="R36" i="6"/>
  <c r="R42" i="6" s="1"/>
  <c r="R47" i="6" s="1"/>
  <c r="R74" i="6" s="1"/>
  <c r="R80" i="6" s="1"/>
  <c r="R85" i="6" s="1"/>
  <c r="R112" i="6" s="1"/>
  <c r="R118" i="6" s="1"/>
  <c r="R123" i="6" s="1"/>
  <c r="R150" i="6" s="1"/>
  <c r="R156" i="6" s="1"/>
  <c r="R161" i="6" s="1"/>
  <c r="R188" i="6" s="1"/>
  <c r="R194" i="6" s="1"/>
  <c r="R199" i="6" s="1"/>
  <c r="R226" i="6" s="1"/>
  <c r="R232" i="6" s="1"/>
  <c r="R237" i="6" s="1"/>
  <c r="R264" i="6" s="1"/>
  <c r="R270" i="6" s="1"/>
  <c r="R275" i="6" s="1"/>
  <c r="R302" i="6" s="1"/>
  <c r="R308" i="6" s="1"/>
  <c r="R313" i="6" s="1"/>
  <c r="R340" i="6" s="1"/>
  <c r="R346" i="6" s="1"/>
  <c r="R351" i="6" s="1"/>
  <c r="R378" i="6" s="1"/>
  <c r="R384" i="6" s="1"/>
  <c r="R389" i="6" s="1"/>
  <c r="R416" i="6" s="1"/>
  <c r="R422" i="6" s="1"/>
  <c r="R427" i="6" s="1"/>
  <c r="R454" i="6" s="1"/>
  <c r="R460" i="6" s="1"/>
  <c r="R465" i="6" s="1"/>
  <c r="Q36" i="6"/>
  <c r="Q42" i="6" s="1"/>
  <c r="Q47" i="6" s="1"/>
  <c r="Q74" i="6"/>
  <c r="Q80" i="6"/>
  <c r="Q85" i="6" s="1"/>
  <c r="Q112" i="6" s="1"/>
  <c r="Q118" i="6"/>
  <c r="Q123" i="6" s="1"/>
  <c r="Q150" i="6" s="1"/>
  <c r="Q156" i="6" s="1"/>
  <c r="Q161" i="6" s="1"/>
  <c r="Q188" i="6" s="1"/>
  <c r="Q194" i="6" s="1"/>
  <c r="Q199" i="6" s="1"/>
  <c r="Q226" i="6" s="1"/>
  <c r="Q232" i="6" s="1"/>
  <c r="Q237" i="6" s="1"/>
  <c r="Q264" i="6" s="1"/>
  <c r="Q270" i="6" s="1"/>
  <c r="Q275" i="6" s="1"/>
  <c r="Q302" i="6" s="1"/>
  <c r="Q308" i="6" s="1"/>
  <c r="Q313" i="6" s="1"/>
  <c r="Q340" i="6" s="1"/>
  <c r="Q346" i="6" s="1"/>
  <c r="Q351" i="6" s="1"/>
  <c r="Q378" i="6" s="1"/>
  <c r="Q384" i="6" s="1"/>
  <c r="Q389" i="6" s="1"/>
  <c r="Q416" i="6" s="1"/>
  <c r="Q422" i="6" s="1"/>
  <c r="Q427" i="6" s="1"/>
  <c r="Q454" i="6" s="1"/>
  <c r="Q460" i="6" s="1"/>
  <c r="Q465" i="6" s="1"/>
  <c r="P36" i="6"/>
  <c r="P42" i="6"/>
  <c r="P47" i="6" s="1"/>
  <c r="P74" i="6" s="1"/>
  <c r="P80" i="6"/>
  <c r="P85" i="6" s="1"/>
  <c r="P112" i="6" s="1"/>
  <c r="P118" i="6" s="1"/>
  <c r="P123" i="6" s="1"/>
  <c r="P150" i="6" s="1"/>
  <c r="P156" i="6" s="1"/>
  <c r="P161" i="6" s="1"/>
  <c r="P188" i="6" s="1"/>
  <c r="P194" i="6" s="1"/>
  <c r="P199" i="6" s="1"/>
  <c r="P226" i="6" s="1"/>
  <c r="P232" i="6" s="1"/>
  <c r="P237" i="6" s="1"/>
  <c r="P264" i="6" s="1"/>
  <c r="P270" i="6" s="1"/>
  <c r="P275" i="6" s="1"/>
  <c r="P302" i="6" s="1"/>
  <c r="P308" i="6" s="1"/>
  <c r="P313" i="6" s="1"/>
  <c r="P340" i="6" s="1"/>
  <c r="P346" i="6" s="1"/>
  <c r="P351" i="6" s="1"/>
  <c r="P378" i="6" s="1"/>
  <c r="P384" i="6" s="1"/>
  <c r="P389" i="6" s="1"/>
  <c r="P416" i="6" s="1"/>
  <c r="P422" i="6" s="1"/>
  <c r="P427" i="6" s="1"/>
  <c r="P454" i="6" s="1"/>
  <c r="P460" i="6" s="1"/>
  <c r="P465" i="6" s="1"/>
  <c r="S35" i="6"/>
  <c r="P37" i="6"/>
  <c r="O47" i="6"/>
  <c r="O74" i="6" s="1"/>
  <c r="O80" i="6" s="1"/>
  <c r="S66" i="1"/>
  <c r="S37" i="6"/>
  <c r="O37" i="6"/>
  <c r="S227" i="6"/>
  <c r="P228" i="6" s="1"/>
  <c r="Y187" i="6"/>
  <c r="T123" i="6"/>
  <c r="T150" i="6" s="1"/>
  <c r="T156" i="6" s="1"/>
  <c r="T161" i="6" s="1"/>
  <c r="T188" i="6" s="1"/>
  <c r="T194" i="6" s="1"/>
  <c r="B85" i="6"/>
  <c r="B112" i="6" s="1"/>
  <c r="B118" i="6" s="1"/>
  <c r="O228" i="6"/>
  <c r="S54" i="1"/>
  <c r="Y54" i="1" s="1"/>
  <c r="S50" i="1"/>
  <c r="Y50" i="1" s="1"/>
  <c r="S30" i="1"/>
  <c r="S26" i="1"/>
  <c r="S16" i="1"/>
  <c r="Y16" i="1"/>
  <c r="S15" i="1"/>
  <c r="Y15" i="1"/>
  <c r="S12" i="1"/>
  <c r="Y12" i="1"/>
  <c r="F10" i="1"/>
  <c r="L10" i="1"/>
  <c r="S10" i="1"/>
  <c r="Y10" i="1"/>
  <c r="S49" i="1"/>
  <c r="Y49" i="1"/>
  <c r="S51" i="1"/>
  <c r="Y51" i="1"/>
  <c r="S52" i="1"/>
  <c r="S53" i="1"/>
  <c r="Y53" i="1"/>
  <c r="S27" i="1"/>
  <c r="Y27" i="1"/>
  <c r="S28" i="1"/>
  <c r="Y28" i="1"/>
  <c r="S29" i="1"/>
  <c r="S14" i="1"/>
  <c r="Y14" i="1"/>
  <c r="S19" i="1"/>
  <c r="S21" i="1"/>
  <c r="Y21" i="1"/>
  <c r="S23" i="1"/>
  <c r="Y23" i="1"/>
  <c r="F48" i="1"/>
  <c r="L48" i="1"/>
  <c r="F49" i="1"/>
  <c r="F50" i="1"/>
  <c r="L50" i="1"/>
  <c r="F51" i="1"/>
  <c r="L51" i="1"/>
  <c r="F52" i="1"/>
  <c r="L52" i="1"/>
  <c r="F55" i="1"/>
  <c r="F56" i="1"/>
  <c r="L56" i="1"/>
  <c r="F57" i="1"/>
  <c r="L57" i="1"/>
  <c r="F59" i="1"/>
  <c r="L59" i="1"/>
  <c r="F60" i="1"/>
  <c r="F62" i="1"/>
  <c r="L62" i="1"/>
  <c r="F63" i="1"/>
  <c r="L63" i="1"/>
  <c r="F64" i="1"/>
  <c r="L64" i="1"/>
  <c r="F65" i="1"/>
  <c r="F66" i="1"/>
  <c r="L66" i="1"/>
  <c r="F67" i="1"/>
  <c r="L67" i="1"/>
  <c r="F68" i="1"/>
  <c r="L68" i="1"/>
  <c r="F11" i="1"/>
  <c r="L11" i="1"/>
  <c r="F12" i="1"/>
  <c r="L12" i="1"/>
  <c r="F13" i="1"/>
  <c r="F14" i="1"/>
  <c r="L14" i="1"/>
  <c r="F16" i="1"/>
  <c r="L16" i="1"/>
  <c r="F17" i="1"/>
  <c r="L17" i="1"/>
  <c r="F18" i="1"/>
  <c r="F19" i="1"/>
  <c r="L19" i="1"/>
  <c r="F20" i="1"/>
  <c r="L20" i="1"/>
  <c r="F21" i="1"/>
  <c r="L21" i="1"/>
  <c r="F22" i="1"/>
  <c r="F23" i="1"/>
  <c r="L23" i="1"/>
  <c r="F24" i="1"/>
  <c r="L24" i="1"/>
  <c r="F25" i="1"/>
  <c r="L25" i="1"/>
  <c r="F26" i="1"/>
  <c r="F27" i="1"/>
  <c r="L27" i="1"/>
  <c r="F8" i="1"/>
  <c r="F28" i="1"/>
  <c r="L28" i="1"/>
  <c r="E73" i="1"/>
  <c r="D73" i="1"/>
  <c r="C73" i="1"/>
  <c r="B73" i="1"/>
  <c r="F73" i="1" s="1"/>
  <c r="F71" i="1"/>
  <c r="L71" i="1"/>
  <c r="F70" i="1"/>
  <c r="L70" i="1"/>
  <c r="F69" i="1"/>
  <c r="F46" i="1"/>
  <c r="L46" i="1"/>
  <c r="F45" i="1"/>
  <c r="L45" i="1"/>
  <c r="F43" i="1"/>
  <c r="L43" i="1"/>
  <c r="S5" i="1"/>
  <c r="R73" i="1"/>
  <c r="Q73" i="1"/>
  <c r="P73" i="1"/>
  <c r="S68" i="1"/>
  <c r="S67" i="1"/>
  <c r="S65" i="1"/>
  <c r="Y65" i="1" s="1"/>
  <c r="S63" i="1"/>
  <c r="S62" i="1"/>
  <c r="O73" i="1"/>
  <c r="S73" i="1" s="1"/>
  <c r="R35" i="1"/>
  <c r="Q35" i="1"/>
  <c r="Q113" i="1"/>
  <c r="Q303" i="1" s="1"/>
  <c r="P35" i="1"/>
  <c r="P113" i="1" s="1"/>
  <c r="O35" i="1"/>
  <c r="S35" i="1" s="1"/>
  <c r="S25" i="1"/>
  <c r="Y25" i="1" s="1"/>
  <c r="S24" i="1"/>
  <c r="Y24" i="1" s="1"/>
  <c r="S8" i="1"/>
  <c r="Y8" i="1" s="1"/>
  <c r="E35" i="1"/>
  <c r="D35" i="1"/>
  <c r="C35" i="1"/>
  <c r="B35" i="1"/>
  <c r="F33" i="1"/>
  <c r="F32" i="1"/>
  <c r="L32" i="1" s="1"/>
  <c r="F31" i="1"/>
  <c r="L31" i="1" s="1"/>
  <c r="F30" i="1"/>
  <c r="F29" i="1"/>
  <c r="F35" i="1"/>
  <c r="E9" i="1"/>
  <c r="E36" i="1"/>
  <c r="E42" i="1" s="1"/>
  <c r="E47" i="1" s="1"/>
  <c r="E74" i="1" s="1"/>
  <c r="E80" i="1" s="1"/>
  <c r="E85" i="1" s="1"/>
  <c r="R9" i="1"/>
  <c r="R36" i="1" s="1"/>
  <c r="R42" i="1" s="1"/>
  <c r="R47" i="1" s="1"/>
  <c r="R74" i="1" s="1"/>
  <c r="R80" i="1" s="1"/>
  <c r="R85" i="1" s="1"/>
  <c r="R112" i="1" s="1"/>
  <c r="R118" i="1" s="1"/>
  <c r="R123" i="1" s="1"/>
  <c r="R150" i="1" s="1"/>
  <c r="R156" i="1" s="1"/>
  <c r="R161" i="1" s="1"/>
  <c r="R188" i="1" s="1"/>
  <c r="R194" i="1" s="1"/>
  <c r="R199" i="1" s="1"/>
  <c r="R226" i="1" s="1"/>
  <c r="R232" i="1" s="1"/>
  <c r="R237" i="1" s="1"/>
  <c r="R264" i="1" s="1"/>
  <c r="R270" i="1" s="1"/>
  <c r="R275" i="1" s="1"/>
  <c r="R302" i="1" s="1"/>
  <c r="R308" i="1" s="1"/>
  <c r="R313" i="1" s="1"/>
  <c r="R340" i="1" s="1"/>
  <c r="R346" i="1" s="1"/>
  <c r="R351" i="1" s="1"/>
  <c r="R378" i="1" s="1"/>
  <c r="R384" i="1" s="1"/>
  <c r="R389" i="1" s="1"/>
  <c r="R416" i="1" s="1"/>
  <c r="R422" i="1" s="1"/>
  <c r="R427" i="1" s="1"/>
  <c r="Q9" i="1"/>
  <c r="Q36" i="1"/>
  <c r="Q42" i="1" s="1"/>
  <c r="Q47" i="1" s="1"/>
  <c r="P9" i="1"/>
  <c r="P36" i="1" s="1"/>
  <c r="P42" i="1" s="1"/>
  <c r="P47" i="1" s="1"/>
  <c r="P74" i="1" s="1"/>
  <c r="P80" i="1" s="1"/>
  <c r="P85" i="1" s="1"/>
  <c r="P112" i="1" s="1"/>
  <c r="P118" i="1" s="1"/>
  <c r="P123" i="1" s="1"/>
  <c r="P150" i="1" s="1"/>
  <c r="P156" i="1" s="1"/>
  <c r="P161" i="1" s="1"/>
  <c r="P188" i="1" s="1"/>
  <c r="P194" i="1" s="1"/>
  <c r="P199" i="1" s="1"/>
  <c r="P226" i="1" s="1"/>
  <c r="P232" i="1" s="1"/>
  <c r="P237" i="1" s="1"/>
  <c r="P264" i="1" s="1"/>
  <c r="P270" i="1" s="1"/>
  <c r="P275" i="1" s="1"/>
  <c r="P302" i="1" s="1"/>
  <c r="P308" i="1" s="1"/>
  <c r="P313" i="1" s="1"/>
  <c r="P340" i="1" s="1"/>
  <c r="P346" i="1" s="1"/>
  <c r="P351" i="1" s="1"/>
  <c r="P378" i="1" s="1"/>
  <c r="P384" i="1" s="1"/>
  <c r="P389" i="1" s="1"/>
  <c r="P416" i="1" s="1"/>
  <c r="P422" i="1" s="1"/>
  <c r="P427" i="1" s="1"/>
  <c r="D9" i="1"/>
  <c r="C9" i="1"/>
  <c r="C36" i="1" s="1"/>
  <c r="C42" i="1" s="1"/>
  <c r="C47" i="1" s="1"/>
  <c r="C74" i="1" s="1"/>
  <c r="C80" i="1" s="1"/>
  <c r="C85" i="1" s="1"/>
  <c r="C112" i="1" s="1"/>
  <c r="C118" i="1" s="1"/>
  <c r="C123" i="1" s="1"/>
  <c r="C150" i="1" s="1"/>
  <c r="C156" i="1" s="1"/>
  <c r="C161" i="1" s="1"/>
  <c r="C188" i="1" s="1"/>
  <c r="C194" i="1" s="1"/>
  <c r="C199" i="1" s="1"/>
  <c r="C226" i="1" s="1"/>
  <c r="C232" i="1" s="1"/>
  <c r="C237" i="1" s="1"/>
  <c r="C264" i="1" s="1"/>
  <c r="C270" i="1" s="1"/>
  <c r="C275" i="1" s="1"/>
  <c r="C302" i="1" s="1"/>
  <c r="C308" i="1" s="1"/>
  <c r="C313" i="1" s="1"/>
  <c r="C340" i="1" s="1"/>
  <c r="C346" i="1" s="1"/>
  <c r="C351" i="1" s="1"/>
  <c r="C378" i="1" s="1"/>
  <c r="C384" i="1" s="1"/>
  <c r="C389" i="1" s="1"/>
  <c r="C416" i="1" s="1"/>
  <c r="C422" i="1" s="1"/>
  <c r="C427" i="1" s="1"/>
  <c r="B9" i="1"/>
  <c r="B36" i="1" s="1"/>
  <c r="B42" i="1"/>
  <c r="B47" i="1" s="1"/>
  <c r="S4" i="1"/>
  <c r="O9" i="1"/>
  <c r="O36" i="1" s="1"/>
  <c r="O42" i="1" s="1"/>
  <c r="Y703" i="6" l="1"/>
  <c r="L692" i="1"/>
  <c r="L702" i="1"/>
  <c r="L692" i="6"/>
  <c r="Y689" i="1"/>
  <c r="Y660" i="1"/>
  <c r="F719" i="6"/>
  <c r="L700" i="6"/>
  <c r="L697" i="1"/>
  <c r="K719" i="1"/>
  <c r="L696" i="1"/>
  <c r="L698" i="6"/>
  <c r="K719" i="6"/>
  <c r="F719" i="1"/>
  <c r="L719" i="1" s="1"/>
  <c r="L678" i="1"/>
  <c r="L676" i="1"/>
  <c r="Y677" i="1"/>
  <c r="Y675" i="1"/>
  <c r="L675" i="1"/>
  <c r="L694" i="6"/>
  <c r="Y712" i="1"/>
  <c r="Y713" i="1"/>
  <c r="L670" i="1"/>
  <c r="Y657" i="1"/>
  <c r="Y698" i="6"/>
  <c r="L672" i="6"/>
  <c r="Y692" i="6"/>
  <c r="L669" i="6"/>
  <c r="X757" i="1"/>
  <c r="Y757" i="1" s="1"/>
  <c r="S795" i="1"/>
  <c r="X795" i="1"/>
  <c r="S871" i="6"/>
  <c r="X871" i="6"/>
  <c r="Y768" i="6"/>
  <c r="L664" i="1"/>
  <c r="F681" i="1"/>
  <c r="L662" i="1"/>
  <c r="L660" i="1"/>
  <c r="L659" i="1"/>
  <c r="L665" i="6"/>
  <c r="L652" i="1"/>
  <c r="K681" i="1"/>
  <c r="L654" i="6"/>
  <c r="L642" i="1"/>
  <c r="L662" i="6"/>
  <c r="L661" i="6"/>
  <c r="L641" i="1"/>
  <c r="S795" i="6"/>
  <c r="X795" i="6"/>
  <c r="L640" i="1"/>
  <c r="L659" i="6"/>
  <c r="F681" i="6"/>
  <c r="Y728" i="6"/>
  <c r="Y661" i="6"/>
  <c r="Y629" i="1"/>
  <c r="Y667" i="1"/>
  <c r="K681" i="6"/>
  <c r="L651" i="6"/>
  <c r="L636" i="1"/>
  <c r="L635" i="1"/>
  <c r="L638" i="6"/>
  <c r="L633" i="1"/>
  <c r="Y626" i="1"/>
  <c r="Y624" i="1"/>
  <c r="L630" i="1"/>
  <c r="Y625" i="1"/>
  <c r="Y657" i="6"/>
  <c r="L628" i="1"/>
  <c r="Y598" i="1"/>
  <c r="Y597" i="1"/>
  <c r="Y622" i="1"/>
  <c r="Y656" i="6"/>
  <c r="L624" i="1"/>
  <c r="L632" i="6"/>
  <c r="L631" i="6"/>
  <c r="K643" i="1"/>
  <c r="F643" i="1"/>
  <c r="L614" i="1"/>
  <c r="K643" i="6"/>
  <c r="L613" i="1"/>
  <c r="Y594" i="1"/>
  <c r="L602" i="1"/>
  <c r="L601" i="1"/>
  <c r="Y629" i="6"/>
  <c r="L600" i="1"/>
  <c r="Y591" i="1"/>
  <c r="F643" i="6"/>
  <c r="L643" i="6" s="1"/>
  <c r="Y635" i="1"/>
  <c r="Y634" i="1"/>
  <c r="Y593" i="1"/>
  <c r="Y632" i="1"/>
  <c r="S833" i="6"/>
  <c r="X833" i="6"/>
  <c r="L597" i="1"/>
  <c r="L596" i="1"/>
  <c r="L620" i="6"/>
  <c r="Y642" i="1"/>
  <c r="Y565" i="1"/>
  <c r="Y596" i="1"/>
  <c r="S719" i="1"/>
  <c r="Y653" i="1"/>
  <c r="Y651" i="1"/>
  <c r="Y614" i="1"/>
  <c r="Y613" i="1"/>
  <c r="X757" i="6"/>
  <c r="L587" i="1"/>
  <c r="L584" i="1"/>
  <c r="L581" i="1"/>
  <c r="F605" i="1"/>
  <c r="Y566" i="1"/>
  <c r="Y581" i="1"/>
  <c r="L582" i="1"/>
  <c r="K605" i="1"/>
  <c r="Y600" i="6"/>
  <c r="L594" i="6"/>
  <c r="Y601" i="1"/>
  <c r="Y633" i="1"/>
  <c r="S636" i="1"/>
  <c r="Y636" i="1" s="1"/>
  <c r="L561" i="1"/>
  <c r="Y598" i="6"/>
  <c r="Y632" i="6"/>
  <c r="L591" i="6"/>
  <c r="X719" i="1"/>
  <c r="S757" i="6"/>
  <c r="Y596" i="6"/>
  <c r="L559" i="1"/>
  <c r="L577" i="6"/>
  <c r="Y561" i="1"/>
  <c r="Y594" i="6"/>
  <c r="X564" i="1"/>
  <c r="L553" i="1"/>
  <c r="L587" i="6"/>
  <c r="Y637" i="1"/>
  <c r="Y544" i="1"/>
  <c r="L585" i="6"/>
  <c r="U567" i="1"/>
  <c r="X567" i="1" s="1"/>
  <c r="Y562" i="1"/>
  <c r="Y522" i="1"/>
  <c r="L583" i="6"/>
  <c r="Y642" i="6"/>
  <c r="Y586" i="6"/>
  <c r="Y564" i="1"/>
  <c r="Y641" i="6"/>
  <c r="Y635" i="6"/>
  <c r="Y602" i="6"/>
  <c r="K605" i="6"/>
  <c r="Y638" i="6"/>
  <c r="Y560" i="1"/>
  <c r="Y636" i="6"/>
  <c r="Y603" i="6"/>
  <c r="Y582" i="6"/>
  <c r="L542" i="1"/>
  <c r="Y518" i="1"/>
  <c r="Y559" i="6"/>
  <c r="Y527" i="1"/>
  <c r="Y526" i="1"/>
  <c r="L559" i="6"/>
  <c r="L557" i="6"/>
  <c r="L527" i="1"/>
  <c r="Y640" i="1"/>
  <c r="Y716" i="6"/>
  <c r="L525" i="1"/>
  <c r="Y524" i="1"/>
  <c r="L523" i="1"/>
  <c r="Y555" i="6"/>
  <c r="L522" i="1"/>
  <c r="L521" i="1"/>
  <c r="L520" i="1"/>
  <c r="Y525" i="1"/>
  <c r="L517" i="1"/>
  <c r="L502" i="1"/>
  <c r="L515" i="1"/>
  <c r="F605" i="6"/>
  <c r="L514" i="1"/>
  <c r="Y487" i="1"/>
  <c r="Y500" i="1"/>
  <c r="K529" i="1"/>
  <c r="Y504" i="1"/>
  <c r="L511" i="1"/>
  <c r="Y551" i="6"/>
  <c r="K567" i="6"/>
  <c r="F567" i="6"/>
  <c r="L509" i="1"/>
  <c r="F529" i="1"/>
  <c r="L538" i="6"/>
  <c r="L488" i="1"/>
  <c r="I530" i="6"/>
  <c r="I536" i="6" s="1"/>
  <c r="I541" i="6" s="1"/>
  <c r="I568" i="6" s="1"/>
  <c r="I574" i="6" s="1"/>
  <c r="I579" i="6" s="1"/>
  <c r="I606" i="6" s="1"/>
  <c r="I612" i="6" s="1"/>
  <c r="I617" i="6" s="1"/>
  <c r="I644" i="6" s="1"/>
  <c r="I650" i="6" s="1"/>
  <c r="I655" i="6" s="1"/>
  <c r="I682" i="6" s="1"/>
  <c r="I688" i="6" s="1"/>
  <c r="I693" i="6" s="1"/>
  <c r="I720" i="6" s="1"/>
  <c r="I726" i="6" s="1"/>
  <c r="I731" i="6" s="1"/>
  <c r="I758" i="6" s="1"/>
  <c r="I764" i="6" s="1"/>
  <c r="I769" i="6" s="1"/>
  <c r="I796" i="6" s="1"/>
  <c r="I802" i="6" s="1"/>
  <c r="I807" i="6" s="1"/>
  <c r="I834" i="6" s="1"/>
  <c r="I840" i="6" s="1"/>
  <c r="I845" i="6" s="1"/>
  <c r="I872" i="6" s="1"/>
  <c r="I878" i="6" s="1"/>
  <c r="I883" i="6" s="1"/>
  <c r="I910" i="6" s="1"/>
  <c r="I916" i="6" s="1"/>
  <c r="I921" i="6" s="1"/>
  <c r="I948" i="6" s="1"/>
  <c r="Y488" i="1"/>
  <c r="L487" i="1"/>
  <c r="L485" i="1"/>
  <c r="Y484" i="1"/>
  <c r="Y523" i="1"/>
  <c r="Y483" i="1"/>
  <c r="Y638" i="1"/>
  <c r="S681" i="1"/>
  <c r="X681" i="1"/>
  <c r="X719" i="6"/>
  <c r="Y715" i="6"/>
  <c r="S719" i="6"/>
  <c r="Y679" i="6"/>
  <c r="Y680" i="6"/>
  <c r="X643" i="1"/>
  <c r="Y639" i="1"/>
  <c r="S643" i="1"/>
  <c r="Y637" i="6"/>
  <c r="Y485" i="1"/>
  <c r="L479" i="1"/>
  <c r="J530" i="6"/>
  <c r="J536" i="6" s="1"/>
  <c r="J541" i="6" s="1"/>
  <c r="J568" i="6" s="1"/>
  <c r="J574" i="6" s="1"/>
  <c r="J579" i="6" s="1"/>
  <c r="J606" i="6" s="1"/>
  <c r="J612" i="6" s="1"/>
  <c r="J617" i="6" s="1"/>
  <c r="J644" i="6" s="1"/>
  <c r="J650" i="6" s="1"/>
  <c r="J655" i="6" s="1"/>
  <c r="J682" i="6" s="1"/>
  <c r="J688" i="6" s="1"/>
  <c r="J693" i="6" s="1"/>
  <c r="J720" i="6" s="1"/>
  <c r="J726" i="6" s="1"/>
  <c r="J731" i="6" s="1"/>
  <c r="J758" i="6" s="1"/>
  <c r="J764" i="6" s="1"/>
  <c r="J769" i="6" s="1"/>
  <c r="J796" i="6" s="1"/>
  <c r="J802" i="6" s="1"/>
  <c r="J807" i="6" s="1"/>
  <c r="J834" i="6" s="1"/>
  <c r="J840" i="6" s="1"/>
  <c r="J845" i="6" s="1"/>
  <c r="J872" i="6" s="1"/>
  <c r="J878" i="6" s="1"/>
  <c r="J883" i="6" s="1"/>
  <c r="J910" i="6" s="1"/>
  <c r="J916" i="6" s="1"/>
  <c r="J921" i="6" s="1"/>
  <c r="J948" i="6" s="1"/>
  <c r="K529" i="6"/>
  <c r="T529" i="1"/>
  <c r="X529" i="1" s="1"/>
  <c r="T567" i="6"/>
  <c r="X567" i="6" s="1"/>
  <c r="X529" i="6"/>
  <c r="S605" i="1"/>
  <c r="X605" i="1"/>
  <c r="Y463" i="1"/>
  <c r="L476" i="1"/>
  <c r="Y468" i="1"/>
  <c r="Y483" i="6"/>
  <c r="Y482" i="6"/>
  <c r="X482" i="6"/>
  <c r="P492" i="6"/>
  <c r="P498" i="6" s="1"/>
  <c r="P503" i="6" s="1"/>
  <c r="P530" i="6" s="1"/>
  <c r="P536" i="6" s="1"/>
  <c r="P541" i="6" s="1"/>
  <c r="P568" i="6" s="1"/>
  <c r="P574" i="6" s="1"/>
  <c r="P579" i="6" s="1"/>
  <c r="P606" i="6" s="1"/>
  <c r="P612" i="6" s="1"/>
  <c r="P617" i="6" s="1"/>
  <c r="P644" i="6" s="1"/>
  <c r="P650" i="6" s="1"/>
  <c r="P655" i="6" s="1"/>
  <c r="P682" i="6" s="1"/>
  <c r="P688" i="6" s="1"/>
  <c r="P693" i="6" s="1"/>
  <c r="P720" i="6" s="1"/>
  <c r="P726" i="6" s="1"/>
  <c r="P731" i="6" s="1"/>
  <c r="P758" i="6" s="1"/>
  <c r="P764" i="6" s="1"/>
  <c r="P769" i="6" s="1"/>
  <c r="Y489" i="6"/>
  <c r="L501" i="6"/>
  <c r="L464" i="1"/>
  <c r="E530" i="6"/>
  <c r="E536" i="6" s="1"/>
  <c r="E541" i="6" s="1"/>
  <c r="E568" i="6" s="1"/>
  <c r="E574" i="6" s="1"/>
  <c r="E579" i="6" s="1"/>
  <c r="E606" i="6" s="1"/>
  <c r="E612" i="6" s="1"/>
  <c r="E617" i="6" s="1"/>
  <c r="E644" i="6" s="1"/>
  <c r="E650" i="6" s="1"/>
  <c r="E655" i="6" s="1"/>
  <c r="E682" i="6" s="1"/>
  <c r="E688" i="6" s="1"/>
  <c r="E693" i="6" s="1"/>
  <c r="E720" i="6" s="1"/>
  <c r="E726" i="6" s="1"/>
  <c r="E731" i="6" s="1"/>
  <c r="E758" i="6" s="1"/>
  <c r="E764" i="6" s="1"/>
  <c r="E769" i="6" s="1"/>
  <c r="E796" i="6" s="1"/>
  <c r="E802" i="6" s="1"/>
  <c r="E807" i="6" s="1"/>
  <c r="E834" i="6" s="1"/>
  <c r="E840" i="6" s="1"/>
  <c r="E845" i="6" s="1"/>
  <c r="E872" i="6" s="1"/>
  <c r="E878" i="6" s="1"/>
  <c r="E883" i="6" s="1"/>
  <c r="E910" i="6" s="1"/>
  <c r="E916" i="6" s="1"/>
  <c r="E921" i="6" s="1"/>
  <c r="E948" i="6" s="1"/>
  <c r="F529" i="6"/>
  <c r="S529" i="1"/>
  <c r="R454" i="1"/>
  <c r="R460" i="1" s="1"/>
  <c r="R465" i="1" s="1"/>
  <c r="R492" i="1" s="1"/>
  <c r="R498" i="1" s="1"/>
  <c r="R503" i="1" s="1"/>
  <c r="R530" i="1" s="1"/>
  <c r="R536" i="1" s="1"/>
  <c r="R541" i="1" s="1"/>
  <c r="R568" i="1" s="1"/>
  <c r="R574" i="1" s="1"/>
  <c r="R579" i="1" s="1"/>
  <c r="R606" i="1" s="1"/>
  <c r="R612" i="1" s="1"/>
  <c r="R617" i="1" s="1"/>
  <c r="R644" i="1" s="1"/>
  <c r="R650" i="1" s="1"/>
  <c r="R655" i="1" s="1"/>
  <c r="R682" i="1" s="1"/>
  <c r="R688" i="1" s="1"/>
  <c r="R693" i="1" s="1"/>
  <c r="R720" i="1" s="1"/>
  <c r="R726" i="1" s="1"/>
  <c r="R731" i="1" s="1"/>
  <c r="R758" i="1" s="1"/>
  <c r="R764" i="1" s="1"/>
  <c r="R769" i="1" s="1"/>
  <c r="R796" i="1" s="1"/>
  <c r="R802" i="1" s="1"/>
  <c r="R807" i="1" s="1"/>
  <c r="R834" i="1" s="1"/>
  <c r="X681" i="6"/>
  <c r="S681" i="6"/>
  <c r="L462" i="1"/>
  <c r="C492" i="6"/>
  <c r="C498" i="6" s="1"/>
  <c r="C503" i="6" s="1"/>
  <c r="C530" i="6" s="1"/>
  <c r="C536" i="6" s="1"/>
  <c r="C541" i="6" s="1"/>
  <c r="C568" i="6" s="1"/>
  <c r="C574" i="6" s="1"/>
  <c r="C579" i="6" s="1"/>
  <c r="C606" i="6" s="1"/>
  <c r="C612" i="6" s="1"/>
  <c r="C617" i="6" s="1"/>
  <c r="C644" i="6" s="1"/>
  <c r="C650" i="6" s="1"/>
  <c r="C655" i="6" s="1"/>
  <c r="C682" i="6" s="1"/>
  <c r="C688" i="6" s="1"/>
  <c r="C693" i="6" s="1"/>
  <c r="C720" i="6" s="1"/>
  <c r="C726" i="6" s="1"/>
  <c r="C731" i="6" s="1"/>
  <c r="C758" i="6" s="1"/>
  <c r="C764" i="6" s="1"/>
  <c r="C769" i="6" s="1"/>
  <c r="C796" i="6" s="1"/>
  <c r="C802" i="6" s="1"/>
  <c r="C807" i="6" s="1"/>
  <c r="C834" i="6" s="1"/>
  <c r="C840" i="6" s="1"/>
  <c r="C845" i="6" s="1"/>
  <c r="C872" i="6" s="1"/>
  <c r="C878" i="6" s="1"/>
  <c r="C883" i="6" s="1"/>
  <c r="C910" i="6" s="1"/>
  <c r="C916" i="6" s="1"/>
  <c r="C921" i="6" s="1"/>
  <c r="C948" i="6" s="1"/>
  <c r="F491" i="1"/>
  <c r="Y445" i="1"/>
  <c r="X643" i="6"/>
  <c r="Y522" i="6"/>
  <c r="P454" i="1"/>
  <c r="P460" i="1" s="1"/>
  <c r="P465" i="1" s="1"/>
  <c r="P492" i="1" s="1"/>
  <c r="P498" i="1" s="1"/>
  <c r="P503" i="1" s="1"/>
  <c r="P530" i="1" s="1"/>
  <c r="P536" i="1" s="1"/>
  <c r="P541" i="1" s="1"/>
  <c r="P568" i="1" s="1"/>
  <c r="P574" i="1" s="1"/>
  <c r="P579" i="1" s="1"/>
  <c r="P606" i="1" s="1"/>
  <c r="P612" i="1" s="1"/>
  <c r="P617" i="1" s="1"/>
  <c r="P644" i="1" s="1"/>
  <c r="P650" i="1" s="1"/>
  <c r="P655" i="1" s="1"/>
  <c r="P682" i="1" s="1"/>
  <c r="P688" i="1" s="1"/>
  <c r="P693" i="1" s="1"/>
  <c r="P720" i="1" s="1"/>
  <c r="P726" i="1" s="1"/>
  <c r="Y446" i="1"/>
  <c r="S491" i="1"/>
  <c r="L73" i="1"/>
  <c r="S42" i="1"/>
  <c r="S47" i="1" s="1"/>
  <c r="O47" i="1"/>
  <c r="O74" i="1" s="1"/>
  <c r="O80" i="1" s="1"/>
  <c r="S80" i="1" s="1"/>
  <c r="L29" i="1"/>
  <c r="O113" i="1"/>
  <c r="O303" i="1" s="1"/>
  <c r="X9" i="1"/>
  <c r="S225" i="1"/>
  <c r="E112" i="1"/>
  <c r="E118" i="1" s="1"/>
  <c r="E123" i="1" s="1"/>
  <c r="E150" i="1" s="1"/>
  <c r="E156" i="1" s="1"/>
  <c r="E161" i="1" s="1"/>
  <c r="E188" i="1" s="1"/>
  <c r="E194" i="1" s="1"/>
  <c r="E199" i="1" s="1"/>
  <c r="E226" i="1" s="1"/>
  <c r="E232" i="1" s="1"/>
  <c r="E237" i="1" s="1"/>
  <c r="E264" i="1" s="1"/>
  <c r="E270" i="1" s="1"/>
  <c r="E275" i="1" s="1"/>
  <c r="E302" i="1" s="1"/>
  <c r="E308" i="1" s="1"/>
  <c r="E313" i="1" s="1"/>
  <c r="E340" i="1" s="1"/>
  <c r="E346" i="1" s="1"/>
  <c r="E351" i="1" s="1"/>
  <c r="E378" i="1" s="1"/>
  <c r="E384" i="1" s="1"/>
  <c r="E389" i="1" s="1"/>
  <c r="E416" i="1" s="1"/>
  <c r="E422" i="1" s="1"/>
  <c r="E427" i="1" s="1"/>
  <c r="E454" i="1" s="1"/>
  <c r="E460" i="1" s="1"/>
  <c r="E465" i="1" s="1"/>
  <c r="E492" i="1" s="1"/>
  <c r="E498" i="1" s="1"/>
  <c r="E503" i="1" s="1"/>
  <c r="E530" i="1" s="1"/>
  <c r="E536" i="1" s="1"/>
  <c r="E541" i="1" s="1"/>
  <c r="E568" i="1" s="1"/>
  <c r="E574" i="1" s="1"/>
  <c r="E579" i="1" s="1"/>
  <c r="E606" i="1" s="1"/>
  <c r="E612" i="1" s="1"/>
  <c r="E617" i="1" s="1"/>
  <c r="E644" i="1" s="1"/>
  <c r="E650" i="1" s="1"/>
  <c r="E655" i="1" s="1"/>
  <c r="E682" i="1" s="1"/>
  <c r="E688" i="1" s="1"/>
  <c r="E693" i="1" s="1"/>
  <c r="E720" i="1" s="1"/>
  <c r="E726" i="1" s="1"/>
  <c r="E731" i="1" s="1"/>
  <c r="E758" i="1" s="1"/>
  <c r="E764" i="1" s="1"/>
  <c r="E769" i="1" s="1"/>
  <c r="E796" i="1" s="1"/>
  <c r="E802" i="1" s="1"/>
  <c r="E807" i="1" s="1"/>
  <c r="E834" i="1" s="1"/>
  <c r="V36" i="1"/>
  <c r="V42" i="1" s="1"/>
  <c r="V47" i="1" s="1"/>
  <c r="V74" i="1" s="1"/>
  <c r="V80" i="1" s="1"/>
  <c r="V85" i="1" s="1"/>
  <c r="V112" i="1" s="1"/>
  <c r="V118" i="1" s="1"/>
  <c r="V123" i="1" s="1"/>
  <c r="V150" i="1" s="1"/>
  <c r="V156" i="1" s="1"/>
  <c r="V161" i="1" s="1"/>
  <c r="V188" i="1" s="1"/>
  <c r="V194" i="1" s="1"/>
  <c r="V199" i="1" s="1"/>
  <c r="V226" i="1" s="1"/>
  <c r="V232" i="1" s="1"/>
  <c r="V237" i="1" s="1"/>
  <c r="V264" i="1" s="1"/>
  <c r="V270" i="1" s="1"/>
  <c r="V275" i="1" s="1"/>
  <c r="V302" i="1" s="1"/>
  <c r="V308" i="1" s="1"/>
  <c r="V313" i="1" s="1"/>
  <c r="V340" i="1" s="1"/>
  <c r="V346" i="1" s="1"/>
  <c r="V351" i="1" s="1"/>
  <c r="V378" i="1" s="1"/>
  <c r="V384" i="1" s="1"/>
  <c r="V389" i="1" s="1"/>
  <c r="V416" i="1" s="1"/>
  <c r="V422" i="1" s="1"/>
  <c r="V427" i="1" s="1"/>
  <c r="K73" i="1"/>
  <c r="F9" i="1"/>
  <c r="L9" i="1" s="1"/>
  <c r="D36" i="1"/>
  <c r="D42" i="1" s="1"/>
  <c r="D47" i="1" s="1"/>
  <c r="D74" i="1" s="1"/>
  <c r="D80" i="1" s="1"/>
  <c r="D85" i="1" s="1"/>
  <c r="D112" i="1" s="1"/>
  <c r="D118" i="1" s="1"/>
  <c r="D123" i="1" s="1"/>
  <c r="D150" i="1" s="1"/>
  <c r="D156" i="1" s="1"/>
  <c r="D161" i="1" s="1"/>
  <c r="D188" i="1" s="1"/>
  <c r="D194" i="1" s="1"/>
  <c r="D199" i="1" s="1"/>
  <c r="D226" i="1" s="1"/>
  <c r="D232" i="1" s="1"/>
  <c r="D237" i="1" s="1"/>
  <c r="D264" i="1" s="1"/>
  <c r="D270" i="1" s="1"/>
  <c r="D275" i="1" s="1"/>
  <c r="D302" i="1" s="1"/>
  <c r="D308" i="1" s="1"/>
  <c r="D313" i="1" s="1"/>
  <c r="D340" i="1" s="1"/>
  <c r="D346" i="1" s="1"/>
  <c r="D351" i="1" s="1"/>
  <c r="D378" i="1" s="1"/>
  <c r="D384" i="1" s="1"/>
  <c r="D389" i="1" s="1"/>
  <c r="D416" i="1" s="1"/>
  <c r="D422" i="1" s="1"/>
  <c r="D427" i="1" s="1"/>
  <c r="D454" i="1" s="1"/>
  <c r="D460" i="1" s="1"/>
  <c r="D465" i="1" s="1"/>
  <c r="D492" i="1" s="1"/>
  <c r="D498" i="1" s="1"/>
  <c r="D503" i="1" s="1"/>
  <c r="D530" i="1" s="1"/>
  <c r="D536" i="1" s="1"/>
  <c r="D541" i="1" s="1"/>
  <c r="D568" i="1" s="1"/>
  <c r="D574" i="1" s="1"/>
  <c r="D579" i="1" s="1"/>
  <c r="D606" i="1" s="1"/>
  <c r="D612" i="1" s="1"/>
  <c r="D617" i="1" s="1"/>
  <c r="D644" i="1" s="1"/>
  <c r="D650" i="1" s="1"/>
  <c r="D655" i="1" s="1"/>
  <c r="D682" i="1" s="1"/>
  <c r="D688" i="1" s="1"/>
  <c r="D693" i="1" s="1"/>
  <c r="D720" i="1" s="1"/>
  <c r="D726" i="1" s="1"/>
  <c r="D731" i="1" s="1"/>
  <c r="D758" i="1" s="1"/>
  <c r="D764" i="1" s="1"/>
  <c r="D769" i="1" s="1"/>
  <c r="D796" i="1" s="1"/>
  <c r="D802" i="1" s="1"/>
  <c r="D807" i="1" s="1"/>
  <c r="D834" i="1" s="1"/>
  <c r="Y62" i="1"/>
  <c r="Y5" i="1"/>
  <c r="Y26" i="1"/>
  <c r="L301" i="1"/>
  <c r="L388" i="1"/>
  <c r="B74" i="1"/>
  <c r="B80" i="1" s="1"/>
  <c r="Q74" i="1"/>
  <c r="Q80" i="1" s="1"/>
  <c r="Q85" i="1" s="1"/>
  <c r="Q112" i="1" s="1"/>
  <c r="Q118" i="1" s="1"/>
  <c r="Q123" i="1" s="1"/>
  <c r="Q150" i="1" s="1"/>
  <c r="Q156" i="1" s="1"/>
  <c r="Q161" i="1" s="1"/>
  <c r="Q188" i="1" s="1"/>
  <c r="Q194" i="1" s="1"/>
  <c r="Q199" i="1" s="1"/>
  <c r="Q226" i="1" s="1"/>
  <c r="Q232" i="1" s="1"/>
  <c r="Q237" i="1" s="1"/>
  <c r="Q264" i="1" s="1"/>
  <c r="Q270" i="1" s="1"/>
  <c r="Q275" i="1" s="1"/>
  <c r="Q302" i="1" s="1"/>
  <c r="Q308" i="1" s="1"/>
  <c r="Q313" i="1" s="1"/>
  <c r="Q340" i="1" s="1"/>
  <c r="Q346" i="1" s="1"/>
  <c r="Q351" i="1" s="1"/>
  <c r="Q378" i="1" s="1"/>
  <c r="Q384" i="1" s="1"/>
  <c r="Q389" i="1" s="1"/>
  <c r="Q416" i="1" s="1"/>
  <c r="Q422" i="1" s="1"/>
  <c r="Q427" i="1" s="1"/>
  <c r="Q454" i="1" s="1"/>
  <c r="Q460" i="1" s="1"/>
  <c r="Q465" i="1" s="1"/>
  <c r="Q492" i="1" s="1"/>
  <c r="Q498" i="1" s="1"/>
  <c r="Q503" i="1" s="1"/>
  <c r="Q530" i="1" s="1"/>
  <c r="Q536" i="1" s="1"/>
  <c r="Q541" i="1" s="1"/>
  <c r="Q568" i="1" s="1"/>
  <c r="Q574" i="1" s="1"/>
  <c r="Q579" i="1" s="1"/>
  <c r="Q606" i="1" s="1"/>
  <c r="Q612" i="1" s="1"/>
  <c r="Q617" i="1" s="1"/>
  <c r="Q644" i="1" s="1"/>
  <c r="Q650" i="1" s="1"/>
  <c r="Q655" i="1" s="1"/>
  <c r="Q682" i="1" s="1"/>
  <c r="Q688" i="1" s="1"/>
  <c r="Q693" i="1" s="1"/>
  <c r="Q720" i="1" s="1"/>
  <c r="Q726" i="1" s="1"/>
  <c r="Q731" i="1" s="1"/>
  <c r="Q758" i="1" s="1"/>
  <c r="Q764" i="1" s="1"/>
  <c r="Q769" i="1" s="1"/>
  <c r="Q796" i="1" s="1"/>
  <c r="Q802" i="1" s="1"/>
  <c r="Q807" i="1" s="1"/>
  <c r="Q834" i="1" s="1"/>
  <c r="L33" i="1"/>
  <c r="Y67" i="1"/>
  <c r="W226" i="1"/>
  <c r="W232" i="1" s="1"/>
  <c r="W237" i="1" s="1"/>
  <c r="W264" i="1" s="1"/>
  <c r="W270" i="1" s="1"/>
  <c r="W275" i="1" s="1"/>
  <c r="W302" i="1" s="1"/>
  <c r="W308" i="1" s="1"/>
  <c r="W313" i="1" s="1"/>
  <c r="W340" i="1" s="1"/>
  <c r="W346" i="1" s="1"/>
  <c r="W351" i="1" s="1"/>
  <c r="W378" i="1" s="1"/>
  <c r="W384" i="1" s="1"/>
  <c r="W389" i="1" s="1"/>
  <c r="W416" i="1" s="1"/>
  <c r="W422" i="1" s="1"/>
  <c r="W427" i="1" s="1"/>
  <c r="W454" i="1" s="1"/>
  <c r="W460" i="1" s="1"/>
  <c r="W465" i="1" s="1"/>
  <c r="W492" i="1" s="1"/>
  <c r="W498" i="1" s="1"/>
  <c r="W503" i="1" s="1"/>
  <c r="W530" i="1" s="1"/>
  <c r="W536" i="1" s="1"/>
  <c r="W541" i="1" s="1"/>
  <c r="W568" i="1" s="1"/>
  <c r="W574" i="1" s="1"/>
  <c r="W579" i="1" s="1"/>
  <c r="W606" i="1" s="1"/>
  <c r="W612" i="1" s="1"/>
  <c r="W617" i="1" s="1"/>
  <c r="W644" i="1" s="1"/>
  <c r="W650" i="1" s="1"/>
  <c r="W655" i="1" s="1"/>
  <c r="W682" i="1" s="1"/>
  <c r="W688" i="1" s="1"/>
  <c r="W693" i="1" s="1"/>
  <c r="W720" i="1" s="1"/>
  <c r="W726" i="1" s="1"/>
  <c r="W731" i="1" s="1"/>
  <c r="W758" i="1" s="1"/>
  <c r="W764" i="1" s="1"/>
  <c r="W769" i="1" s="1"/>
  <c r="W796" i="1" s="1"/>
  <c r="W802" i="1" s="1"/>
  <c r="W807" i="1" s="1"/>
  <c r="W834" i="1" s="1"/>
  <c r="J36" i="1"/>
  <c r="J42" i="1" s="1"/>
  <c r="J47" i="1" s="1"/>
  <c r="J74" i="1" s="1"/>
  <c r="J80" i="1" s="1"/>
  <c r="J85" i="1" s="1"/>
  <c r="J112" i="1" s="1"/>
  <c r="J118" i="1" s="1"/>
  <c r="J123" i="1" s="1"/>
  <c r="J150" i="1" s="1"/>
  <c r="J156" i="1" s="1"/>
  <c r="J161" i="1" s="1"/>
  <c r="J188" i="1" s="1"/>
  <c r="J194" i="1" s="1"/>
  <c r="J199" i="1" s="1"/>
  <c r="J226" i="1" s="1"/>
  <c r="J232" i="1" s="1"/>
  <c r="J237" i="1" s="1"/>
  <c r="J264" i="1" s="1"/>
  <c r="J270" i="1" s="1"/>
  <c r="J275" i="1" s="1"/>
  <c r="J302" i="1" s="1"/>
  <c r="J308" i="1" s="1"/>
  <c r="J313" i="1" s="1"/>
  <c r="J340" i="1" s="1"/>
  <c r="J346" i="1" s="1"/>
  <c r="J351" i="1" s="1"/>
  <c r="J378" i="1" s="1"/>
  <c r="J384" i="1" s="1"/>
  <c r="J389" i="1" s="1"/>
  <c r="J416" i="1" s="1"/>
  <c r="J422" i="1" s="1"/>
  <c r="J427" i="1" s="1"/>
  <c r="L30" i="1"/>
  <c r="R113" i="1"/>
  <c r="Y68" i="1"/>
  <c r="F42" i="1"/>
  <c r="F47" i="1" s="1"/>
  <c r="Y63" i="1"/>
  <c r="Y30" i="1"/>
  <c r="L4" i="1"/>
  <c r="Y66" i="1"/>
  <c r="X73" i="1"/>
  <c r="Y73" i="1" s="1"/>
  <c r="K9" i="1"/>
  <c r="H36" i="1"/>
  <c r="H42" i="1" s="1"/>
  <c r="H47" i="1" s="1"/>
  <c r="H74" i="1" s="1"/>
  <c r="H80" i="1" s="1"/>
  <c r="H85" i="1" s="1"/>
  <c r="H112" i="1" s="1"/>
  <c r="H118" i="1" s="1"/>
  <c r="H123" i="1" s="1"/>
  <c r="H150" i="1" s="1"/>
  <c r="H156" i="1" s="1"/>
  <c r="H161" i="1" s="1"/>
  <c r="H188" i="1" s="1"/>
  <c r="H194" i="1" s="1"/>
  <c r="H199" i="1" s="1"/>
  <c r="H226" i="1" s="1"/>
  <c r="H232" i="1" s="1"/>
  <c r="H237" i="1" s="1"/>
  <c r="H264" i="1" s="1"/>
  <c r="H270" i="1" s="1"/>
  <c r="H275" i="1" s="1"/>
  <c r="H302" i="1" s="1"/>
  <c r="H308" i="1" s="1"/>
  <c r="H313" i="1" s="1"/>
  <c r="H340" i="1" s="1"/>
  <c r="H346" i="1" s="1"/>
  <c r="H351" i="1" s="1"/>
  <c r="H378" i="1" s="1"/>
  <c r="H384" i="1" s="1"/>
  <c r="H389" i="1" s="1"/>
  <c r="H416" i="1" s="1"/>
  <c r="H422" i="1" s="1"/>
  <c r="H427" i="1" s="1"/>
  <c r="I36" i="1"/>
  <c r="I42" i="1" s="1"/>
  <c r="I47" i="1" s="1"/>
  <c r="I74" i="1" s="1"/>
  <c r="I80" i="1" s="1"/>
  <c r="I85" i="1" s="1"/>
  <c r="I112" i="1" s="1"/>
  <c r="I118" i="1" s="1"/>
  <c r="I123" i="1" s="1"/>
  <c r="I150" i="1" s="1"/>
  <c r="I156" i="1" s="1"/>
  <c r="I161" i="1" s="1"/>
  <c r="I188" i="1" s="1"/>
  <c r="I194" i="1" s="1"/>
  <c r="I199" i="1" s="1"/>
  <c r="I226" i="1" s="1"/>
  <c r="I232" i="1" s="1"/>
  <c r="I237" i="1" s="1"/>
  <c r="I264" i="1" s="1"/>
  <c r="I270" i="1" s="1"/>
  <c r="I275" i="1" s="1"/>
  <c r="I302" i="1" s="1"/>
  <c r="I308" i="1" s="1"/>
  <c r="I313" i="1" s="1"/>
  <c r="Y263" i="1"/>
  <c r="L83" i="1"/>
  <c r="Y120" i="1"/>
  <c r="Y101" i="1"/>
  <c r="Y31" i="1"/>
  <c r="L95" i="1"/>
  <c r="L97" i="1"/>
  <c r="Y137" i="1"/>
  <c r="Y176" i="1"/>
  <c r="Y178" i="1"/>
  <c r="Y72" i="1"/>
  <c r="L198" i="1"/>
  <c r="L204" i="1"/>
  <c r="L208" i="1"/>
  <c r="L212" i="1"/>
  <c r="L214" i="1"/>
  <c r="L217" i="1"/>
  <c r="L219" i="1"/>
  <c r="L221" i="1"/>
  <c r="L223" i="1"/>
  <c r="Y20" i="1"/>
  <c r="Y22" i="1"/>
  <c r="Y86" i="1"/>
  <c r="Y70" i="1"/>
  <c r="L82" i="1"/>
  <c r="Y56" i="1"/>
  <c r="L255" i="1"/>
  <c r="L326" i="1"/>
  <c r="L328" i="1"/>
  <c r="L332" i="1"/>
  <c r="L335" i="1"/>
  <c r="L337" i="1"/>
  <c r="Y318" i="1"/>
  <c r="L362" i="1"/>
  <c r="K415" i="1"/>
  <c r="L415" i="1" s="1"/>
  <c r="Y409" i="1"/>
  <c r="Y253" i="1"/>
  <c r="Y413" i="1"/>
  <c r="L426" i="1"/>
  <c r="L437" i="1"/>
  <c r="L439" i="1"/>
  <c r="L441" i="1"/>
  <c r="L320" i="1"/>
  <c r="Y464" i="1"/>
  <c r="Y481" i="1"/>
  <c r="X491" i="1"/>
  <c r="L489" i="1"/>
  <c r="Y507" i="1"/>
  <c r="Y514" i="1"/>
  <c r="Y548" i="1"/>
  <c r="L563" i="1"/>
  <c r="Y7" i="1"/>
  <c r="Y138" i="1"/>
  <c r="S301" i="1"/>
  <c r="Y216" i="1"/>
  <c r="L386" i="1"/>
  <c r="Y388" i="1"/>
  <c r="L393" i="1"/>
  <c r="L396" i="1"/>
  <c r="L397" i="1"/>
  <c r="L398" i="1"/>
  <c r="L401" i="1"/>
  <c r="Y404" i="1"/>
  <c r="L409" i="1"/>
  <c r="Y437" i="1"/>
  <c r="Y441" i="1"/>
  <c r="K491" i="1"/>
  <c r="Y423" i="1"/>
  <c r="Y430" i="1"/>
  <c r="Y543" i="1"/>
  <c r="Y545" i="1"/>
  <c r="Y547" i="1"/>
  <c r="Y553" i="1"/>
  <c r="L538" i="1"/>
  <c r="X111" i="1"/>
  <c r="Y111" i="1" s="1"/>
  <c r="L91" i="1"/>
  <c r="Y128" i="1"/>
  <c r="L124" i="1"/>
  <c r="L126" i="1"/>
  <c r="Y165" i="1"/>
  <c r="Y168" i="1"/>
  <c r="X187" i="1"/>
  <c r="Y187" i="1" s="1"/>
  <c r="L158" i="1"/>
  <c r="L160" i="1"/>
  <c r="L165" i="1"/>
  <c r="L168" i="1"/>
  <c r="L172" i="1"/>
  <c r="L174" i="1"/>
  <c r="L180" i="1"/>
  <c r="F225" i="1"/>
  <c r="L225" i="1" s="1"/>
  <c r="L72" i="1"/>
  <c r="Y46" i="1"/>
  <c r="L254" i="1"/>
  <c r="L325" i="1"/>
  <c r="L327" i="1"/>
  <c r="L329" i="1"/>
  <c r="L331" i="1"/>
  <c r="L333" i="1"/>
  <c r="L338" i="1"/>
  <c r="Y317" i="1"/>
  <c r="L361" i="1"/>
  <c r="L370" i="1"/>
  <c r="L376" i="1"/>
  <c r="L244" i="1"/>
  <c r="Y406" i="1"/>
  <c r="L414" i="1"/>
  <c r="L425" i="1"/>
  <c r="L428" i="1"/>
  <c r="L436" i="1"/>
  <c r="L438" i="1"/>
  <c r="L442" i="1"/>
  <c r="L444" i="1"/>
  <c r="L448" i="1"/>
  <c r="L452" i="1"/>
  <c r="Y461" i="1"/>
  <c r="Y473" i="1"/>
  <c r="L481" i="1"/>
  <c r="Y513" i="1"/>
  <c r="Y515" i="1"/>
  <c r="Y490" i="1"/>
  <c r="L539" i="1"/>
  <c r="L544" i="1"/>
  <c r="L552" i="1"/>
  <c r="L560" i="1"/>
  <c r="Y436" i="1"/>
  <c r="H454" i="1"/>
  <c r="H460" i="1" s="1"/>
  <c r="H465" i="1" s="1"/>
  <c r="H492" i="1" s="1"/>
  <c r="H498" i="1" s="1"/>
  <c r="H503" i="1" s="1"/>
  <c r="H530" i="1" s="1"/>
  <c r="H536" i="1" s="1"/>
  <c r="H541" i="1" s="1"/>
  <c r="H568" i="1" s="1"/>
  <c r="H574" i="1" s="1"/>
  <c r="H579" i="1" s="1"/>
  <c r="H606" i="1" s="1"/>
  <c r="H612" i="1" s="1"/>
  <c r="H617" i="1" s="1"/>
  <c r="H644" i="1" s="1"/>
  <c r="H650" i="1" s="1"/>
  <c r="H655" i="1" s="1"/>
  <c r="H682" i="1" s="1"/>
  <c r="H688" i="1" s="1"/>
  <c r="H693" i="1" s="1"/>
  <c r="H720" i="1" s="1"/>
  <c r="H726" i="1" s="1"/>
  <c r="H731" i="1" s="1"/>
  <c r="H758" i="1" s="1"/>
  <c r="H764" i="1" s="1"/>
  <c r="H769" i="1" s="1"/>
  <c r="H796" i="1" s="1"/>
  <c r="H802" i="1" s="1"/>
  <c r="H807" i="1" s="1"/>
  <c r="H834" i="1" s="1"/>
  <c r="L484" i="6"/>
  <c r="F491" i="6"/>
  <c r="F453" i="1"/>
  <c r="S567" i="6"/>
  <c r="C454" i="1"/>
  <c r="C460" i="1" s="1"/>
  <c r="C465" i="1" s="1"/>
  <c r="C492" i="1" s="1"/>
  <c r="C498" i="1" s="1"/>
  <c r="C503" i="1" s="1"/>
  <c r="C530" i="1" s="1"/>
  <c r="C536" i="1" s="1"/>
  <c r="C541" i="1" s="1"/>
  <c r="C568" i="1" s="1"/>
  <c r="C574" i="1" s="1"/>
  <c r="C579" i="1" s="1"/>
  <c r="C606" i="1" s="1"/>
  <c r="C612" i="1" s="1"/>
  <c r="C617" i="1" s="1"/>
  <c r="C644" i="1" s="1"/>
  <c r="C650" i="1" s="1"/>
  <c r="C655" i="1" s="1"/>
  <c r="C682" i="1" s="1"/>
  <c r="C688" i="1" s="1"/>
  <c r="C693" i="1" s="1"/>
  <c r="C720" i="1" s="1"/>
  <c r="C726" i="1" s="1"/>
  <c r="C731" i="1" s="1"/>
  <c r="C758" i="1" s="1"/>
  <c r="C764" i="1" s="1"/>
  <c r="C769" i="1" s="1"/>
  <c r="C796" i="1" s="1"/>
  <c r="C802" i="1" s="1"/>
  <c r="C807" i="1" s="1"/>
  <c r="C834" i="1" s="1"/>
  <c r="D492" i="6"/>
  <c r="D498" i="6" s="1"/>
  <c r="D503" i="6" s="1"/>
  <c r="D530" i="6" s="1"/>
  <c r="D536" i="6" s="1"/>
  <c r="D541" i="6" s="1"/>
  <c r="D568" i="6" s="1"/>
  <c r="D574" i="6" s="1"/>
  <c r="D579" i="6" s="1"/>
  <c r="D606" i="6" s="1"/>
  <c r="D612" i="6" s="1"/>
  <c r="D617" i="6" s="1"/>
  <c r="D644" i="6" s="1"/>
  <c r="D650" i="6" s="1"/>
  <c r="D655" i="6" s="1"/>
  <c r="D682" i="6" s="1"/>
  <c r="D688" i="6" s="1"/>
  <c r="D693" i="6" s="1"/>
  <c r="D720" i="6" s="1"/>
  <c r="D726" i="6" s="1"/>
  <c r="D731" i="6" s="1"/>
  <c r="D758" i="6" s="1"/>
  <c r="D764" i="6" s="1"/>
  <c r="D769" i="6" s="1"/>
  <c r="D796" i="6" s="1"/>
  <c r="D802" i="6" s="1"/>
  <c r="D807" i="6" s="1"/>
  <c r="D834" i="6" s="1"/>
  <c r="D840" i="6" s="1"/>
  <c r="D845" i="6" s="1"/>
  <c r="D872" i="6" s="1"/>
  <c r="D878" i="6" s="1"/>
  <c r="D883" i="6" s="1"/>
  <c r="D910" i="6" s="1"/>
  <c r="D916" i="6" s="1"/>
  <c r="D921" i="6" s="1"/>
  <c r="D948" i="6" s="1"/>
  <c r="K491" i="6"/>
  <c r="S453" i="1"/>
  <c r="L445" i="1"/>
  <c r="V492" i="6"/>
  <c r="V498" i="6" s="1"/>
  <c r="V503" i="6" s="1"/>
  <c r="V530" i="6" s="1"/>
  <c r="V536" i="6" s="1"/>
  <c r="V541" i="6" s="1"/>
  <c r="V568" i="6" s="1"/>
  <c r="V574" i="6" s="1"/>
  <c r="V579" i="6" s="1"/>
  <c r="V606" i="6" s="1"/>
  <c r="V612" i="6" s="1"/>
  <c r="V617" i="6" s="1"/>
  <c r="V644" i="6" s="1"/>
  <c r="V650" i="6" s="1"/>
  <c r="V655" i="6" s="1"/>
  <c r="V682" i="6" s="1"/>
  <c r="V688" i="6" s="1"/>
  <c r="V693" i="6" s="1"/>
  <c r="V720" i="6" s="1"/>
  <c r="V726" i="6" s="1"/>
  <c r="V731" i="6" s="1"/>
  <c r="V758" i="6" s="1"/>
  <c r="V764" i="6" s="1"/>
  <c r="V769" i="6" s="1"/>
  <c r="Y488" i="6"/>
  <c r="O85" i="1"/>
  <c r="O112" i="1" s="1"/>
  <c r="O118" i="1" s="1"/>
  <c r="S74" i="1"/>
  <c r="B85" i="1"/>
  <c r="B112" i="1" s="1"/>
  <c r="B118" i="1" s="1"/>
  <c r="F80" i="1"/>
  <c r="Y4" i="1"/>
  <c r="S9" i="1"/>
  <c r="R303" i="1"/>
  <c r="R493" i="1" s="1"/>
  <c r="T85" i="1"/>
  <c r="T112" i="1" s="1"/>
  <c r="T118" i="1" s="1"/>
  <c r="F36" i="1"/>
  <c r="P303" i="1"/>
  <c r="U36" i="1"/>
  <c r="U42" i="1" s="1"/>
  <c r="U47" i="1" s="1"/>
  <c r="U74" i="1" s="1"/>
  <c r="U80" i="1" s="1"/>
  <c r="U85" i="1" s="1"/>
  <c r="U112" i="1" s="1"/>
  <c r="U118" i="1" s="1"/>
  <c r="U123" i="1" s="1"/>
  <c r="U150" i="1" s="1"/>
  <c r="U156" i="1" s="1"/>
  <c r="U161" i="1" s="1"/>
  <c r="U188" i="1" s="1"/>
  <c r="U194" i="1" s="1"/>
  <c r="U199" i="1" s="1"/>
  <c r="U226" i="1" s="1"/>
  <c r="U232" i="1" s="1"/>
  <c r="U237" i="1" s="1"/>
  <c r="U264" i="1" s="1"/>
  <c r="U270" i="1" s="1"/>
  <c r="U275" i="1" s="1"/>
  <c r="U302" i="1" s="1"/>
  <c r="U308" i="1" s="1"/>
  <c r="U313" i="1" s="1"/>
  <c r="U340" i="1" s="1"/>
  <c r="U346" i="1" s="1"/>
  <c r="U351" i="1" s="1"/>
  <c r="U378" i="1" s="1"/>
  <c r="U384" i="1" s="1"/>
  <c r="U389" i="1" s="1"/>
  <c r="U416" i="1" s="1"/>
  <c r="U422" i="1" s="1"/>
  <c r="U427" i="1" s="1"/>
  <c r="U454" i="1" s="1"/>
  <c r="U460" i="1" s="1"/>
  <c r="U465" i="1" s="1"/>
  <c r="U492" i="1" s="1"/>
  <c r="U498" i="1" s="1"/>
  <c r="U503" i="1" s="1"/>
  <c r="U530" i="1" s="1"/>
  <c r="U536" i="1" s="1"/>
  <c r="U541" i="1" s="1"/>
  <c r="X35" i="1"/>
  <c r="W113" i="1"/>
  <c r="G36" i="1"/>
  <c r="G42" i="1" s="1"/>
  <c r="K35" i="1"/>
  <c r="K36" i="1" s="1"/>
  <c r="S113" i="1"/>
  <c r="X42" i="1"/>
  <c r="V303" i="1"/>
  <c r="X225" i="1"/>
  <c r="U303" i="1"/>
  <c r="X301" i="1"/>
  <c r="Y301" i="1" s="1"/>
  <c r="T303" i="1"/>
  <c r="T493" i="1" s="1"/>
  <c r="X452" i="1"/>
  <c r="Y452" i="1" s="1"/>
  <c r="V453" i="1"/>
  <c r="Y225" i="1"/>
  <c r="I339" i="1"/>
  <c r="K339" i="1" s="1"/>
  <c r="L339" i="1" s="1"/>
  <c r="U493" i="1"/>
  <c r="X415" i="1"/>
  <c r="Y415" i="1" s="1"/>
  <c r="L121" i="1"/>
  <c r="Y71" i="1"/>
  <c r="L252" i="1"/>
  <c r="Y444" i="1"/>
  <c r="O493" i="1"/>
  <c r="Q493" i="1"/>
  <c r="Y298" i="1"/>
  <c r="Y329" i="1"/>
  <c r="Y471" i="1"/>
  <c r="Y472" i="1"/>
  <c r="Y479" i="1"/>
  <c r="Y480" i="1"/>
  <c r="L443" i="1"/>
  <c r="J454" i="1"/>
  <c r="J460" i="1" s="1"/>
  <c r="J465" i="1" s="1"/>
  <c r="J492" i="1" s="1"/>
  <c r="J498" i="1" s="1"/>
  <c r="J503" i="1" s="1"/>
  <c r="J530" i="1" s="1"/>
  <c r="J536" i="1" s="1"/>
  <c r="J541" i="1" s="1"/>
  <c r="J568" i="1" s="1"/>
  <c r="J574" i="1" s="1"/>
  <c r="J579" i="1" s="1"/>
  <c r="J606" i="1" s="1"/>
  <c r="J612" i="1" s="1"/>
  <c r="J617" i="1" s="1"/>
  <c r="J644" i="1" s="1"/>
  <c r="J650" i="1" s="1"/>
  <c r="J655" i="1" s="1"/>
  <c r="J682" i="1" s="1"/>
  <c r="J688" i="1" s="1"/>
  <c r="J693" i="1" s="1"/>
  <c r="J720" i="1" s="1"/>
  <c r="J726" i="1" s="1"/>
  <c r="J731" i="1" s="1"/>
  <c r="J758" i="1" s="1"/>
  <c r="J764" i="1" s="1"/>
  <c r="J769" i="1" s="1"/>
  <c r="J796" i="1" s="1"/>
  <c r="J802" i="1" s="1"/>
  <c r="J807" i="1" s="1"/>
  <c r="J834" i="1" s="1"/>
  <c r="L482" i="1"/>
  <c r="L483" i="1"/>
  <c r="L490" i="1"/>
  <c r="Y349" i="1"/>
  <c r="Y509" i="1"/>
  <c r="Y510" i="1"/>
  <c r="Y517" i="1"/>
  <c r="L500" i="1"/>
  <c r="L501" i="1"/>
  <c r="Y551" i="1"/>
  <c r="L551" i="1"/>
  <c r="Y542" i="1"/>
  <c r="Y549" i="1"/>
  <c r="Y550" i="1"/>
  <c r="Y557" i="1"/>
  <c r="L537" i="1"/>
  <c r="L546" i="1"/>
  <c r="L548" i="1"/>
  <c r="L549" i="1"/>
  <c r="L554" i="1"/>
  <c r="L556" i="1"/>
  <c r="L557" i="1"/>
  <c r="L562" i="1"/>
  <c r="L564" i="1"/>
  <c r="L565" i="1"/>
  <c r="F567" i="1"/>
  <c r="K567" i="1"/>
  <c r="Q492" i="6"/>
  <c r="Q498" i="6" s="1"/>
  <c r="Q503" i="6" s="1"/>
  <c r="Q530" i="6" s="1"/>
  <c r="Q536" i="6" s="1"/>
  <c r="Q541" i="6" s="1"/>
  <c r="Q568" i="6" s="1"/>
  <c r="Q574" i="6" s="1"/>
  <c r="Q579" i="6" s="1"/>
  <c r="Q606" i="6" s="1"/>
  <c r="Q612" i="6" s="1"/>
  <c r="Q617" i="6" s="1"/>
  <c r="Q644" i="6" s="1"/>
  <c r="Q650" i="6" s="1"/>
  <c r="Q655" i="6" s="1"/>
  <c r="Q682" i="6" s="1"/>
  <c r="Q688" i="6" s="1"/>
  <c r="Q693" i="6" s="1"/>
  <c r="Q720" i="6" s="1"/>
  <c r="Q726" i="6" s="1"/>
  <c r="Q731" i="6" s="1"/>
  <c r="Q758" i="6" s="1"/>
  <c r="Q764" i="6" s="1"/>
  <c r="Q769" i="6" s="1"/>
  <c r="Y480" i="6"/>
  <c r="S643" i="6"/>
  <c r="K453" i="1"/>
  <c r="S567" i="1"/>
  <c r="O85" i="6"/>
  <c r="O112" i="6" s="1"/>
  <c r="O118" i="6" s="1"/>
  <c r="S80" i="6"/>
  <c r="B123" i="6"/>
  <c r="B150" i="6" s="1"/>
  <c r="B156" i="6" s="1"/>
  <c r="F118" i="6"/>
  <c r="T199" i="6"/>
  <c r="T226" i="6" s="1"/>
  <c r="T232" i="6" s="1"/>
  <c r="R228" i="6"/>
  <c r="S42" i="6"/>
  <c r="F42" i="6"/>
  <c r="R37" i="6"/>
  <c r="Q37" i="6"/>
  <c r="Y5" i="6"/>
  <c r="S9" i="6"/>
  <c r="S228" i="6"/>
  <c r="Q228" i="6"/>
  <c r="F80" i="6"/>
  <c r="Y35" i="6"/>
  <c r="F9" i="6"/>
  <c r="H47" i="6"/>
  <c r="H74" i="6" s="1"/>
  <c r="H80" i="6" s="1"/>
  <c r="H85" i="6" s="1"/>
  <c r="H112" i="6" s="1"/>
  <c r="H118" i="6" s="1"/>
  <c r="H123" i="6" s="1"/>
  <c r="H150" i="6" s="1"/>
  <c r="H156" i="6" s="1"/>
  <c r="H161" i="6" s="1"/>
  <c r="H188" i="6" s="1"/>
  <c r="H194" i="6" s="1"/>
  <c r="H199" i="6" s="1"/>
  <c r="H226" i="6" s="1"/>
  <c r="H232" i="6" s="1"/>
  <c r="H237" i="6" s="1"/>
  <c r="H264" i="6" s="1"/>
  <c r="H270" i="6" s="1"/>
  <c r="H275" i="6" s="1"/>
  <c r="H302" i="6" s="1"/>
  <c r="H308" i="6" s="1"/>
  <c r="H313" i="6" s="1"/>
  <c r="H340" i="6" s="1"/>
  <c r="H346" i="6" s="1"/>
  <c r="H351" i="6" s="1"/>
  <c r="H378" i="6" s="1"/>
  <c r="H384" i="6" s="1"/>
  <c r="H389" i="6" s="1"/>
  <c r="H416" i="6" s="1"/>
  <c r="H422" i="6" s="1"/>
  <c r="H427" i="6" s="1"/>
  <c r="H454" i="6" s="1"/>
  <c r="H460" i="6" s="1"/>
  <c r="H465" i="6" s="1"/>
  <c r="H492" i="6" s="1"/>
  <c r="H498" i="6" s="1"/>
  <c r="H503" i="6" s="1"/>
  <c r="H530" i="6" s="1"/>
  <c r="H536" i="6" s="1"/>
  <c r="H541" i="6" s="1"/>
  <c r="H568" i="6" s="1"/>
  <c r="H574" i="6" s="1"/>
  <c r="H579" i="6" s="1"/>
  <c r="H606" i="6" s="1"/>
  <c r="H612" i="6" s="1"/>
  <c r="H617" i="6" s="1"/>
  <c r="H644" i="6" s="1"/>
  <c r="H650" i="6" s="1"/>
  <c r="H655" i="6" s="1"/>
  <c r="H682" i="6" s="1"/>
  <c r="H688" i="6" s="1"/>
  <c r="H693" i="6" s="1"/>
  <c r="H720" i="6" s="1"/>
  <c r="H726" i="6" s="1"/>
  <c r="H731" i="6" s="1"/>
  <c r="H758" i="6" s="1"/>
  <c r="H764" i="6" s="1"/>
  <c r="H769" i="6" s="1"/>
  <c r="H796" i="6" s="1"/>
  <c r="H802" i="6" s="1"/>
  <c r="H807" i="6" s="1"/>
  <c r="H834" i="6" s="1"/>
  <c r="H840" i="6" s="1"/>
  <c r="H845" i="6" s="1"/>
  <c r="H872" i="6" s="1"/>
  <c r="H878" i="6" s="1"/>
  <c r="H883" i="6" s="1"/>
  <c r="H910" i="6" s="1"/>
  <c r="H916" i="6" s="1"/>
  <c r="H921" i="6" s="1"/>
  <c r="H948" i="6" s="1"/>
  <c r="K42" i="6"/>
  <c r="K47" i="6" s="1"/>
  <c r="K74" i="6" s="1"/>
  <c r="U47" i="6"/>
  <c r="U74" i="6" s="1"/>
  <c r="U80" i="6" s="1"/>
  <c r="X42" i="6"/>
  <c r="X47" i="6" s="1"/>
  <c r="X74" i="6" s="1"/>
  <c r="G85" i="6"/>
  <c r="G112" i="6" s="1"/>
  <c r="G118" i="6" s="1"/>
  <c r="Y119" i="6"/>
  <c r="Y252" i="6"/>
  <c r="S490" i="6"/>
  <c r="R491" i="6"/>
  <c r="X490" i="6"/>
  <c r="W491" i="6"/>
  <c r="W492" i="6" s="1"/>
  <c r="S524" i="6"/>
  <c r="Y524" i="6" s="1"/>
  <c r="O529" i="6"/>
  <c r="X225" i="6"/>
  <c r="U227" i="6"/>
  <c r="F339" i="6"/>
  <c r="L339" i="6" s="1"/>
  <c r="P569" i="6"/>
  <c r="S453" i="6"/>
  <c r="Y453" i="6" s="1"/>
  <c r="U569" i="6"/>
  <c r="X453" i="6"/>
  <c r="Q569" i="6"/>
  <c r="V569" i="6"/>
  <c r="Y131" i="6"/>
  <c r="Y236" i="6"/>
  <c r="Y372" i="6"/>
  <c r="L358" i="6"/>
  <c r="V227" i="6"/>
  <c r="S196" i="6"/>
  <c r="Y196" i="6" s="1"/>
  <c r="L276" i="6"/>
  <c r="Y407" i="6"/>
  <c r="Y375" i="6"/>
  <c r="L322" i="6"/>
  <c r="Y408" i="6"/>
  <c r="L561" i="6"/>
  <c r="L575" i="6"/>
  <c r="L596" i="6"/>
  <c r="Y627" i="6"/>
  <c r="Y438" i="6"/>
  <c r="L446" i="6"/>
  <c r="Y332" i="6"/>
  <c r="L500" i="6"/>
  <c r="L600" i="6"/>
  <c r="Y624" i="6"/>
  <c r="Y540" i="6"/>
  <c r="L628" i="6"/>
  <c r="L630" i="6"/>
  <c r="L639" i="6"/>
  <c r="Y625" i="6"/>
  <c r="Y575" i="6"/>
  <c r="L614" i="6"/>
  <c r="L623" i="6"/>
  <c r="L625" i="6"/>
  <c r="L627" i="6"/>
  <c r="L613" i="6"/>
  <c r="L618" i="6"/>
  <c r="L621" i="6"/>
  <c r="L626" i="6"/>
  <c r="L629" i="6"/>
  <c r="L634" i="6"/>
  <c r="L637" i="6"/>
  <c r="S605" i="6"/>
  <c r="S607" i="6" s="1"/>
  <c r="S608" i="6" s="1"/>
  <c r="X605" i="6"/>
  <c r="X607" i="6" s="1"/>
  <c r="L719" i="6" l="1"/>
  <c r="Y795" i="1"/>
  <c r="P731" i="1"/>
  <c r="P758" i="1" s="1"/>
  <c r="P764" i="1" s="1"/>
  <c r="P769" i="1" s="1"/>
  <c r="P796" i="1" s="1"/>
  <c r="P802" i="1" s="1"/>
  <c r="P807" i="1" s="1"/>
  <c r="P834" i="1" s="1"/>
  <c r="Y871" i="6"/>
  <c r="Y795" i="6"/>
  <c r="L681" i="1"/>
  <c r="Y757" i="6"/>
  <c r="V796" i="6"/>
  <c r="V802" i="6" s="1"/>
  <c r="V807" i="6" s="1"/>
  <c r="V834" i="6" s="1"/>
  <c r="V840" i="6" s="1"/>
  <c r="V845" i="6" s="1"/>
  <c r="V872" i="6" s="1"/>
  <c r="V878" i="6" s="1"/>
  <c r="V883" i="6" s="1"/>
  <c r="V910" i="6" s="1"/>
  <c r="V916" i="6" s="1"/>
  <c r="V921" i="6" s="1"/>
  <c r="V948" i="6" s="1"/>
  <c r="Q796" i="6"/>
  <c r="Q802" i="6" s="1"/>
  <c r="Q807" i="6" s="1"/>
  <c r="Q834" i="6" s="1"/>
  <c r="Q840" i="6" s="1"/>
  <c r="Q845" i="6" s="1"/>
  <c r="Q872" i="6" s="1"/>
  <c r="Q878" i="6" s="1"/>
  <c r="Q883" i="6" s="1"/>
  <c r="Q910" i="6" s="1"/>
  <c r="Q916" i="6" s="1"/>
  <c r="Q921" i="6" s="1"/>
  <c r="Q948" i="6" s="1"/>
  <c r="P796" i="6"/>
  <c r="P802" i="6" s="1"/>
  <c r="P807" i="6" s="1"/>
  <c r="P834" i="6" s="1"/>
  <c r="P840" i="6" s="1"/>
  <c r="P845" i="6" s="1"/>
  <c r="P872" i="6" s="1"/>
  <c r="P878" i="6" s="1"/>
  <c r="P883" i="6" s="1"/>
  <c r="P910" i="6" s="1"/>
  <c r="P916" i="6" s="1"/>
  <c r="P921" i="6" s="1"/>
  <c r="P948" i="6" s="1"/>
  <c r="L681" i="6"/>
  <c r="L643" i="1"/>
  <c r="Y833" i="6"/>
  <c r="Y719" i="1"/>
  <c r="L605" i="1"/>
  <c r="L605" i="6"/>
  <c r="P608" i="6"/>
  <c r="O608" i="6"/>
  <c r="Q608" i="6"/>
  <c r="R608" i="6"/>
  <c r="U568" i="1"/>
  <c r="U574" i="1" s="1"/>
  <c r="U579" i="1" s="1"/>
  <c r="U606" i="1" s="1"/>
  <c r="U612" i="1" s="1"/>
  <c r="U617" i="1" s="1"/>
  <c r="U644" i="1" s="1"/>
  <c r="U650" i="1" s="1"/>
  <c r="U655" i="1" s="1"/>
  <c r="U682" i="1" s="1"/>
  <c r="U688" i="1" s="1"/>
  <c r="U693" i="1" s="1"/>
  <c r="U720" i="1" s="1"/>
  <c r="U726" i="1" s="1"/>
  <c r="U731" i="1" s="1"/>
  <c r="U758" i="1" s="1"/>
  <c r="Y681" i="1"/>
  <c r="L567" i="1"/>
  <c r="L529" i="1"/>
  <c r="L567" i="6"/>
  <c r="Y719" i="6"/>
  <c r="Y643" i="1"/>
  <c r="L529" i="6"/>
  <c r="T569" i="6"/>
  <c r="Y605" i="1"/>
  <c r="L491" i="1"/>
  <c r="Y529" i="1"/>
  <c r="Y681" i="6"/>
  <c r="L491" i="6"/>
  <c r="Y567" i="6"/>
  <c r="Y643" i="6"/>
  <c r="Y491" i="1"/>
  <c r="L453" i="1"/>
  <c r="S303" i="1"/>
  <c r="S114" i="1"/>
  <c r="Q114" i="1"/>
  <c r="O114" i="1"/>
  <c r="G47" i="1"/>
  <c r="G74" i="1" s="1"/>
  <c r="G80" i="1" s="1"/>
  <c r="K42" i="1"/>
  <c r="P114" i="1"/>
  <c r="L36" i="1"/>
  <c r="F74" i="1"/>
  <c r="I340" i="1"/>
  <c r="I346" i="1" s="1"/>
  <c r="I351" i="1" s="1"/>
  <c r="I378" i="1" s="1"/>
  <c r="I384" i="1" s="1"/>
  <c r="I389" i="1" s="1"/>
  <c r="I416" i="1" s="1"/>
  <c r="I422" i="1" s="1"/>
  <c r="I427" i="1" s="1"/>
  <c r="I454" i="1" s="1"/>
  <c r="I460" i="1" s="1"/>
  <c r="I465" i="1" s="1"/>
  <c r="I492" i="1" s="1"/>
  <c r="I498" i="1" s="1"/>
  <c r="I503" i="1" s="1"/>
  <c r="I530" i="1" s="1"/>
  <c r="I536" i="1" s="1"/>
  <c r="I541" i="1" s="1"/>
  <c r="I568" i="1" s="1"/>
  <c r="I574" i="1" s="1"/>
  <c r="I579" i="1" s="1"/>
  <c r="I606" i="1" s="1"/>
  <c r="I612" i="1" s="1"/>
  <c r="I617" i="1" s="1"/>
  <c r="I644" i="1" s="1"/>
  <c r="I650" i="1" s="1"/>
  <c r="I655" i="1" s="1"/>
  <c r="I682" i="1" s="1"/>
  <c r="I688" i="1" s="1"/>
  <c r="I693" i="1" s="1"/>
  <c r="I720" i="1" s="1"/>
  <c r="I726" i="1" s="1"/>
  <c r="I731" i="1" s="1"/>
  <c r="I758" i="1" s="1"/>
  <c r="I764" i="1" s="1"/>
  <c r="I769" i="1" s="1"/>
  <c r="I796" i="1" s="1"/>
  <c r="I802" i="1" s="1"/>
  <c r="I807" i="1" s="1"/>
  <c r="I834" i="1" s="1"/>
  <c r="X80" i="1"/>
  <c r="X85" i="1" s="1"/>
  <c r="X112" i="1" s="1"/>
  <c r="R114" i="1"/>
  <c r="L35" i="1"/>
  <c r="Y9" i="1"/>
  <c r="S36" i="1"/>
  <c r="F85" i="1"/>
  <c r="S85" i="1"/>
  <c r="W303" i="1"/>
  <c r="V493" i="1"/>
  <c r="X453" i="1"/>
  <c r="X47" i="1"/>
  <c r="Y42" i="1"/>
  <c r="X113" i="1"/>
  <c r="X303" i="1" s="1"/>
  <c r="Y35" i="1"/>
  <c r="X36" i="1"/>
  <c r="P493" i="1"/>
  <c r="P304" i="1"/>
  <c r="V454" i="1"/>
  <c r="V460" i="1" s="1"/>
  <c r="V465" i="1" s="1"/>
  <c r="V492" i="1" s="1"/>
  <c r="V498" i="1" s="1"/>
  <c r="V503" i="1" s="1"/>
  <c r="V530" i="1" s="1"/>
  <c r="V536" i="1" s="1"/>
  <c r="V541" i="1" s="1"/>
  <c r="V568" i="1" s="1"/>
  <c r="V574" i="1" s="1"/>
  <c r="V579" i="1" s="1"/>
  <c r="V606" i="1" s="1"/>
  <c r="V612" i="1" s="1"/>
  <c r="V617" i="1" s="1"/>
  <c r="V644" i="1" s="1"/>
  <c r="V650" i="1" s="1"/>
  <c r="V655" i="1" s="1"/>
  <c r="V682" i="1" s="1"/>
  <c r="V688" i="1" s="1"/>
  <c r="V693" i="1" s="1"/>
  <c r="V720" i="1" s="1"/>
  <c r="V726" i="1" s="1"/>
  <c r="T123" i="1"/>
  <c r="T150" i="1" s="1"/>
  <c r="T156" i="1" s="1"/>
  <c r="X118" i="1"/>
  <c r="X123" i="1" s="1"/>
  <c r="X150" i="1" s="1"/>
  <c r="R304" i="1"/>
  <c r="F118" i="1"/>
  <c r="B123" i="1"/>
  <c r="B150" i="1" s="1"/>
  <c r="B156" i="1" s="1"/>
  <c r="S118" i="1"/>
  <c r="O123" i="1"/>
  <c r="O150" i="1" s="1"/>
  <c r="O156" i="1" s="1"/>
  <c r="Y567" i="1"/>
  <c r="W498" i="6"/>
  <c r="W503" i="6" s="1"/>
  <c r="W530" i="6" s="1"/>
  <c r="W536" i="6" s="1"/>
  <c r="W541" i="6" s="1"/>
  <c r="W568" i="6" s="1"/>
  <c r="W574" i="6" s="1"/>
  <c r="W579" i="6" s="1"/>
  <c r="W606" i="6" s="1"/>
  <c r="W612" i="6" s="1"/>
  <c r="W617" i="6" s="1"/>
  <c r="W644" i="6" s="1"/>
  <c r="W650" i="6" s="1"/>
  <c r="X227" i="6"/>
  <c r="Y225" i="6"/>
  <c r="X80" i="6"/>
  <c r="X85" i="6" s="1"/>
  <c r="X112" i="6" s="1"/>
  <c r="U85" i="6"/>
  <c r="U112" i="6" s="1"/>
  <c r="U118" i="6" s="1"/>
  <c r="L9" i="6"/>
  <c r="F36" i="6"/>
  <c r="L36" i="6" s="1"/>
  <c r="T237" i="6"/>
  <c r="T264" i="6" s="1"/>
  <c r="T270" i="6" s="1"/>
  <c r="S529" i="6"/>
  <c r="O569" i="6"/>
  <c r="R569" i="6"/>
  <c r="S491" i="6"/>
  <c r="G123" i="6"/>
  <c r="G150" i="6" s="1"/>
  <c r="G156" i="6" s="1"/>
  <c r="K118" i="6"/>
  <c r="K123" i="6" s="1"/>
  <c r="K150" i="6" s="1"/>
  <c r="Y490" i="6"/>
  <c r="K80" i="6"/>
  <c r="K85" i="6" s="1"/>
  <c r="K112" i="6" s="1"/>
  <c r="S36" i="6"/>
  <c r="Y36" i="6" s="1"/>
  <c r="Y9" i="6"/>
  <c r="F47" i="6"/>
  <c r="L42" i="6"/>
  <c r="F123" i="6"/>
  <c r="L118" i="6"/>
  <c r="S85" i="6"/>
  <c r="V228" i="6"/>
  <c r="U228" i="6"/>
  <c r="W569" i="6"/>
  <c r="X491" i="6"/>
  <c r="F85" i="6"/>
  <c r="L80" i="6"/>
  <c r="S47" i="6"/>
  <c r="Y42" i="6"/>
  <c r="R492" i="6"/>
  <c r="F156" i="6"/>
  <c r="B161" i="6"/>
  <c r="B188" i="6" s="1"/>
  <c r="B194" i="6" s="1"/>
  <c r="S118" i="6"/>
  <c r="O123" i="6"/>
  <c r="O150" i="6" s="1"/>
  <c r="O156" i="6" s="1"/>
  <c r="Y605" i="6"/>
  <c r="Y607" i="6" s="1"/>
  <c r="U764" i="1" l="1"/>
  <c r="U769" i="1" s="1"/>
  <c r="U796" i="1" s="1"/>
  <c r="U802" i="1" s="1"/>
  <c r="U807" i="1" s="1"/>
  <c r="U834" i="1" s="1"/>
  <c r="V731" i="1"/>
  <c r="V758" i="1" s="1"/>
  <c r="W655" i="6"/>
  <c r="W682" i="6" s="1"/>
  <c r="W688" i="6" s="1"/>
  <c r="W693" i="6" s="1"/>
  <c r="W720" i="6" s="1"/>
  <c r="W726" i="6" s="1"/>
  <c r="W731" i="6" s="1"/>
  <c r="W758" i="6" s="1"/>
  <c r="W764" i="6" s="1"/>
  <c r="W769" i="6" s="1"/>
  <c r="Y80" i="1"/>
  <c r="X304" i="1"/>
  <c r="V304" i="1"/>
  <c r="T304" i="1"/>
  <c r="U304" i="1"/>
  <c r="Y118" i="1"/>
  <c r="S123" i="1"/>
  <c r="F123" i="1"/>
  <c r="V494" i="1"/>
  <c r="Y453" i="1"/>
  <c r="W304" i="1"/>
  <c r="W493" i="1"/>
  <c r="Y85" i="1"/>
  <c r="S112" i="1"/>
  <c r="Y112" i="1" s="1"/>
  <c r="F112" i="1"/>
  <c r="Y36" i="1"/>
  <c r="W114" i="1"/>
  <c r="K80" i="1"/>
  <c r="G85" i="1"/>
  <c r="G112" i="1" s="1"/>
  <c r="G118" i="1" s="1"/>
  <c r="S493" i="1"/>
  <c r="S304" i="1"/>
  <c r="Q304" i="1"/>
  <c r="O304" i="1"/>
  <c r="S156" i="1"/>
  <c r="O161" i="1"/>
  <c r="O188" i="1" s="1"/>
  <c r="O194" i="1" s="1"/>
  <c r="B161" i="1"/>
  <c r="B188" i="1" s="1"/>
  <c r="B194" i="1" s="1"/>
  <c r="F156" i="1"/>
  <c r="X156" i="1"/>
  <c r="X161" i="1" s="1"/>
  <c r="X188" i="1" s="1"/>
  <c r="T161" i="1"/>
  <c r="T188" i="1" s="1"/>
  <c r="T194" i="1" s="1"/>
  <c r="X114" i="1"/>
  <c r="T114" i="1"/>
  <c r="V114" i="1"/>
  <c r="U114" i="1"/>
  <c r="X74" i="1"/>
  <c r="Y74" i="1" s="1"/>
  <c r="Y47" i="1"/>
  <c r="K47" i="1"/>
  <c r="L42" i="1"/>
  <c r="B199" i="6"/>
  <c r="B226" i="6" s="1"/>
  <c r="B232" i="6" s="1"/>
  <c r="F194" i="6"/>
  <c r="S112" i="6"/>
  <c r="Y112" i="6" s="1"/>
  <c r="Y85" i="6"/>
  <c r="L156" i="6"/>
  <c r="F161" i="6"/>
  <c r="S156" i="6"/>
  <c r="O161" i="6"/>
  <c r="O188" i="6" s="1"/>
  <c r="O194" i="6" s="1"/>
  <c r="R498" i="6"/>
  <c r="R503" i="6" s="1"/>
  <c r="R530" i="6" s="1"/>
  <c r="R536" i="6" s="1"/>
  <c r="R541" i="6" s="1"/>
  <c r="R568" i="6" s="1"/>
  <c r="R574" i="6" s="1"/>
  <c r="R579" i="6" s="1"/>
  <c r="R606" i="6" s="1"/>
  <c r="R612" i="6" s="1"/>
  <c r="R617" i="6" s="1"/>
  <c r="R644" i="6" s="1"/>
  <c r="R650" i="6" s="1"/>
  <c r="R655" i="6" s="1"/>
  <c r="R682" i="6" s="1"/>
  <c r="R688" i="6" s="1"/>
  <c r="R693" i="6" s="1"/>
  <c r="R720" i="6" s="1"/>
  <c r="R726" i="6" s="1"/>
  <c r="R731" i="6" s="1"/>
  <c r="R758" i="6" s="1"/>
  <c r="R764" i="6" s="1"/>
  <c r="R769" i="6" s="1"/>
  <c r="F112" i="6"/>
  <c r="L112" i="6" s="1"/>
  <c r="L85" i="6"/>
  <c r="L123" i="6"/>
  <c r="F150" i="6"/>
  <c r="L150" i="6" s="1"/>
  <c r="G161" i="6"/>
  <c r="G188" i="6" s="1"/>
  <c r="G194" i="6" s="1"/>
  <c r="K156" i="6"/>
  <c r="K161" i="6" s="1"/>
  <c r="K188" i="6" s="1"/>
  <c r="Y529" i="6"/>
  <c r="S569" i="6"/>
  <c r="W228" i="6"/>
  <c r="X228" i="6"/>
  <c r="T228" i="6"/>
  <c r="S123" i="6"/>
  <c r="X569" i="6"/>
  <c r="Y80" i="6"/>
  <c r="Y491" i="6"/>
  <c r="U123" i="6"/>
  <c r="U150" i="6" s="1"/>
  <c r="U156" i="6" s="1"/>
  <c r="X118" i="6"/>
  <c r="X123" i="6" s="1"/>
  <c r="X150" i="6" s="1"/>
  <c r="Y47" i="6"/>
  <c r="S74" i="6"/>
  <c r="Y74" i="6" s="1"/>
  <c r="F74" i="6"/>
  <c r="L74" i="6" s="1"/>
  <c r="L47" i="6"/>
  <c r="T275" i="6"/>
  <c r="T302" i="6" s="1"/>
  <c r="T308" i="6" s="1"/>
  <c r="V764" i="1" l="1"/>
  <c r="V769" i="1" s="1"/>
  <c r="V796" i="1" s="1"/>
  <c r="V802" i="1" s="1"/>
  <c r="V807" i="1" s="1"/>
  <c r="V834" i="1" s="1"/>
  <c r="W796" i="6"/>
  <c r="W802" i="6" s="1"/>
  <c r="W807" i="6" s="1"/>
  <c r="W834" i="6" s="1"/>
  <c r="W840" i="6" s="1"/>
  <c r="W845" i="6" s="1"/>
  <c r="W872" i="6" s="1"/>
  <c r="W878" i="6" s="1"/>
  <c r="W883" i="6" s="1"/>
  <c r="W910" i="6" s="1"/>
  <c r="W916" i="6" s="1"/>
  <c r="W921" i="6" s="1"/>
  <c r="W948" i="6" s="1"/>
  <c r="R796" i="6"/>
  <c r="R802" i="6" s="1"/>
  <c r="R807" i="6" s="1"/>
  <c r="R834" i="6" s="1"/>
  <c r="R840" i="6" s="1"/>
  <c r="R845" i="6" s="1"/>
  <c r="R872" i="6" s="1"/>
  <c r="R878" i="6" s="1"/>
  <c r="R883" i="6" s="1"/>
  <c r="R910" i="6" s="1"/>
  <c r="R916" i="6" s="1"/>
  <c r="R921" i="6" s="1"/>
  <c r="R948" i="6" s="1"/>
  <c r="K74" i="1"/>
  <c r="L74" i="1" s="1"/>
  <c r="L47" i="1"/>
  <c r="X194" i="1"/>
  <c r="X199" i="1" s="1"/>
  <c r="X226" i="1" s="1"/>
  <c r="T199" i="1"/>
  <c r="T226" i="1" s="1"/>
  <c r="T232" i="1" s="1"/>
  <c r="F161" i="1"/>
  <c r="S194" i="1"/>
  <c r="O199" i="1"/>
  <c r="O226" i="1" s="1"/>
  <c r="O232" i="1" s="1"/>
  <c r="G123" i="1"/>
  <c r="G150" i="1" s="1"/>
  <c r="G156" i="1" s="1"/>
  <c r="K118" i="1"/>
  <c r="X494" i="1"/>
  <c r="U494" i="1"/>
  <c r="T494" i="1"/>
  <c r="Y123" i="1"/>
  <c r="S150" i="1"/>
  <c r="Y150" i="1" s="1"/>
  <c r="F194" i="1"/>
  <c r="B199" i="1"/>
  <c r="B226" i="1" s="1"/>
  <c r="B232" i="1" s="1"/>
  <c r="Y156" i="1"/>
  <c r="S161" i="1"/>
  <c r="S494" i="1"/>
  <c r="R494" i="1"/>
  <c r="O494" i="1"/>
  <c r="Q494" i="1"/>
  <c r="K85" i="1"/>
  <c r="L80" i="1"/>
  <c r="W494" i="1"/>
  <c r="P494" i="1"/>
  <c r="F150" i="1"/>
  <c r="T313" i="6"/>
  <c r="T340" i="6" s="1"/>
  <c r="T346" i="6" s="1"/>
  <c r="F232" i="6"/>
  <c r="B237" i="6"/>
  <c r="B264" i="6" s="1"/>
  <c r="B270" i="6" s="1"/>
  <c r="O199" i="6"/>
  <c r="O226" i="6" s="1"/>
  <c r="O232" i="6" s="1"/>
  <c r="S194" i="6"/>
  <c r="U161" i="6"/>
  <c r="U188" i="6" s="1"/>
  <c r="U194" i="6" s="1"/>
  <c r="X156" i="6"/>
  <c r="X161" i="6" s="1"/>
  <c r="X188" i="6" s="1"/>
  <c r="S150" i="6"/>
  <c r="Y150" i="6" s="1"/>
  <c r="Y123" i="6"/>
  <c r="K194" i="6"/>
  <c r="K199" i="6" s="1"/>
  <c r="K226" i="6" s="1"/>
  <c r="G199" i="6"/>
  <c r="G226" i="6" s="1"/>
  <c r="G232" i="6" s="1"/>
  <c r="Y156" i="6"/>
  <c r="S161" i="6"/>
  <c r="Y118" i="6"/>
  <c r="Y569" i="6"/>
  <c r="L161" i="6"/>
  <c r="F188" i="6"/>
  <c r="L188" i="6" s="1"/>
  <c r="F199" i="6"/>
  <c r="L194" i="6"/>
  <c r="S188" i="1" l="1"/>
  <c r="Y188" i="1" s="1"/>
  <c r="Y161" i="1"/>
  <c r="F232" i="1"/>
  <c r="B237" i="1"/>
  <c r="B264" i="1" s="1"/>
  <c r="B270" i="1" s="1"/>
  <c r="K123" i="1"/>
  <c r="L118" i="1"/>
  <c r="O237" i="1"/>
  <c r="O264" i="1" s="1"/>
  <c r="O270" i="1" s="1"/>
  <c r="S232" i="1"/>
  <c r="X232" i="1"/>
  <c r="X237" i="1" s="1"/>
  <c r="X264" i="1" s="1"/>
  <c r="T237" i="1"/>
  <c r="T264" i="1" s="1"/>
  <c r="T270" i="1" s="1"/>
  <c r="K112" i="1"/>
  <c r="L112" i="1" s="1"/>
  <c r="L85" i="1"/>
  <c r="F199" i="1"/>
  <c r="G161" i="1"/>
  <c r="G188" i="1" s="1"/>
  <c r="G194" i="1" s="1"/>
  <c r="K156" i="1"/>
  <c r="S199" i="1"/>
  <c r="Y194" i="1"/>
  <c r="F188" i="1"/>
  <c r="S188" i="6"/>
  <c r="Y188" i="6" s="1"/>
  <c r="Y161" i="6"/>
  <c r="S199" i="6"/>
  <c r="S232" i="6"/>
  <c r="O237" i="6"/>
  <c r="O264" i="6" s="1"/>
  <c r="O270" i="6" s="1"/>
  <c r="T351" i="6"/>
  <c r="T378" i="6" s="1"/>
  <c r="T384" i="6" s="1"/>
  <c r="G237" i="6"/>
  <c r="G264" i="6" s="1"/>
  <c r="G270" i="6" s="1"/>
  <c r="K232" i="6"/>
  <c r="K237" i="6" s="1"/>
  <c r="K264" i="6" s="1"/>
  <c r="B275" i="6"/>
  <c r="B302" i="6" s="1"/>
  <c r="B308" i="6" s="1"/>
  <c r="F270" i="6"/>
  <c r="F226" i="6"/>
  <c r="L226" i="6" s="1"/>
  <c r="L199" i="6"/>
  <c r="U199" i="6"/>
  <c r="U226" i="6" s="1"/>
  <c r="U232" i="6" s="1"/>
  <c r="X194" i="6"/>
  <c r="X199" i="6" s="1"/>
  <c r="X226" i="6" s="1"/>
  <c r="F237" i="6"/>
  <c r="Y199" i="1" l="1"/>
  <c r="S226" i="1"/>
  <c r="Y226" i="1" s="1"/>
  <c r="G199" i="1"/>
  <c r="G226" i="1" s="1"/>
  <c r="G232" i="1" s="1"/>
  <c r="K194" i="1"/>
  <c r="T275" i="1"/>
  <c r="T302" i="1" s="1"/>
  <c r="T308" i="1" s="1"/>
  <c r="X270" i="1"/>
  <c r="X275" i="1" s="1"/>
  <c r="X302" i="1" s="1"/>
  <c r="Y232" i="1"/>
  <c r="S237" i="1"/>
  <c r="F270" i="1"/>
  <c r="B275" i="1"/>
  <c r="B302" i="1" s="1"/>
  <c r="B308" i="1" s="1"/>
  <c r="K161" i="1"/>
  <c r="L156" i="1"/>
  <c r="F226" i="1"/>
  <c r="S270" i="1"/>
  <c r="O275" i="1"/>
  <c r="O302" i="1" s="1"/>
  <c r="O308" i="1" s="1"/>
  <c r="K150" i="1"/>
  <c r="L150" i="1" s="1"/>
  <c r="L123" i="1"/>
  <c r="F237" i="1"/>
  <c r="L237" i="6"/>
  <c r="F264" i="6"/>
  <c r="L264" i="6" s="1"/>
  <c r="S270" i="6"/>
  <c r="O275" i="6"/>
  <c r="O302" i="6" s="1"/>
  <c r="O308" i="6" s="1"/>
  <c r="L232" i="6"/>
  <c r="K270" i="6"/>
  <c r="K275" i="6" s="1"/>
  <c r="K302" i="6" s="1"/>
  <c r="G275" i="6"/>
  <c r="G302" i="6" s="1"/>
  <c r="G308" i="6" s="1"/>
  <c r="S237" i="6"/>
  <c r="F275" i="6"/>
  <c r="Y194" i="6"/>
  <c r="U237" i="6"/>
  <c r="U264" i="6" s="1"/>
  <c r="U270" i="6" s="1"/>
  <c r="X232" i="6"/>
  <c r="X237" i="6" s="1"/>
  <c r="X264" i="6" s="1"/>
  <c r="B313" i="6"/>
  <c r="B340" i="6" s="1"/>
  <c r="B346" i="6" s="1"/>
  <c r="F308" i="6"/>
  <c r="T389" i="6"/>
  <c r="T416" i="6" s="1"/>
  <c r="T422" i="6" s="1"/>
  <c r="Y199" i="6"/>
  <c r="S226" i="6"/>
  <c r="Y226" i="6" s="1"/>
  <c r="F264" i="1" l="1"/>
  <c r="Y270" i="1"/>
  <c r="S275" i="1"/>
  <c r="K188" i="1"/>
  <c r="L188" i="1" s="1"/>
  <c r="L161" i="1"/>
  <c r="B313" i="1"/>
  <c r="B340" i="1" s="1"/>
  <c r="B346" i="1" s="1"/>
  <c r="F308" i="1"/>
  <c r="Y237" i="1"/>
  <c r="S264" i="1"/>
  <c r="Y264" i="1" s="1"/>
  <c r="K199" i="1"/>
  <c r="L194" i="1"/>
  <c r="O313" i="1"/>
  <c r="O340" i="1" s="1"/>
  <c r="O346" i="1" s="1"/>
  <c r="S308" i="1"/>
  <c r="F275" i="1"/>
  <c r="X308" i="1"/>
  <c r="X313" i="1" s="1"/>
  <c r="X340" i="1" s="1"/>
  <c r="T313" i="1"/>
  <c r="T340" i="1" s="1"/>
  <c r="T346" i="1" s="1"/>
  <c r="K232" i="1"/>
  <c r="G237" i="1"/>
  <c r="G264" i="1" s="1"/>
  <c r="G270" i="1" s="1"/>
  <c r="F313" i="6"/>
  <c r="S264" i="6"/>
  <c r="Y264" i="6" s="1"/>
  <c r="Y237" i="6"/>
  <c r="F346" i="6"/>
  <c r="B351" i="6"/>
  <c r="B378" i="6" s="1"/>
  <c r="B384" i="6" s="1"/>
  <c r="L270" i="6"/>
  <c r="K308" i="6"/>
  <c r="K313" i="6" s="1"/>
  <c r="K340" i="6" s="1"/>
  <c r="G313" i="6"/>
  <c r="G340" i="6" s="1"/>
  <c r="G346" i="6" s="1"/>
  <c r="Y270" i="6"/>
  <c r="S275" i="6"/>
  <c r="L275" i="6"/>
  <c r="F302" i="6"/>
  <c r="L302" i="6" s="1"/>
  <c r="S308" i="6"/>
  <c r="O313" i="6"/>
  <c r="O340" i="6" s="1"/>
  <c r="O346" i="6" s="1"/>
  <c r="T427" i="6"/>
  <c r="T454" i="6" s="1"/>
  <c r="T460" i="6" s="1"/>
  <c r="U275" i="6"/>
  <c r="U302" i="6" s="1"/>
  <c r="U308" i="6" s="1"/>
  <c r="X270" i="6"/>
  <c r="X275" i="6" s="1"/>
  <c r="X302" i="6" s="1"/>
  <c r="Y232" i="6"/>
  <c r="K270" i="1" l="1"/>
  <c r="G275" i="1"/>
  <c r="G302" i="1" s="1"/>
  <c r="G308" i="1" s="1"/>
  <c r="K237" i="1"/>
  <c r="L232" i="1"/>
  <c r="F302" i="1"/>
  <c r="S313" i="1"/>
  <c r="Y308" i="1"/>
  <c r="F313" i="1"/>
  <c r="S302" i="1"/>
  <c r="Y302" i="1" s="1"/>
  <c r="Y275" i="1"/>
  <c r="X346" i="1"/>
  <c r="X351" i="1" s="1"/>
  <c r="X378" i="1" s="1"/>
  <c r="T351" i="1"/>
  <c r="T378" i="1" s="1"/>
  <c r="T384" i="1" s="1"/>
  <c r="S346" i="1"/>
  <c r="O351" i="1"/>
  <c r="O378" i="1" s="1"/>
  <c r="O384" i="1" s="1"/>
  <c r="K226" i="1"/>
  <c r="L226" i="1" s="1"/>
  <c r="L199" i="1"/>
  <c r="F346" i="1"/>
  <c r="B351" i="1"/>
  <c r="B378" i="1" s="1"/>
  <c r="B384" i="1" s="1"/>
  <c r="S346" i="6"/>
  <c r="O351" i="6"/>
  <c r="O378" i="6" s="1"/>
  <c r="O384" i="6" s="1"/>
  <c r="S302" i="6"/>
  <c r="Y302" i="6" s="1"/>
  <c r="Y275" i="6"/>
  <c r="T465" i="6"/>
  <c r="T492" i="6" s="1"/>
  <c r="L313" i="6"/>
  <c r="F340" i="6"/>
  <c r="L340" i="6" s="1"/>
  <c r="U313" i="6"/>
  <c r="U340" i="6" s="1"/>
  <c r="U346" i="6" s="1"/>
  <c r="X308" i="6"/>
  <c r="X313" i="6" s="1"/>
  <c r="X340" i="6" s="1"/>
  <c r="S313" i="6"/>
  <c r="Y308" i="6"/>
  <c r="F384" i="6"/>
  <c r="B389" i="6"/>
  <c r="B416" i="6" s="1"/>
  <c r="B422" i="6" s="1"/>
  <c r="G351" i="6"/>
  <c r="G378" i="6" s="1"/>
  <c r="G384" i="6" s="1"/>
  <c r="K346" i="6"/>
  <c r="K351" i="6" s="1"/>
  <c r="K378" i="6" s="1"/>
  <c r="F351" i="6"/>
  <c r="L308" i="6"/>
  <c r="F351" i="1" l="1"/>
  <c r="Y346" i="1"/>
  <c r="S351" i="1"/>
  <c r="G313" i="1"/>
  <c r="G340" i="1" s="1"/>
  <c r="G346" i="1" s="1"/>
  <c r="K308" i="1"/>
  <c r="B389" i="1"/>
  <c r="B416" i="1" s="1"/>
  <c r="B422" i="1" s="1"/>
  <c r="F384" i="1"/>
  <c r="S384" i="1"/>
  <c r="O389" i="1"/>
  <c r="O416" i="1" s="1"/>
  <c r="O422" i="1" s="1"/>
  <c r="T389" i="1"/>
  <c r="T416" i="1" s="1"/>
  <c r="T422" i="1" s="1"/>
  <c r="X384" i="1"/>
  <c r="X389" i="1" s="1"/>
  <c r="X416" i="1" s="1"/>
  <c r="F340" i="1"/>
  <c r="Y313" i="1"/>
  <c r="S340" i="1"/>
  <c r="Y340" i="1" s="1"/>
  <c r="K264" i="1"/>
  <c r="L264" i="1" s="1"/>
  <c r="L237" i="1"/>
  <c r="K275" i="1"/>
  <c r="L270" i="1"/>
  <c r="G389" i="6"/>
  <c r="G416" i="6" s="1"/>
  <c r="G422" i="6" s="1"/>
  <c r="K384" i="6"/>
  <c r="K389" i="6" s="1"/>
  <c r="K416" i="6" s="1"/>
  <c r="Y313" i="6"/>
  <c r="S340" i="6"/>
  <c r="Y340" i="6" s="1"/>
  <c r="S384" i="6"/>
  <c r="O389" i="6"/>
  <c r="O416" i="6" s="1"/>
  <c r="O422" i="6" s="1"/>
  <c r="L351" i="6"/>
  <c r="F378" i="6"/>
  <c r="L378" i="6" s="1"/>
  <c r="F422" i="6"/>
  <c r="B427" i="6"/>
  <c r="B454" i="6" s="1"/>
  <c r="B460" i="6" s="1"/>
  <c r="L346" i="6"/>
  <c r="L384" i="6"/>
  <c r="F389" i="6"/>
  <c r="U351" i="6"/>
  <c r="U378" i="6" s="1"/>
  <c r="U384" i="6" s="1"/>
  <c r="X346" i="6"/>
  <c r="X351" i="6" s="1"/>
  <c r="X378" i="6" s="1"/>
  <c r="T498" i="6"/>
  <c r="S351" i="6"/>
  <c r="Y346" i="6"/>
  <c r="X422" i="1" l="1"/>
  <c r="X427" i="1" s="1"/>
  <c r="X454" i="1" s="1"/>
  <c r="T427" i="1"/>
  <c r="T454" i="1" s="1"/>
  <c r="T460" i="1" s="1"/>
  <c r="Y384" i="1"/>
  <c r="S389" i="1"/>
  <c r="B427" i="1"/>
  <c r="B454" i="1" s="1"/>
  <c r="B460" i="1" s="1"/>
  <c r="F422" i="1"/>
  <c r="K346" i="1"/>
  <c r="G351" i="1"/>
  <c r="G378" i="1" s="1"/>
  <c r="G384" i="1" s="1"/>
  <c r="S378" i="1"/>
  <c r="Y378" i="1" s="1"/>
  <c r="Y351" i="1"/>
  <c r="K302" i="1"/>
  <c r="L302" i="1" s="1"/>
  <c r="L275" i="1"/>
  <c r="S422" i="1"/>
  <c r="O427" i="1"/>
  <c r="O454" i="1" s="1"/>
  <c r="O460" i="1" s="1"/>
  <c r="F389" i="1"/>
  <c r="K313" i="1"/>
  <c r="L308" i="1"/>
  <c r="F378" i="1"/>
  <c r="T503" i="6"/>
  <c r="T530" i="6" s="1"/>
  <c r="T536" i="6" s="1"/>
  <c r="U389" i="6"/>
  <c r="U416" i="6" s="1"/>
  <c r="U422" i="6" s="1"/>
  <c r="X384" i="6"/>
  <c r="X389" i="6" s="1"/>
  <c r="X416" i="6" s="1"/>
  <c r="Y351" i="6"/>
  <c r="S378" i="6"/>
  <c r="Y378" i="6" s="1"/>
  <c r="B465" i="6"/>
  <c r="B492" i="6" s="1"/>
  <c r="B498" i="6" s="1"/>
  <c r="F460" i="6"/>
  <c r="O427" i="6"/>
  <c r="O454" i="6" s="1"/>
  <c r="O460" i="6" s="1"/>
  <c r="S422" i="6"/>
  <c r="F416" i="6"/>
  <c r="L416" i="6" s="1"/>
  <c r="L389" i="6"/>
  <c r="F427" i="6"/>
  <c r="S389" i="6"/>
  <c r="Y384" i="6"/>
  <c r="G427" i="6"/>
  <c r="G454" i="6" s="1"/>
  <c r="G460" i="6" s="1"/>
  <c r="K422" i="6"/>
  <c r="K427" i="6" s="1"/>
  <c r="K454" i="6" s="1"/>
  <c r="K340" i="1" l="1"/>
  <c r="L340" i="1" s="1"/>
  <c r="L313" i="1"/>
  <c r="S427" i="1"/>
  <c r="Y422" i="1"/>
  <c r="K351" i="1"/>
  <c r="L346" i="1"/>
  <c r="B465" i="1"/>
  <c r="B492" i="1" s="1"/>
  <c r="B498" i="1" s="1"/>
  <c r="F460" i="1"/>
  <c r="F416" i="1"/>
  <c r="O465" i="1"/>
  <c r="O492" i="1" s="1"/>
  <c r="O498" i="1" s="1"/>
  <c r="S460" i="1"/>
  <c r="G389" i="1"/>
  <c r="G416" i="1" s="1"/>
  <c r="G422" i="1" s="1"/>
  <c r="K384" i="1"/>
  <c r="F427" i="1"/>
  <c r="S416" i="1"/>
  <c r="Y416" i="1" s="1"/>
  <c r="Y389" i="1"/>
  <c r="T465" i="1"/>
  <c r="T492" i="1" s="1"/>
  <c r="T498" i="1" s="1"/>
  <c r="X460" i="1"/>
  <c r="X465" i="1" s="1"/>
  <c r="X492" i="1" s="1"/>
  <c r="Y389" i="6"/>
  <c r="S416" i="6"/>
  <c r="Y416" i="6" s="1"/>
  <c r="F498" i="6"/>
  <c r="B503" i="6"/>
  <c r="B530" i="6" s="1"/>
  <c r="B536" i="6" s="1"/>
  <c r="U427" i="6"/>
  <c r="U454" i="6" s="1"/>
  <c r="U460" i="6" s="1"/>
  <c r="X422" i="6"/>
  <c r="X427" i="6" s="1"/>
  <c r="X454" i="6" s="1"/>
  <c r="S427" i="6"/>
  <c r="Y422" i="6"/>
  <c r="F465" i="6"/>
  <c r="L460" i="6"/>
  <c r="L422" i="6"/>
  <c r="G465" i="6"/>
  <c r="G492" i="6" s="1"/>
  <c r="G498" i="6" s="1"/>
  <c r="K460" i="6"/>
  <c r="K465" i="6" s="1"/>
  <c r="K492" i="6" s="1"/>
  <c r="L427" i="6"/>
  <c r="F454" i="6"/>
  <c r="L454" i="6" s="1"/>
  <c r="S460" i="6"/>
  <c r="O465" i="6"/>
  <c r="O492" i="6" s="1"/>
  <c r="T541" i="6"/>
  <c r="T568" i="6" s="1"/>
  <c r="T574" i="6" s="1"/>
  <c r="F454" i="1" l="1"/>
  <c r="K422" i="1"/>
  <c r="G427" i="1"/>
  <c r="G454" i="1" s="1"/>
  <c r="G460" i="1" s="1"/>
  <c r="S498" i="1"/>
  <c r="O503" i="1"/>
  <c r="O530" i="1" s="1"/>
  <c r="B503" i="1"/>
  <c r="B530" i="1" s="1"/>
  <c r="B536" i="1" s="1"/>
  <c r="F498" i="1"/>
  <c r="K378" i="1"/>
  <c r="L378" i="1" s="1"/>
  <c r="L351" i="1"/>
  <c r="Y427" i="1"/>
  <c r="S454" i="1"/>
  <c r="Y454" i="1" s="1"/>
  <c r="X498" i="1"/>
  <c r="X503" i="1" s="1"/>
  <c r="X530" i="1" s="1"/>
  <c r="T503" i="1"/>
  <c r="T530" i="1" s="1"/>
  <c r="K389" i="1"/>
  <c r="L384" i="1"/>
  <c r="Y460" i="1"/>
  <c r="S465" i="1"/>
  <c r="F465" i="1"/>
  <c r="K498" i="6"/>
  <c r="K503" i="6" s="1"/>
  <c r="K530" i="6" s="1"/>
  <c r="G503" i="6"/>
  <c r="G530" i="6" s="1"/>
  <c r="G536" i="6" s="1"/>
  <c r="Y427" i="6"/>
  <c r="S454" i="6"/>
  <c r="Y454" i="6" s="1"/>
  <c r="L498" i="6"/>
  <c r="F503" i="6"/>
  <c r="T579" i="6"/>
  <c r="T606" i="6" s="1"/>
  <c r="S465" i="6"/>
  <c r="F536" i="6"/>
  <c r="B541" i="6"/>
  <c r="B568" i="6" s="1"/>
  <c r="B574" i="6" s="1"/>
  <c r="O498" i="6"/>
  <c r="L465" i="6"/>
  <c r="F492" i="6"/>
  <c r="L492" i="6" s="1"/>
  <c r="U465" i="6"/>
  <c r="U492" i="6" s="1"/>
  <c r="X460" i="6"/>
  <c r="X465" i="6" s="1"/>
  <c r="X492" i="6" s="1"/>
  <c r="Y465" i="1" l="1"/>
  <c r="S492" i="1"/>
  <c r="Y492" i="1" s="1"/>
  <c r="T536" i="1"/>
  <c r="T531" i="1"/>
  <c r="F503" i="1"/>
  <c r="O536" i="1"/>
  <c r="K460" i="1"/>
  <c r="G465" i="1"/>
  <c r="G492" i="1" s="1"/>
  <c r="G498" i="1" s="1"/>
  <c r="F492" i="1"/>
  <c r="K416" i="1"/>
  <c r="L416" i="1" s="1"/>
  <c r="L389" i="1"/>
  <c r="U531" i="1"/>
  <c r="V531" i="1"/>
  <c r="W531" i="1"/>
  <c r="X531" i="1"/>
  <c r="B541" i="1"/>
  <c r="B568" i="1" s="1"/>
  <c r="B574" i="1" s="1"/>
  <c r="F536" i="1"/>
  <c r="Y498" i="1"/>
  <c r="S503" i="1"/>
  <c r="K427" i="1"/>
  <c r="L422" i="1"/>
  <c r="F541" i="6"/>
  <c r="T612" i="6"/>
  <c r="S498" i="6"/>
  <c r="O503" i="6"/>
  <c r="O530" i="6" s="1"/>
  <c r="O536" i="6" s="1"/>
  <c r="Y460" i="6"/>
  <c r="L503" i="6"/>
  <c r="F530" i="6"/>
  <c r="L530" i="6" s="1"/>
  <c r="G541" i="6"/>
  <c r="G568" i="6" s="1"/>
  <c r="G574" i="6" s="1"/>
  <c r="K536" i="6"/>
  <c r="K541" i="6" s="1"/>
  <c r="K568" i="6" s="1"/>
  <c r="B579" i="6"/>
  <c r="B606" i="6" s="1"/>
  <c r="B612" i="6" s="1"/>
  <c r="F574" i="6"/>
  <c r="X493" i="6"/>
  <c r="V493" i="6"/>
  <c r="W493" i="6"/>
  <c r="T493" i="6"/>
  <c r="U498" i="6"/>
  <c r="U493" i="6"/>
  <c r="Y465" i="6"/>
  <c r="S492" i="6"/>
  <c r="B579" i="1" l="1"/>
  <c r="B606" i="1" s="1"/>
  <c r="B612" i="1" s="1"/>
  <c r="F574" i="1"/>
  <c r="F579" i="1" s="1"/>
  <c r="F606" i="1" s="1"/>
  <c r="K454" i="1"/>
  <c r="L454" i="1" s="1"/>
  <c r="L427" i="1"/>
  <c r="G503" i="1"/>
  <c r="G530" i="1" s="1"/>
  <c r="G536" i="1" s="1"/>
  <c r="K498" i="1"/>
  <c r="F530" i="1"/>
  <c r="Y503" i="1"/>
  <c r="S530" i="1"/>
  <c r="F541" i="1"/>
  <c r="K465" i="1"/>
  <c r="L460" i="1"/>
  <c r="O541" i="1"/>
  <c r="O568" i="1" s="1"/>
  <c r="O574" i="1" s="1"/>
  <c r="S536" i="1"/>
  <c r="T541" i="1"/>
  <c r="T568" i="1" s="1"/>
  <c r="T574" i="1" s="1"/>
  <c r="X536" i="1"/>
  <c r="X541" i="1" s="1"/>
  <c r="X568" i="1" s="1"/>
  <c r="F612" i="6"/>
  <c r="B617" i="6"/>
  <c r="B644" i="6" s="1"/>
  <c r="B650" i="6" s="1"/>
  <c r="S536" i="6"/>
  <c r="O541" i="6"/>
  <c r="O568" i="6" s="1"/>
  <c r="O574" i="6" s="1"/>
  <c r="L536" i="6"/>
  <c r="T617" i="6"/>
  <c r="T644" i="6" s="1"/>
  <c r="T650" i="6" s="1"/>
  <c r="U503" i="6"/>
  <c r="U530" i="6" s="1"/>
  <c r="U536" i="6" s="1"/>
  <c r="X498" i="6"/>
  <c r="X503" i="6" s="1"/>
  <c r="X530" i="6" s="1"/>
  <c r="K574" i="6"/>
  <c r="K579" i="6" s="1"/>
  <c r="K606" i="6" s="1"/>
  <c r="G579" i="6"/>
  <c r="G606" i="6" s="1"/>
  <c r="G612" i="6" s="1"/>
  <c r="S493" i="6"/>
  <c r="Y492" i="6"/>
  <c r="P493" i="6"/>
  <c r="Q493" i="6"/>
  <c r="R493" i="6"/>
  <c r="O493" i="6"/>
  <c r="L574" i="6"/>
  <c r="F579" i="6"/>
  <c r="S503" i="6"/>
  <c r="L541" i="6"/>
  <c r="F568" i="6"/>
  <c r="L568" i="6" s="1"/>
  <c r="B617" i="1" l="1"/>
  <c r="B644" i="1" s="1"/>
  <c r="B650" i="1" s="1"/>
  <c r="F612" i="1"/>
  <c r="F617" i="1" s="1"/>
  <c r="F644" i="1" s="1"/>
  <c r="S574" i="1"/>
  <c r="O579" i="1"/>
  <c r="O606" i="1" s="1"/>
  <c r="O612" i="1" s="1"/>
  <c r="X574" i="1"/>
  <c r="X579" i="1" s="1"/>
  <c r="X606" i="1" s="1"/>
  <c r="T579" i="1"/>
  <c r="T606" i="1" s="1"/>
  <c r="B655" i="6"/>
  <c r="B682" i="6" s="1"/>
  <c r="B688" i="6" s="1"/>
  <c r="F650" i="6"/>
  <c r="T655" i="6"/>
  <c r="T682" i="6" s="1"/>
  <c r="T688" i="6" s="1"/>
  <c r="T569" i="1"/>
  <c r="U569" i="1"/>
  <c r="V569" i="1"/>
  <c r="W569" i="1"/>
  <c r="X569" i="1"/>
  <c r="K492" i="1"/>
  <c r="L492" i="1" s="1"/>
  <c r="L465" i="1"/>
  <c r="F568" i="1"/>
  <c r="G541" i="1"/>
  <c r="G568" i="1" s="1"/>
  <c r="G574" i="1" s="1"/>
  <c r="K536" i="1"/>
  <c r="S541" i="1"/>
  <c r="Y536" i="1"/>
  <c r="S531" i="1"/>
  <c r="Q531" i="1"/>
  <c r="R531" i="1"/>
  <c r="P531" i="1"/>
  <c r="Y530" i="1"/>
  <c r="O531" i="1"/>
  <c r="K503" i="1"/>
  <c r="L498" i="1"/>
  <c r="Y498" i="6"/>
  <c r="O579" i="6"/>
  <c r="O606" i="6" s="1"/>
  <c r="S574" i="6"/>
  <c r="F606" i="6"/>
  <c r="L606" i="6" s="1"/>
  <c r="L579" i="6"/>
  <c r="K612" i="6"/>
  <c r="K617" i="6" s="1"/>
  <c r="K644" i="6" s="1"/>
  <c r="G617" i="6"/>
  <c r="G644" i="6" s="1"/>
  <c r="G650" i="6" s="1"/>
  <c r="S541" i="6"/>
  <c r="U541" i="6"/>
  <c r="U568" i="6" s="1"/>
  <c r="U574" i="6" s="1"/>
  <c r="X536" i="6"/>
  <c r="X541" i="6" s="1"/>
  <c r="X568" i="6" s="1"/>
  <c r="Y503" i="6"/>
  <c r="S530" i="6"/>
  <c r="Y530" i="6" s="1"/>
  <c r="F617" i="6"/>
  <c r="B655" i="1" l="1"/>
  <c r="B682" i="1" s="1"/>
  <c r="B688" i="1" s="1"/>
  <c r="F650" i="1"/>
  <c r="F688" i="6"/>
  <c r="B693" i="6"/>
  <c r="B720" i="6" s="1"/>
  <c r="B726" i="6" s="1"/>
  <c r="T693" i="6"/>
  <c r="T720" i="6" s="1"/>
  <c r="T726" i="6" s="1"/>
  <c r="T612" i="1"/>
  <c r="S612" i="1"/>
  <c r="O617" i="1"/>
  <c r="O644" i="1" s="1"/>
  <c r="O650" i="1" s="1"/>
  <c r="K574" i="1"/>
  <c r="G579" i="1"/>
  <c r="G606" i="1" s="1"/>
  <c r="G612" i="1" s="1"/>
  <c r="Y574" i="1"/>
  <c r="S579" i="1"/>
  <c r="G655" i="6"/>
  <c r="G682" i="6" s="1"/>
  <c r="G688" i="6" s="1"/>
  <c r="K650" i="6"/>
  <c r="K655" i="6" s="1"/>
  <c r="K682" i="6" s="1"/>
  <c r="F655" i="6"/>
  <c r="L612" i="6"/>
  <c r="K530" i="1"/>
  <c r="L530" i="1" s="1"/>
  <c r="L503" i="1"/>
  <c r="K541" i="1"/>
  <c r="L536" i="1"/>
  <c r="Y541" i="1"/>
  <c r="S568" i="1"/>
  <c r="Y536" i="6"/>
  <c r="S568" i="6"/>
  <c r="Y568" i="6" s="1"/>
  <c r="Y541" i="6"/>
  <c r="F644" i="6"/>
  <c r="L644" i="6" s="1"/>
  <c r="L617" i="6"/>
  <c r="S579" i="6"/>
  <c r="U579" i="6"/>
  <c r="U606" i="6" s="1"/>
  <c r="X574" i="6"/>
  <c r="X579" i="6" s="1"/>
  <c r="X606" i="6" s="1"/>
  <c r="O612" i="6"/>
  <c r="F726" i="6" l="1"/>
  <c r="B731" i="6"/>
  <c r="B758" i="6" s="1"/>
  <c r="B764" i="6" s="1"/>
  <c r="B693" i="1"/>
  <c r="B720" i="1" s="1"/>
  <c r="B726" i="1" s="1"/>
  <c r="F688" i="1"/>
  <c r="T731" i="6"/>
  <c r="T758" i="6" s="1"/>
  <c r="T764" i="6" s="1"/>
  <c r="G693" i="6"/>
  <c r="G720" i="6" s="1"/>
  <c r="G726" i="6" s="1"/>
  <c r="K688" i="6"/>
  <c r="K693" i="6" s="1"/>
  <c r="K720" i="6" s="1"/>
  <c r="L650" i="6"/>
  <c r="F655" i="1"/>
  <c r="S650" i="1"/>
  <c r="O655" i="1"/>
  <c r="O682" i="1" s="1"/>
  <c r="O688" i="1" s="1"/>
  <c r="G617" i="1"/>
  <c r="G644" i="1" s="1"/>
  <c r="G650" i="1" s="1"/>
  <c r="K612" i="1"/>
  <c r="F693" i="6"/>
  <c r="S617" i="1"/>
  <c r="X612" i="1"/>
  <c r="X617" i="1" s="1"/>
  <c r="X644" i="1" s="1"/>
  <c r="T617" i="1"/>
  <c r="T644" i="1" s="1"/>
  <c r="T650" i="1" s="1"/>
  <c r="K579" i="1"/>
  <c r="L574" i="1"/>
  <c r="Y579" i="1"/>
  <c r="S606" i="1"/>
  <c r="F682" i="6"/>
  <c r="L682" i="6" s="1"/>
  <c r="L655" i="6"/>
  <c r="R569" i="1"/>
  <c r="S569" i="1"/>
  <c r="Q569" i="1"/>
  <c r="P569" i="1"/>
  <c r="Y568" i="1"/>
  <c r="O569" i="1"/>
  <c r="K568" i="1"/>
  <c r="L568" i="1" s="1"/>
  <c r="L541" i="1"/>
  <c r="Y579" i="6"/>
  <c r="S606" i="6"/>
  <c r="U612" i="6"/>
  <c r="S612" i="6"/>
  <c r="O617" i="6"/>
  <c r="O644" i="6" s="1"/>
  <c r="O650" i="6" s="1"/>
  <c r="Y574" i="6"/>
  <c r="B769" i="6" l="1"/>
  <c r="B796" i="6" s="1"/>
  <c r="B802" i="6" s="1"/>
  <c r="F764" i="6"/>
  <c r="F769" i="6" s="1"/>
  <c r="F796" i="6" s="1"/>
  <c r="B731" i="1"/>
  <c r="B758" i="1" s="1"/>
  <c r="B764" i="1" s="1"/>
  <c r="F726" i="1"/>
  <c r="T769" i="6"/>
  <c r="L688" i="6"/>
  <c r="G731" i="6"/>
  <c r="G758" i="6" s="1"/>
  <c r="G764" i="6" s="1"/>
  <c r="K726" i="6"/>
  <c r="K731" i="6" s="1"/>
  <c r="K758" i="6" s="1"/>
  <c r="F731" i="6"/>
  <c r="F693" i="1"/>
  <c r="S688" i="1"/>
  <c r="O693" i="1"/>
  <c r="O720" i="1" s="1"/>
  <c r="O726" i="1" s="1"/>
  <c r="G655" i="1"/>
  <c r="G682" i="1" s="1"/>
  <c r="G688" i="1" s="1"/>
  <c r="K650" i="1"/>
  <c r="F682" i="1"/>
  <c r="X650" i="1"/>
  <c r="X655" i="1" s="1"/>
  <c r="X682" i="1" s="1"/>
  <c r="T655" i="1"/>
  <c r="T682" i="1" s="1"/>
  <c r="T688" i="1" s="1"/>
  <c r="S655" i="1"/>
  <c r="K617" i="1"/>
  <c r="L612" i="1"/>
  <c r="L693" i="6"/>
  <c r="F720" i="6"/>
  <c r="L720" i="6" s="1"/>
  <c r="S644" i="1"/>
  <c r="Y644" i="1" s="1"/>
  <c r="Y617" i="1"/>
  <c r="Y612" i="1"/>
  <c r="K606" i="1"/>
  <c r="L606" i="1" s="1"/>
  <c r="L579" i="1"/>
  <c r="Y606" i="1"/>
  <c r="O655" i="6"/>
  <c r="O682" i="6" s="1"/>
  <c r="O688" i="6" s="1"/>
  <c r="S650" i="6"/>
  <c r="U617" i="6"/>
  <c r="U644" i="6" s="1"/>
  <c r="U650" i="6" s="1"/>
  <c r="X612" i="6"/>
  <c r="X617" i="6" s="1"/>
  <c r="X644" i="6" s="1"/>
  <c r="Y606" i="6"/>
  <c r="S617" i="6"/>
  <c r="B769" i="1" l="1"/>
  <c r="B796" i="1" s="1"/>
  <c r="B802" i="1" s="1"/>
  <c r="F764" i="1"/>
  <c r="O731" i="1"/>
  <c r="O758" i="1" s="1"/>
  <c r="S726" i="1"/>
  <c r="T796" i="6"/>
  <c r="T802" i="6" s="1"/>
  <c r="T807" i="6" s="1"/>
  <c r="T834" i="6" s="1"/>
  <c r="T840" i="6" s="1"/>
  <c r="B807" i="6"/>
  <c r="B834" i="6" s="1"/>
  <c r="B840" i="6" s="1"/>
  <c r="F802" i="6"/>
  <c r="F807" i="6" s="1"/>
  <c r="F834" i="6" s="1"/>
  <c r="F731" i="1"/>
  <c r="G769" i="6"/>
  <c r="G796" i="6" s="1"/>
  <c r="G802" i="6" s="1"/>
  <c r="K764" i="6"/>
  <c r="G693" i="1"/>
  <c r="G720" i="1" s="1"/>
  <c r="G726" i="1" s="1"/>
  <c r="K688" i="1"/>
  <c r="L726" i="6"/>
  <c r="F758" i="6"/>
  <c r="L758" i="6" s="1"/>
  <c r="L731" i="6"/>
  <c r="F720" i="1"/>
  <c r="X688" i="1"/>
  <c r="X693" i="1" s="1"/>
  <c r="X720" i="1" s="1"/>
  <c r="T693" i="1"/>
  <c r="T720" i="1" s="1"/>
  <c r="T726" i="1" s="1"/>
  <c r="S693" i="1"/>
  <c r="K655" i="1"/>
  <c r="L650" i="1"/>
  <c r="Y650" i="1"/>
  <c r="Y655" i="1"/>
  <c r="S682" i="1"/>
  <c r="K644" i="1"/>
  <c r="L644" i="1" s="1"/>
  <c r="L617" i="1"/>
  <c r="S688" i="6"/>
  <c r="O693" i="6"/>
  <c r="O720" i="6" s="1"/>
  <c r="O726" i="6" s="1"/>
  <c r="U655" i="6"/>
  <c r="U682" i="6" s="1"/>
  <c r="U688" i="6" s="1"/>
  <c r="X650" i="6"/>
  <c r="X655" i="6" s="1"/>
  <c r="X682" i="6" s="1"/>
  <c r="S655" i="6"/>
  <c r="U645" i="6"/>
  <c r="V645" i="6"/>
  <c r="X645" i="6"/>
  <c r="W645" i="6"/>
  <c r="T645" i="6"/>
  <c r="Y612" i="6"/>
  <c r="Y617" i="6"/>
  <c r="S644" i="6"/>
  <c r="B807" i="1" l="1"/>
  <c r="B834" i="1" s="1"/>
  <c r="F802" i="1"/>
  <c r="F769" i="1"/>
  <c r="O764" i="1"/>
  <c r="T731" i="1"/>
  <c r="T758" i="1" s="1"/>
  <c r="X726" i="1"/>
  <c r="X731" i="1" s="1"/>
  <c r="X758" i="1" s="1"/>
  <c r="S731" i="1"/>
  <c r="F840" i="6"/>
  <c r="B845" i="6"/>
  <c r="B872" i="6" s="1"/>
  <c r="B878" i="6" s="1"/>
  <c r="T845" i="6"/>
  <c r="T872" i="6" s="1"/>
  <c r="T878" i="6" s="1"/>
  <c r="G731" i="1"/>
  <c r="G758" i="1" s="1"/>
  <c r="G764" i="1" s="1"/>
  <c r="K726" i="1"/>
  <c r="F758" i="1"/>
  <c r="G807" i="6"/>
  <c r="G834" i="6" s="1"/>
  <c r="G840" i="6" s="1"/>
  <c r="K802" i="6"/>
  <c r="K769" i="6"/>
  <c r="L764" i="6"/>
  <c r="T721" i="1"/>
  <c r="X721" i="1"/>
  <c r="U721" i="1"/>
  <c r="W721" i="1"/>
  <c r="V721" i="1"/>
  <c r="K693" i="1"/>
  <c r="L688" i="1"/>
  <c r="Y688" i="1"/>
  <c r="S726" i="6"/>
  <c r="O731" i="6"/>
  <c r="O758" i="6" s="1"/>
  <c r="O764" i="6" s="1"/>
  <c r="Y693" i="1"/>
  <c r="S720" i="1"/>
  <c r="K682" i="1"/>
  <c r="L682" i="1" s="1"/>
  <c r="L655" i="1"/>
  <c r="Y682" i="1"/>
  <c r="U693" i="6"/>
  <c r="U720" i="6" s="1"/>
  <c r="U726" i="6" s="1"/>
  <c r="X688" i="6"/>
  <c r="X693" i="6" s="1"/>
  <c r="X720" i="6" s="1"/>
  <c r="S693" i="6"/>
  <c r="Y650" i="6"/>
  <c r="Y655" i="6"/>
  <c r="S682" i="6"/>
  <c r="Y682" i="6" s="1"/>
  <c r="Y644" i="6"/>
  <c r="S645" i="6"/>
  <c r="P645" i="6"/>
  <c r="R645" i="6"/>
  <c r="Q645" i="6"/>
  <c r="O645" i="6"/>
  <c r="B883" i="6" l="1"/>
  <c r="B910" i="6" s="1"/>
  <c r="B916" i="6" s="1"/>
  <c r="F878" i="6"/>
  <c r="F883" i="6" s="1"/>
  <c r="F910" i="6" s="1"/>
  <c r="G769" i="1"/>
  <c r="G796" i="1" s="1"/>
  <c r="G802" i="1" s="1"/>
  <c r="K764" i="1"/>
  <c r="F807" i="1"/>
  <c r="F796" i="1"/>
  <c r="S758" i="1"/>
  <c r="Y731" i="1"/>
  <c r="T764" i="1"/>
  <c r="Y726" i="1"/>
  <c r="O769" i="1"/>
  <c r="O796" i="1" s="1"/>
  <c r="O802" i="1" s="1"/>
  <c r="S764" i="1"/>
  <c r="T883" i="6"/>
  <c r="T910" i="6" s="1"/>
  <c r="T916" i="6" s="1"/>
  <c r="G845" i="6"/>
  <c r="G872" i="6" s="1"/>
  <c r="G878" i="6" s="1"/>
  <c r="K840" i="6"/>
  <c r="K845" i="6" s="1"/>
  <c r="K872" i="6" s="1"/>
  <c r="F845" i="6"/>
  <c r="K731" i="1"/>
  <c r="L726" i="1"/>
  <c r="K807" i="6"/>
  <c r="L802" i="6"/>
  <c r="K796" i="6"/>
  <c r="L796" i="6" s="1"/>
  <c r="L769" i="6"/>
  <c r="S764" i="6"/>
  <c r="O769" i="6"/>
  <c r="Y720" i="1"/>
  <c r="S721" i="1"/>
  <c r="P721" i="1"/>
  <c r="Q721" i="1"/>
  <c r="R721" i="1"/>
  <c r="O721" i="1"/>
  <c r="K720" i="1"/>
  <c r="L720" i="1" s="1"/>
  <c r="L693" i="1"/>
  <c r="U731" i="6"/>
  <c r="U758" i="6" s="1"/>
  <c r="U764" i="6" s="1"/>
  <c r="X726" i="6"/>
  <c r="X731" i="6" s="1"/>
  <c r="X758" i="6" s="1"/>
  <c r="S731" i="6"/>
  <c r="Y688" i="6"/>
  <c r="Y693" i="6"/>
  <c r="S720" i="6"/>
  <c r="B921" i="6" l="1"/>
  <c r="B948" i="6" s="1"/>
  <c r="F916" i="6"/>
  <c r="F921" i="6" s="1"/>
  <c r="F948" i="6" s="1"/>
  <c r="K769" i="1"/>
  <c r="L764" i="1"/>
  <c r="G807" i="1"/>
  <c r="G834" i="1" s="1"/>
  <c r="K802" i="1"/>
  <c r="G883" i="6"/>
  <c r="G910" i="6" s="1"/>
  <c r="G916" i="6" s="1"/>
  <c r="K878" i="6"/>
  <c r="F834" i="1"/>
  <c r="S802" i="1"/>
  <c r="O807" i="1"/>
  <c r="O834" i="1" s="1"/>
  <c r="T769" i="1"/>
  <c r="T796" i="1" s="1"/>
  <c r="X764" i="1"/>
  <c r="X769" i="1" s="1"/>
  <c r="X796" i="1" s="1"/>
  <c r="S769" i="1"/>
  <c r="Y758" i="1"/>
  <c r="T921" i="6"/>
  <c r="T948" i="6" s="1"/>
  <c r="L840" i="6"/>
  <c r="O796" i="6"/>
  <c r="O802" i="6" s="1"/>
  <c r="F872" i="6"/>
  <c r="L872" i="6" s="1"/>
  <c r="L845" i="6"/>
  <c r="K758" i="1"/>
  <c r="L758" i="1" s="1"/>
  <c r="L731" i="1"/>
  <c r="K834" i="6"/>
  <c r="L834" i="6" s="1"/>
  <c r="L807" i="6"/>
  <c r="U769" i="6"/>
  <c r="X764" i="6"/>
  <c r="X769" i="6" s="1"/>
  <c r="X796" i="6" s="1"/>
  <c r="S769" i="6"/>
  <c r="S796" i="6" s="1"/>
  <c r="Y726" i="6"/>
  <c r="Y731" i="6"/>
  <c r="S758" i="6"/>
  <c r="Y720" i="6"/>
  <c r="K807" i="1" l="1"/>
  <c r="L802" i="1"/>
  <c r="K796" i="1"/>
  <c r="L796" i="1" s="1"/>
  <c r="L769" i="1"/>
  <c r="G921" i="6"/>
  <c r="G948" i="6" s="1"/>
  <c r="K916" i="6"/>
  <c r="K883" i="6"/>
  <c r="L878" i="6"/>
  <c r="T802" i="1"/>
  <c r="S807" i="1"/>
  <c r="Y764" i="1"/>
  <c r="S796" i="1"/>
  <c r="Y769" i="1"/>
  <c r="Y796" i="6"/>
  <c r="U796" i="6"/>
  <c r="U802" i="6" s="1"/>
  <c r="S802" i="6"/>
  <c r="S807" i="6" s="1"/>
  <c r="O807" i="6"/>
  <c r="O834" i="6" s="1"/>
  <c r="O840" i="6" s="1"/>
  <c r="S840" i="6" s="1"/>
  <c r="Y764" i="6"/>
  <c r="Y769" i="6"/>
  <c r="Y758" i="6"/>
  <c r="S759" i="6"/>
  <c r="R759" i="6"/>
  <c r="P759" i="6"/>
  <c r="Q759" i="6"/>
  <c r="O759" i="6"/>
  <c r="K834" i="1" l="1"/>
  <c r="L834" i="1" s="1"/>
  <c r="L807" i="1"/>
  <c r="K921" i="6"/>
  <c r="L916" i="6"/>
  <c r="K910" i="6"/>
  <c r="L910" i="6" s="1"/>
  <c r="L883" i="6"/>
  <c r="S834" i="1"/>
  <c r="T807" i="1"/>
  <c r="T834" i="1" s="1"/>
  <c r="X802" i="1"/>
  <c r="Y796" i="1"/>
  <c r="X802" i="6"/>
  <c r="X807" i="6" s="1"/>
  <c r="X834" i="6" s="1"/>
  <c r="U807" i="6"/>
  <c r="U834" i="6" s="1"/>
  <c r="U840" i="6" s="1"/>
  <c r="U845" i="6" s="1"/>
  <c r="U872" i="6" s="1"/>
  <c r="U878" i="6" s="1"/>
  <c r="O845" i="6"/>
  <c r="O872" i="6" s="1"/>
  <c r="O878" i="6" s="1"/>
  <c r="S845" i="6"/>
  <c r="S834" i="6"/>
  <c r="P797" i="6"/>
  <c r="Q797" i="6"/>
  <c r="R797" i="6"/>
  <c r="S797" i="6"/>
  <c r="O797" i="6"/>
  <c r="K948" i="6" l="1"/>
  <c r="L948" i="6" s="1"/>
  <c r="L921" i="6"/>
  <c r="X807" i="1"/>
  <c r="Y802" i="1"/>
  <c r="Y802" i="6"/>
  <c r="Y807" i="6"/>
  <c r="S878" i="6"/>
  <c r="O883" i="6"/>
  <c r="O910" i="6" s="1"/>
  <c r="O916" i="6" s="1"/>
  <c r="U883" i="6"/>
  <c r="U910" i="6" s="1"/>
  <c r="U916" i="6" s="1"/>
  <c r="X878" i="6"/>
  <c r="X883" i="6" s="1"/>
  <c r="X910" i="6" s="1"/>
  <c r="X840" i="6"/>
  <c r="X845" i="6" s="1"/>
  <c r="X872" i="6" s="1"/>
  <c r="S872" i="6"/>
  <c r="Y834" i="6"/>
  <c r="P835" i="6"/>
  <c r="Q835" i="6"/>
  <c r="R835" i="6"/>
  <c r="S835" i="6"/>
  <c r="O835" i="6"/>
  <c r="X834" i="1" l="1"/>
  <c r="Y807" i="1"/>
  <c r="U921" i="6"/>
  <c r="U948" i="6" s="1"/>
  <c r="X916" i="6"/>
  <c r="X921" i="6" s="1"/>
  <c r="X948" i="6" s="1"/>
  <c r="S916" i="6"/>
  <c r="O921" i="6"/>
  <c r="O948" i="6" s="1"/>
  <c r="Y878" i="6"/>
  <c r="S883" i="6"/>
  <c r="Y872" i="6"/>
  <c r="Y840" i="6"/>
  <c r="Y845" i="6"/>
  <c r="Y834" i="1" l="1"/>
  <c r="Y916" i="6"/>
  <c r="S921" i="6"/>
  <c r="Y883" i="6"/>
  <c r="S910" i="6"/>
  <c r="Y910" i="6" s="1"/>
  <c r="Y921" i="6" l="1"/>
  <c r="S948" i="6"/>
  <c r="Y948" i="6" s="1"/>
</calcChain>
</file>

<file path=xl/sharedStrings.xml><?xml version="1.0" encoding="utf-8"?>
<sst xmlns="http://schemas.openxmlformats.org/spreadsheetml/2006/main" count="4266" uniqueCount="1256">
  <si>
    <t>カラー</t>
  </si>
  <si>
    <t>サイズ</t>
  </si>
  <si>
    <t>計</t>
    <rPh sb="0" eb="1">
      <t>ケイ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</si>
  <si>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</si>
  <si>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</si>
  <si>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</si>
  <si>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</si>
  <si>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</si>
  <si>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</si>
  <si>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</si>
  <si>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在庫</t>
    <rPh sb="0" eb="2">
      <t>ザイコ</t>
    </rPh>
    <phoneticPr fontId="2"/>
  </si>
  <si>
    <t>追加１</t>
    <rPh sb="0" eb="2">
      <t>ツイカ</t>
    </rPh>
    <phoneticPr fontId="2"/>
  </si>
  <si>
    <t>初回</t>
    <rPh sb="0" eb="2">
      <t>ショカイ</t>
    </rPh>
    <phoneticPr fontId="2"/>
  </si>
  <si>
    <t>.@1820</t>
    <phoneticPr fontId="5"/>
  </si>
  <si>
    <t>花柄袖なし（ブルー）</t>
    <rPh sb="0" eb="2">
      <t>ハナガラ</t>
    </rPh>
    <rPh sb="2" eb="3">
      <t>ソデ</t>
    </rPh>
    <phoneticPr fontId="5"/>
  </si>
  <si>
    <t xml:space="preserve">初回  </t>
    <rPh sb="0" eb="2">
      <t>ショカイ</t>
    </rPh>
    <phoneticPr fontId="2"/>
  </si>
  <si>
    <t>フィットネス水着　帽子付き　YC25001 夢販在庫</t>
    <rPh sb="6" eb="8">
      <t>ミズギ</t>
    </rPh>
    <rPh sb="9" eb="11">
      <t>ボウシ</t>
    </rPh>
    <rPh sb="11" eb="12">
      <t>ツ</t>
    </rPh>
    <rPh sb="22" eb="23">
      <t>ユメ</t>
    </rPh>
    <rPh sb="23" eb="24">
      <t>ハン</t>
    </rPh>
    <rPh sb="24" eb="26">
      <t>ザイコ</t>
    </rPh>
    <phoneticPr fontId="2"/>
  </si>
  <si>
    <t>フィットネス水着　帽子付き　YC25001  K-PORT在庫</t>
    <rPh sb="6" eb="8">
      <t>ミズギ</t>
    </rPh>
    <rPh sb="9" eb="11">
      <t>ボウシ</t>
    </rPh>
    <rPh sb="11" eb="12">
      <t>ツザイコ</t>
    </rPh>
    <phoneticPr fontId="2"/>
  </si>
  <si>
    <t>フィットネス水着　帽子付き YC25002　夢販在庫</t>
    <rPh sb="6" eb="8">
      <t>ミズギ</t>
    </rPh>
    <rPh sb="9" eb="11">
      <t>ボウシ</t>
    </rPh>
    <rPh sb="11" eb="12">
      <t>ツ</t>
    </rPh>
    <rPh sb="22" eb="23">
      <t>ユメ</t>
    </rPh>
    <rPh sb="23" eb="24">
      <t>ハン</t>
    </rPh>
    <rPh sb="24" eb="26">
      <t>ザイコ</t>
    </rPh>
    <phoneticPr fontId="2"/>
  </si>
  <si>
    <t>フィットネス水着　帽子付き YC25002　K-PORT在庫</t>
    <rPh sb="6" eb="8">
      <t>ミズギ</t>
    </rPh>
    <rPh sb="9" eb="11">
      <t>ボウシ</t>
    </rPh>
    <rPh sb="11" eb="12">
      <t>ツザイコ</t>
    </rPh>
    <phoneticPr fontId="2"/>
  </si>
  <si>
    <t>ロイヤルステージ1月号</t>
    <rPh sb="9" eb="10">
      <t>ガツ</t>
    </rPh>
    <rPh sb="10" eb="11">
      <t>ゴウ</t>
    </rPh>
    <phoneticPr fontId="5"/>
  </si>
  <si>
    <t>1/16～</t>
    <phoneticPr fontId="11"/>
  </si>
  <si>
    <t>M</t>
    <phoneticPr fontId="5"/>
  </si>
  <si>
    <t>L</t>
    <phoneticPr fontId="5"/>
  </si>
  <si>
    <t>LL</t>
    <phoneticPr fontId="5"/>
  </si>
  <si>
    <t>3L</t>
    <phoneticPr fontId="5"/>
  </si>
  <si>
    <t>JODメルシー1126</t>
    <phoneticPr fontId="11"/>
  </si>
  <si>
    <t>11/26～</t>
    <phoneticPr fontId="11"/>
  </si>
  <si>
    <t>ＩＥＩ使ってヨカッタ1月号</t>
    <rPh sb="3" eb="4">
      <t>ツカ</t>
    </rPh>
    <rPh sb="11" eb="13">
      <t>ガツゴウ</t>
    </rPh>
    <phoneticPr fontId="5"/>
  </si>
  <si>
    <t>1/6～</t>
    <phoneticPr fontId="11"/>
  </si>
  <si>
    <t>合計</t>
    <rPh sb="0" eb="2">
      <t>ゴウケイ</t>
    </rPh>
    <phoneticPr fontId="5"/>
  </si>
  <si>
    <t>ペイズリー袖なし(ブルー)</t>
    <rPh sb="5" eb="6">
      <t>ソデ</t>
    </rPh>
    <phoneticPr fontId="5"/>
  </si>
  <si>
    <t>ペイズリー袖付き(パープル)</t>
    <rPh sb="5" eb="6">
      <t>ソデ</t>
    </rPh>
    <rPh sb="6" eb="7">
      <t>ツ</t>
    </rPh>
    <phoneticPr fontId="5"/>
  </si>
  <si>
    <t>追加１　2-1</t>
    <rPh sb="0" eb="2">
      <t>ツイカ</t>
    </rPh>
    <phoneticPr fontId="2"/>
  </si>
  <si>
    <t>追加３　2-2</t>
    <phoneticPr fontId="2"/>
  </si>
  <si>
    <t>追加３　2-2</t>
    <rPh sb="0" eb="2">
      <t>ツイカ</t>
    </rPh>
    <phoneticPr fontId="2"/>
  </si>
  <si>
    <t>日生協カタログすこやかびと冊子夏号</t>
    <rPh sb="0" eb="3">
      <t>ニッセイキョウ</t>
    </rPh>
    <rPh sb="13" eb="15">
      <t>サッシ</t>
    </rPh>
    <rPh sb="15" eb="17">
      <t>ナツゴウ</t>
    </rPh>
    <phoneticPr fontId="11"/>
  </si>
  <si>
    <t>2024/11/7数伝</t>
    <rPh sb="9" eb="11">
      <t>スウデン</t>
    </rPh>
    <phoneticPr fontId="5"/>
  </si>
  <si>
    <t>2024/11/7数伝</t>
    <rPh sb="9" eb="11">
      <t>スウデン</t>
    </rPh>
    <phoneticPr fontId="11"/>
  </si>
  <si>
    <t>夢販</t>
    <rPh sb="0" eb="2">
      <t>ユメハン</t>
    </rPh>
    <phoneticPr fontId="11"/>
  </si>
  <si>
    <t>夢販</t>
    <rPh sb="0" eb="2">
      <t>ユメハン</t>
    </rPh>
    <phoneticPr fontId="5"/>
  </si>
  <si>
    <t>サクラマチsample(九州)</t>
    <rPh sb="12" eb="14">
      <t>キュウシュウ</t>
    </rPh>
    <phoneticPr fontId="5"/>
  </si>
  <si>
    <t>くらしsample(日生協)</t>
    <rPh sb="10" eb="13">
      <t>ニッセイキョウ</t>
    </rPh>
    <phoneticPr fontId="5"/>
  </si>
  <si>
    <t>サクラマチsample(九州)</t>
    <rPh sb="12" eb="14">
      <t>キュウシュウ</t>
    </rPh>
    <phoneticPr fontId="11"/>
  </si>
  <si>
    <t>くらしsample(日生協)</t>
    <rPh sb="10" eb="13">
      <t>ニッセイキョウ</t>
    </rPh>
    <phoneticPr fontId="11"/>
  </si>
  <si>
    <t>ネット</t>
    <phoneticPr fontId="5"/>
  </si>
  <si>
    <t>くらしsample(きんき)</t>
    <phoneticPr fontId="5"/>
  </si>
  <si>
    <t>過入荷分</t>
    <rPh sb="0" eb="4">
      <t>カニュウカブン</t>
    </rPh>
    <phoneticPr fontId="2"/>
  </si>
  <si>
    <t>JOD①</t>
    <phoneticPr fontId="11"/>
  </si>
  <si>
    <t>JOD②</t>
    <phoneticPr fontId="11"/>
  </si>
  <si>
    <t>JOD③</t>
    <phoneticPr fontId="11"/>
  </si>
  <si>
    <t>ネット</t>
    <phoneticPr fontId="11"/>
  </si>
  <si>
    <t>JOD④</t>
    <phoneticPr fontId="11"/>
  </si>
  <si>
    <t>JOD⑤</t>
    <phoneticPr fontId="11"/>
  </si>
  <si>
    <t>JOD⑥</t>
    <phoneticPr fontId="11"/>
  </si>
  <si>
    <t>JOD⑦</t>
    <phoneticPr fontId="11"/>
  </si>
  <si>
    <t>JOD⑧</t>
    <phoneticPr fontId="11"/>
  </si>
  <si>
    <t>JOD⑨</t>
    <phoneticPr fontId="11"/>
  </si>
  <si>
    <t>JOD⑩</t>
    <phoneticPr fontId="11"/>
  </si>
  <si>
    <t>JOD⑪</t>
    <phoneticPr fontId="11"/>
  </si>
  <si>
    <t>ＩＥＩ使ってヨカッタ1月号①</t>
    <rPh sb="3" eb="4">
      <t>ツカ</t>
    </rPh>
    <rPh sb="11" eb="13">
      <t>ガツゴウ</t>
    </rPh>
    <phoneticPr fontId="5"/>
  </si>
  <si>
    <t>JOD⑫</t>
    <phoneticPr fontId="11"/>
  </si>
  <si>
    <t>1/14～</t>
    <phoneticPr fontId="11"/>
  </si>
  <si>
    <t>JOD新聞折込9054テスト</t>
    <rPh sb="3" eb="5">
      <t>シンブン</t>
    </rPh>
    <rPh sb="5" eb="7">
      <t>オリコミ</t>
    </rPh>
    <phoneticPr fontId="11"/>
  </si>
  <si>
    <t>JOD⑬</t>
    <phoneticPr fontId="11"/>
  </si>
  <si>
    <t>JOD⑭</t>
    <phoneticPr fontId="11"/>
  </si>
  <si>
    <t>JOD返品</t>
    <rPh sb="3" eb="5">
      <t>ヘンピン</t>
    </rPh>
    <phoneticPr fontId="2"/>
  </si>
  <si>
    <t>コープ九州3月3週</t>
    <rPh sb="3" eb="5">
      <t>キュウシュウ</t>
    </rPh>
    <rPh sb="6" eb="7">
      <t>ガツ</t>
    </rPh>
    <rPh sb="8" eb="9">
      <t>シュウ</t>
    </rPh>
    <phoneticPr fontId="11"/>
  </si>
  <si>
    <t>3/5～19</t>
    <phoneticPr fontId="11"/>
  </si>
  <si>
    <t>コープ九州3月3週</t>
    <rPh sb="3" eb="5">
      <t>キュウシュウ</t>
    </rPh>
    <rPh sb="6" eb="7">
      <t>ガツ</t>
    </rPh>
    <rPh sb="8" eb="9">
      <t>シュウ</t>
    </rPh>
    <phoneticPr fontId="5"/>
  </si>
  <si>
    <t>3/5～19</t>
    <phoneticPr fontId="5"/>
  </si>
  <si>
    <t>追加２ 2-1</t>
    <rPh sb="0" eb="2">
      <t>ツイカ</t>
    </rPh>
    <phoneticPr fontId="2"/>
  </si>
  <si>
    <t>追加２ 2-2</t>
    <rPh sb="0" eb="2">
      <t>ツイカ</t>
    </rPh>
    <phoneticPr fontId="2"/>
  </si>
  <si>
    <t>3/31～9/20※展開開始3週間前に計画数の30％納品</t>
    <rPh sb="10" eb="12">
      <t>テンカイ</t>
    </rPh>
    <rPh sb="12" eb="14">
      <t>カイシ</t>
    </rPh>
    <rPh sb="15" eb="18">
      <t>シュウカンマエ</t>
    </rPh>
    <rPh sb="19" eb="22">
      <t>ケイカクスウ</t>
    </rPh>
    <rPh sb="26" eb="28">
      <t>ノウヒン</t>
    </rPh>
    <phoneticPr fontId="11"/>
  </si>
  <si>
    <t>3/31～9/20※展開開始3週間前に計画数の30％納品</t>
    <phoneticPr fontId="11"/>
  </si>
  <si>
    <t>1/29～</t>
    <phoneticPr fontId="11"/>
  </si>
  <si>
    <t>JODアクセス7007</t>
    <phoneticPr fontId="11"/>
  </si>
  <si>
    <t>JOD特別版0213</t>
    <rPh sb="3" eb="6">
      <t>トクベツバン</t>
    </rPh>
    <phoneticPr fontId="11"/>
  </si>
  <si>
    <t>2/12～</t>
    <phoneticPr fontId="11"/>
  </si>
  <si>
    <t>2/19～</t>
    <phoneticPr fontId="11"/>
  </si>
  <si>
    <t>JOD特別号(裏)9943</t>
    <rPh sb="3" eb="6">
      <t>トクベツゴウ</t>
    </rPh>
    <rPh sb="7" eb="8">
      <t>ウラ</t>
    </rPh>
    <phoneticPr fontId="11"/>
  </si>
  <si>
    <t>日生協カタログすこやかびと冊子夏号①</t>
    <rPh sb="0" eb="3">
      <t>ニッセイキョウ</t>
    </rPh>
    <rPh sb="13" eb="15">
      <t>サッシ</t>
    </rPh>
    <rPh sb="15" eb="17">
      <t>ナツゴウ</t>
    </rPh>
    <phoneticPr fontId="11"/>
  </si>
  <si>
    <t>日生協カタロすこやかびと冊子夏号①</t>
    <rPh sb="0" eb="3">
      <t>ニッセイキョウ</t>
    </rPh>
    <rPh sb="12" eb="14">
      <t>サッシ</t>
    </rPh>
    <rPh sb="14" eb="16">
      <t>ナツゴウ</t>
    </rPh>
    <phoneticPr fontId="5"/>
  </si>
  <si>
    <t>2024/1/7数伝</t>
    <rPh sb="8" eb="9">
      <t>スウ</t>
    </rPh>
    <rPh sb="9" eb="10">
      <t>デン</t>
    </rPh>
    <phoneticPr fontId="5"/>
  </si>
  <si>
    <t>2024/1/7数伝</t>
    <rPh sb="8" eb="9">
      <t>スウ</t>
    </rPh>
    <rPh sb="9" eb="10">
      <t>デン</t>
    </rPh>
    <phoneticPr fontId="11"/>
  </si>
  <si>
    <t>ＩＥＩ使ってヨカッタ1月号②</t>
    <rPh sb="3" eb="4">
      <t>ツカ</t>
    </rPh>
    <rPh sb="11" eb="13">
      <t>ガツゴウ</t>
    </rPh>
    <phoneticPr fontId="5"/>
  </si>
  <si>
    <t>JOD⑮</t>
    <phoneticPr fontId="11"/>
  </si>
  <si>
    <t>JOD新聞折込9054テスト①</t>
    <rPh sb="3" eb="5">
      <t>シンブン</t>
    </rPh>
    <rPh sb="5" eb="7">
      <t>オリコミ</t>
    </rPh>
    <phoneticPr fontId="11"/>
  </si>
  <si>
    <t>1/25ship</t>
    <phoneticPr fontId="11"/>
  </si>
  <si>
    <t>ＩＥＩ使ってヨカッタ2月号</t>
    <rPh sb="3" eb="4">
      <t>ツカ</t>
    </rPh>
    <rPh sb="11" eb="13">
      <t>ガツゴウ</t>
    </rPh>
    <phoneticPr fontId="5"/>
  </si>
  <si>
    <t>2/10～</t>
    <phoneticPr fontId="5"/>
  </si>
  <si>
    <t>はぴねすくらぶ4月号</t>
    <rPh sb="8" eb="10">
      <t>ガツゴウ</t>
    </rPh>
    <phoneticPr fontId="11"/>
  </si>
  <si>
    <t>ＩＥＩ使ってヨカッタ1月号③</t>
    <rPh sb="3" eb="4">
      <t>ツカ</t>
    </rPh>
    <rPh sb="11" eb="13">
      <t>ガツゴウ</t>
    </rPh>
    <phoneticPr fontId="5"/>
  </si>
  <si>
    <t>JOD新聞折込9054テスト②</t>
    <rPh sb="3" eb="5">
      <t>シンブン</t>
    </rPh>
    <rPh sb="5" eb="7">
      <t>オリコミ</t>
    </rPh>
    <phoneticPr fontId="11"/>
  </si>
  <si>
    <t>くらし事前検査用</t>
    <rPh sb="3" eb="7">
      <t>ジゼンケンサ</t>
    </rPh>
    <rPh sb="7" eb="8">
      <t>ヨウ</t>
    </rPh>
    <phoneticPr fontId="11"/>
  </si>
  <si>
    <t>くらし事前検査用</t>
    <rPh sb="3" eb="7">
      <t>ジゼンケンサ</t>
    </rPh>
    <rPh sb="7" eb="8">
      <t>ヨウ</t>
    </rPh>
    <phoneticPr fontId="5"/>
  </si>
  <si>
    <t>JOD⑯</t>
    <phoneticPr fontId="11"/>
  </si>
  <si>
    <t>JOD新聞折込9054テスト③</t>
    <rPh sb="3" eb="5">
      <t>シンブン</t>
    </rPh>
    <rPh sb="5" eb="7">
      <t>オリコミ</t>
    </rPh>
    <phoneticPr fontId="11"/>
  </si>
  <si>
    <t>コープきんき3月4回</t>
    <rPh sb="7" eb="8">
      <t>ガツ</t>
    </rPh>
    <rPh sb="9" eb="10">
      <t>カイ</t>
    </rPh>
    <phoneticPr fontId="5"/>
  </si>
  <si>
    <t>点2/28、アバウト3/18、本3/18～24</t>
    <rPh sb="0" eb="1">
      <t>テン</t>
    </rPh>
    <rPh sb="15" eb="16">
      <t>ホン</t>
    </rPh>
    <phoneticPr fontId="5"/>
  </si>
  <si>
    <t>コープきんき3月4回差分予測</t>
    <rPh sb="7" eb="8">
      <t>ガツ</t>
    </rPh>
    <rPh sb="9" eb="10">
      <t>カイ</t>
    </rPh>
    <rPh sb="10" eb="14">
      <t>サブンヨソク</t>
    </rPh>
    <phoneticPr fontId="5"/>
  </si>
  <si>
    <t>はぴねすくらぶ4月号</t>
    <rPh sb="8" eb="10">
      <t>ガツゴウ</t>
    </rPh>
    <phoneticPr fontId="5"/>
  </si>
  <si>
    <t>コープ九州3月3週　差分予測</t>
    <rPh sb="3" eb="5">
      <t>キュウシュウ</t>
    </rPh>
    <rPh sb="6" eb="7">
      <t>ガツ</t>
    </rPh>
    <rPh sb="8" eb="9">
      <t>シュウ</t>
    </rPh>
    <rPh sb="10" eb="14">
      <t>サブンヨソク</t>
    </rPh>
    <phoneticPr fontId="5"/>
  </si>
  <si>
    <t>JOD新聞折込9054テスト④</t>
    <rPh sb="3" eb="5">
      <t>シンブン</t>
    </rPh>
    <rPh sb="5" eb="7">
      <t>オリコミ</t>
    </rPh>
    <phoneticPr fontId="11"/>
  </si>
  <si>
    <t>JOD⑰</t>
    <phoneticPr fontId="11"/>
  </si>
  <si>
    <t>日生協カタログすこやかびと差分予測</t>
    <rPh sb="0" eb="3">
      <t>ニッセイキョウ</t>
    </rPh>
    <rPh sb="13" eb="17">
      <t>サブンヨソク</t>
    </rPh>
    <phoneticPr fontId="11"/>
  </si>
  <si>
    <t>ＩＥＩ使ってヨカッタ1月号④</t>
    <rPh sb="3" eb="4">
      <t>ツカ</t>
    </rPh>
    <rPh sb="11" eb="13">
      <t>ガツゴウ</t>
    </rPh>
    <phoneticPr fontId="5"/>
  </si>
  <si>
    <t>ロイヤルステージ1月号①</t>
    <rPh sb="9" eb="10">
      <t>ガツ</t>
    </rPh>
    <rPh sb="10" eb="11">
      <t>ゴウ</t>
    </rPh>
    <phoneticPr fontId="5"/>
  </si>
  <si>
    <t>ＩＥＩ使ってヨカッタ3月号</t>
    <rPh sb="3" eb="4">
      <t>ツカ</t>
    </rPh>
    <rPh sb="11" eb="13">
      <t>ガツゴウ</t>
    </rPh>
    <phoneticPr fontId="5"/>
  </si>
  <si>
    <t>3/10～</t>
    <phoneticPr fontId="5"/>
  </si>
  <si>
    <t>サクラマチsample</t>
    <phoneticPr fontId="11"/>
  </si>
  <si>
    <t>JOD⑱</t>
    <phoneticPr fontId="11"/>
  </si>
  <si>
    <t>JOD新聞折込9054テスト⑤</t>
    <rPh sb="3" eb="5">
      <t>シンブン</t>
    </rPh>
    <rPh sb="5" eb="7">
      <t>オリコミ</t>
    </rPh>
    <phoneticPr fontId="11"/>
  </si>
  <si>
    <t>JOD新聞折込9054テスト⑥</t>
    <rPh sb="3" eb="5">
      <t>シンブン</t>
    </rPh>
    <rPh sb="5" eb="7">
      <t>オリコミ</t>
    </rPh>
    <phoneticPr fontId="11"/>
  </si>
  <si>
    <t>JOD新聞折込9054テスト⑦</t>
    <rPh sb="3" eb="5">
      <t>シンブン</t>
    </rPh>
    <rPh sb="5" eb="7">
      <t>オリコミ</t>
    </rPh>
    <phoneticPr fontId="11"/>
  </si>
  <si>
    <t>4/7発刊</t>
    <rPh sb="3" eb="5">
      <t>ハッカン</t>
    </rPh>
    <phoneticPr fontId="11"/>
  </si>
  <si>
    <t>3/18～</t>
    <phoneticPr fontId="5"/>
  </si>
  <si>
    <t>JODメルシー0318</t>
    <phoneticPr fontId="5"/>
  </si>
  <si>
    <t>IEI返品</t>
    <rPh sb="3" eb="5">
      <t>ヘンピン</t>
    </rPh>
    <phoneticPr fontId="2"/>
  </si>
  <si>
    <t>追加</t>
    <rPh sb="0" eb="2">
      <t>ツイカ</t>
    </rPh>
    <phoneticPr fontId="11"/>
  </si>
  <si>
    <t>花柄袖付き（ピンク）</t>
    <rPh sb="0" eb="2">
      <t>ハナガラ</t>
    </rPh>
    <rPh sb="2" eb="3">
      <t>ソデ</t>
    </rPh>
    <rPh sb="3" eb="4">
      <t>ツ</t>
    </rPh>
    <phoneticPr fontId="5"/>
  </si>
  <si>
    <t>IEI毎日新聞</t>
    <rPh sb="3" eb="7">
      <t>マイニチシンブン</t>
    </rPh>
    <phoneticPr fontId="5"/>
  </si>
  <si>
    <t>3/1～</t>
    <phoneticPr fontId="5"/>
  </si>
  <si>
    <t>JODメルシースポーツ0306</t>
    <phoneticPr fontId="11"/>
  </si>
  <si>
    <t>3/3～</t>
    <phoneticPr fontId="11"/>
  </si>
  <si>
    <t>ハルメクアルファsample</t>
    <phoneticPr fontId="11"/>
  </si>
  <si>
    <t>ハルメクアルファsample</t>
    <phoneticPr fontId="5"/>
  </si>
  <si>
    <t>JOD⑲</t>
    <phoneticPr fontId="11"/>
  </si>
  <si>
    <t>JOD⑳</t>
    <phoneticPr fontId="11"/>
  </si>
  <si>
    <t>JOD新聞折込9054テスト⑧</t>
    <rPh sb="3" eb="5">
      <t>シンブン</t>
    </rPh>
    <rPh sb="5" eb="7">
      <t>オリコミ</t>
    </rPh>
    <phoneticPr fontId="11"/>
  </si>
  <si>
    <t>2025/2/5伝数</t>
    <rPh sb="8" eb="9">
      <t>デン</t>
    </rPh>
    <rPh sb="9" eb="10">
      <t>スウ</t>
    </rPh>
    <phoneticPr fontId="11"/>
  </si>
  <si>
    <t>JOD㉑</t>
    <phoneticPr fontId="11"/>
  </si>
  <si>
    <t>JOD㉒</t>
    <phoneticPr fontId="11"/>
  </si>
  <si>
    <t>JOD㉓</t>
    <phoneticPr fontId="11"/>
  </si>
  <si>
    <t>ハルメクアルファ７月2512号</t>
    <rPh sb="9" eb="10">
      <t>ガツ</t>
    </rPh>
    <rPh sb="14" eb="15">
      <t>ゴウ</t>
    </rPh>
    <phoneticPr fontId="11"/>
  </si>
  <si>
    <t>JOD㉔</t>
    <phoneticPr fontId="11"/>
  </si>
  <si>
    <t>IEI提案sample</t>
    <rPh sb="3" eb="5">
      <t>テイアン</t>
    </rPh>
    <phoneticPr fontId="11"/>
  </si>
  <si>
    <t>JOD㉕</t>
    <phoneticPr fontId="11"/>
  </si>
  <si>
    <t>JOD新聞折込9054テスト⑨</t>
    <rPh sb="3" eb="5">
      <t>シンブン</t>
    </rPh>
    <rPh sb="5" eb="7">
      <t>オリコミ</t>
    </rPh>
    <phoneticPr fontId="11"/>
  </si>
  <si>
    <t>ＩＥＩヴィヴィアン同梱4月号</t>
    <rPh sb="9" eb="11">
      <t>ドウコン</t>
    </rPh>
    <rPh sb="12" eb="14">
      <t>ガツゴウ</t>
    </rPh>
    <phoneticPr fontId="5"/>
  </si>
  <si>
    <t>4/1～</t>
    <phoneticPr fontId="5"/>
  </si>
  <si>
    <t>4/7発刊</t>
    <rPh sb="3" eb="5">
      <t>ハッカン</t>
    </rPh>
    <phoneticPr fontId="5"/>
  </si>
  <si>
    <t>ＩＥＩ使ってヨカッタ1月号⑤</t>
    <rPh sb="3" eb="4">
      <t>ツカ</t>
    </rPh>
    <rPh sb="11" eb="13">
      <t>ガツゴウ</t>
    </rPh>
    <phoneticPr fontId="5"/>
  </si>
  <si>
    <t>JOD㉖</t>
    <phoneticPr fontId="11"/>
  </si>
  <si>
    <t>JOD新聞折込9054テスト⑩</t>
    <rPh sb="3" eb="5">
      <t>シンブン</t>
    </rPh>
    <rPh sb="5" eb="7">
      <t>オリコミ</t>
    </rPh>
    <phoneticPr fontId="11"/>
  </si>
  <si>
    <t>JODメルシー0325</t>
    <phoneticPr fontId="11"/>
  </si>
  <si>
    <t>3/25～</t>
    <phoneticPr fontId="11"/>
  </si>
  <si>
    <t>日生協カタログ25秋住まいの快適物語冊子</t>
    <rPh sb="0" eb="3">
      <t>ニッセイキョウ</t>
    </rPh>
    <rPh sb="10" eb="11">
      <t>ス</t>
    </rPh>
    <rPh sb="14" eb="16">
      <t>カイテキ</t>
    </rPh>
    <rPh sb="16" eb="18">
      <t>モノガタリ</t>
    </rPh>
    <rPh sb="18" eb="20">
      <t>サッシ</t>
    </rPh>
    <phoneticPr fontId="11"/>
  </si>
  <si>
    <t>JOD㉗</t>
    <phoneticPr fontId="11"/>
  </si>
  <si>
    <t>追加</t>
    <rPh sb="0" eb="2">
      <t>ツイカ</t>
    </rPh>
    <phoneticPr fontId="11"/>
  </si>
  <si>
    <t>追加</t>
    <rPh sb="0" eb="2">
      <t>ツイカ</t>
    </rPh>
    <phoneticPr fontId="5"/>
  </si>
  <si>
    <t>JOD㉘</t>
    <phoneticPr fontId="11"/>
  </si>
  <si>
    <t>JOD新聞折込9054テスト⑪</t>
    <rPh sb="3" eb="5">
      <t>シンブン</t>
    </rPh>
    <rPh sb="5" eb="7">
      <t>オリコミ</t>
    </rPh>
    <phoneticPr fontId="11"/>
  </si>
  <si>
    <t>JOD㉙</t>
    <phoneticPr fontId="11"/>
  </si>
  <si>
    <t>JOD新聞折込9054テスト⑫</t>
    <rPh sb="3" eb="5">
      <t>シンブン</t>
    </rPh>
    <rPh sb="5" eb="7">
      <t>オリコミ</t>
    </rPh>
    <phoneticPr fontId="11"/>
  </si>
  <si>
    <t>JOD㉚</t>
    <phoneticPr fontId="11"/>
  </si>
  <si>
    <t>3634-010～022</t>
    <phoneticPr fontId="5"/>
  </si>
  <si>
    <t>3634-030～043</t>
    <phoneticPr fontId="11"/>
  </si>
  <si>
    <t>ＩＥＩ使ってヨカッタ1月号⑥</t>
    <rPh sb="3" eb="4">
      <t>ツカ</t>
    </rPh>
    <rPh sb="11" eb="13">
      <t>ガツゴウ</t>
    </rPh>
    <phoneticPr fontId="5"/>
  </si>
  <si>
    <t>JOD㉛</t>
    <phoneticPr fontId="11"/>
  </si>
  <si>
    <t>JOD㉜</t>
    <phoneticPr fontId="11"/>
  </si>
  <si>
    <t>JOD㉝</t>
    <phoneticPr fontId="11"/>
  </si>
  <si>
    <t>IEI返品</t>
    <rPh sb="3" eb="5">
      <t>ヘンピン</t>
    </rPh>
    <phoneticPr fontId="5"/>
  </si>
  <si>
    <t>コープきんき3月4回①</t>
    <rPh sb="7" eb="8">
      <t>ガツ</t>
    </rPh>
    <rPh sb="9" eb="10">
      <t>カイ</t>
    </rPh>
    <phoneticPr fontId="5"/>
  </si>
  <si>
    <t>JOD新聞折込9054テスト⑬</t>
    <rPh sb="3" eb="5">
      <t>シンブン</t>
    </rPh>
    <rPh sb="5" eb="7">
      <t>オリコミ</t>
    </rPh>
    <phoneticPr fontId="11"/>
  </si>
  <si>
    <t>JOD新聞折込9054テスト⑭</t>
    <rPh sb="3" eb="5">
      <t>シンブン</t>
    </rPh>
    <rPh sb="5" eb="7">
      <t>オリコミ</t>
    </rPh>
    <phoneticPr fontId="11"/>
  </si>
  <si>
    <t>JOD㉞</t>
    <phoneticPr fontId="11"/>
  </si>
  <si>
    <t>はぴねすくらぶsample</t>
    <phoneticPr fontId="11"/>
  </si>
  <si>
    <t>JOD㉟</t>
    <phoneticPr fontId="11"/>
  </si>
  <si>
    <t>追加２ 2-1-1</t>
    <rPh sb="0" eb="2">
      <t>ツイカ</t>
    </rPh>
    <phoneticPr fontId="2"/>
  </si>
  <si>
    <t>追加２ 2-1-2</t>
    <rPh sb="0" eb="2">
      <t>ツイカ</t>
    </rPh>
    <phoneticPr fontId="2"/>
  </si>
  <si>
    <t>JOD㊱</t>
    <phoneticPr fontId="11"/>
  </si>
  <si>
    <t>ＩＥＩ使ってヨカッタ3月号差分予測</t>
    <rPh sb="3" eb="4">
      <t>ツカ</t>
    </rPh>
    <rPh sb="11" eb="13">
      <t>ガツゴウ</t>
    </rPh>
    <rPh sb="13" eb="17">
      <t>サブンヨソク</t>
    </rPh>
    <phoneticPr fontId="5"/>
  </si>
  <si>
    <t>コープ九州3月3週差分予測</t>
    <rPh sb="3" eb="5">
      <t>キュウシュウ</t>
    </rPh>
    <rPh sb="6" eb="7">
      <t>ガツ</t>
    </rPh>
    <rPh sb="8" eb="9">
      <t>シュウ</t>
    </rPh>
    <rPh sb="9" eb="13">
      <t>サブンヨソク</t>
    </rPh>
    <phoneticPr fontId="11"/>
  </si>
  <si>
    <t>JODメルシー0318差分予測</t>
    <rPh sb="11" eb="15">
      <t>サブンヨソク</t>
    </rPh>
    <phoneticPr fontId="5"/>
  </si>
  <si>
    <t>→４/１以降まで伸ばす</t>
    <rPh sb="4" eb="6">
      <t>イコウ</t>
    </rPh>
    <rPh sb="8" eb="9">
      <t>ノ</t>
    </rPh>
    <phoneticPr fontId="5"/>
  </si>
  <si>
    <t>JOD㊲</t>
    <phoneticPr fontId="11"/>
  </si>
  <si>
    <t>コープ九州3月3週①</t>
    <rPh sb="3" eb="5">
      <t>キュウシュウ</t>
    </rPh>
    <rPh sb="6" eb="7">
      <t>ガツ</t>
    </rPh>
    <rPh sb="8" eb="9">
      <t>シュウ</t>
    </rPh>
    <phoneticPr fontId="11"/>
  </si>
  <si>
    <t>コープ九州3月3週①-1</t>
    <rPh sb="3" eb="5">
      <t>キュウシュウ</t>
    </rPh>
    <rPh sb="6" eb="7">
      <t>ガツ</t>
    </rPh>
    <rPh sb="8" eb="9">
      <t>シュウ</t>
    </rPh>
    <phoneticPr fontId="5"/>
  </si>
  <si>
    <t>コープ九州3月3週①-2</t>
    <rPh sb="3" eb="5">
      <t>キュウシュウ</t>
    </rPh>
    <rPh sb="6" eb="7">
      <t>ガツ</t>
    </rPh>
    <rPh sb="8" eb="9">
      <t>シュウ</t>
    </rPh>
    <phoneticPr fontId="5"/>
  </si>
  <si>
    <t>ＩＥＩ使ってヨカッタ3月号①</t>
    <rPh sb="3" eb="4">
      <t>ツカ</t>
    </rPh>
    <rPh sb="11" eb="13">
      <t>ガツゴウ</t>
    </rPh>
    <phoneticPr fontId="5"/>
  </si>
  <si>
    <t>JOD㊳</t>
    <phoneticPr fontId="11"/>
  </si>
  <si>
    <t>ＩＥＩ使ってヨカッタ3月号①残</t>
    <rPh sb="3" eb="4">
      <t>ツカ</t>
    </rPh>
    <rPh sb="11" eb="13">
      <t>ガツゴウ</t>
    </rPh>
    <rPh sb="14" eb="15">
      <t>ザン</t>
    </rPh>
    <phoneticPr fontId="5"/>
  </si>
  <si>
    <t>コープ九州3月3週②</t>
    <rPh sb="3" eb="5">
      <t>キュウシュウ</t>
    </rPh>
    <rPh sb="6" eb="7">
      <t>ガツ</t>
    </rPh>
    <rPh sb="8" eb="9">
      <t>シュウ</t>
    </rPh>
    <phoneticPr fontId="5"/>
  </si>
  <si>
    <t>コープ九州3月3週②</t>
    <rPh sb="3" eb="5">
      <t>キュウシュウ</t>
    </rPh>
    <rPh sb="6" eb="7">
      <t>ガツ</t>
    </rPh>
    <rPh sb="8" eb="9">
      <t>シュウ</t>
    </rPh>
    <phoneticPr fontId="11"/>
  </si>
  <si>
    <t>JOD特別号9527</t>
    <rPh sb="3" eb="6">
      <t>トクベツゴウ</t>
    </rPh>
    <phoneticPr fontId="11"/>
  </si>
  <si>
    <t>4/21～</t>
    <phoneticPr fontId="11"/>
  </si>
  <si>
    <t>JOD㊴</t>
    <phoneticPr fontId="11"/>
  </si>
  <si>
    <t>2025/3/10数伝</t>
    <rPh sb="9" eb="10">
      <t>スウ</t>
    </rPh>
    <rPh sb="10" eb="11">
      <t>デン</t>
    </rPh>
    <phoneticPr fontId="5"/>
  </si>
  <si>
    <t>ロイヤルステージ1月号②</t>
    <rPh sb="9" eb="10">
      <t>ガツ</t>
    </rPh>
    <rPh sb="10" eb="11">
      <t>ゴウ</t>
    </rPh>
    <phoneticPr fontId="5"/>
  </si>
  <si>
    <t>ロイヤルステージ1月号②残</t>
    <rPh sb="9" eb="10">
      <t>ガツ</t>
    </rPh>
    <rPh sb="10" eb="11">
      <t>ゴウ</t>
    </rPh>
    <rPh sb="12" eb="13">
      <t>ザン</t>
    </rPh>
    <phoneticPr fontId="5"/>
  </si>
  <si>
    <t>JOD㊵</t>
    <phoneticPr fontId="11"/>
  </si>
  <si>
    <t>コープ九州3月3週③</t>
    <rPh sb="3" eb="5">
      <t>キュウシュウ</t>
    </rPh>
    <rPh sb="6" eb="7">
      <t>ガツ</t>
    </rPh>
    <rPh sb="8" eb="9">
      <t>シュウ</t>
    </rPh>
    <phoneticPr fontId="11"/>
  </si>
  <si>
    <t>追加</t>
    <rPh sb="0" eb="2">
      <t>ツイカ</t>
    </rPh>
    <phoneticPr fontId="11"/>
  </si>
  <si>
    <t>JOD㊶</t>
    <phoneticPr fontId="11"/>
  </si>
  <si>
    <t>コープ九州3月3週④</t>
    <rPh sb="3" eb="5">
      <t>キュウシュウ</t>
    </rPh>
    <rPh sb="6" eb="7">
      <t>ガツ</t>
    </rPh>
    <rPh sb="8" eb="9">
      <t>シュウ</t>
    </rPh>
    <phoneticPr fontId="11"/>
  </si>
  <si>
    <t>JOD返品</t>
    <rPh sb="3" eb="5">
      <t>ヘンピン</t>
    </rPh>
    <phoneticPr fontId="11"/>
  </si>
  <si>
    <t>JOD㊷</t>
    <phoneticPr fontId="11"/>
  </si>
  <si>
    <t>JOD㊸</t>
    <phoneticPr fontId="11"/>
  </si>
  <si>
    <t>コープきんき3月4回②</t>
    <rPh sb="7" eb="8">
      <t>ガツ</t>
    </rPh>
    <rPh sb="9" eb="10">
      <t>カイ</t>
    </rPh>
    <phoneticPr fontId="5"/>
  </si>
  <si>
    <r>
      <t>ペイズリー袖付き(パープル)　</t>
    </r>
    <r>
      <rPr>
        <b/>
        <sz val="9"/>
        <rFont val="ＭＳ Ｐゴシック"/>
        <family val="3"/>
        <charset val="128"/>
      </rPr>
      <t>3634-030～033</t>
    </r>
    <rPh sb="5" eb="6">
      <t>ソデ</t>
    </rPh>
    <rPh sb="6" eb="7">
      <t>ツ</t>
    </rPh>
    <phoneticPr fontId="5"/>
  </si>
  <si>
    <r>
      <t>ペイズリー袖なし(ブルー)　</t>
    </r>
    <r>
      <rPr>
        <b/>
        <sz val="9"/>
        <rFont val="ＭＳ Ｐゴシック"/>
        <family val="3"/>
        <charset val="128"/>
      </rPr>
      <t>3634-040～043</t>
    </r>
    <rPh sb="5" eb="6">
      <t>ソデ</t>
    </rPh>
    <phoneticPr fontId="5"/>
  </si>
  <si>
    <t>花柄袖付き（ピンク）　3634-010～013</t>
    <rPh sb="0" eb="2">
      <t>ハナガラ</t>
    </rPh>
    <rPh sb="2" eb="3">
      <t>ソデ</t>
    </rPh>
    <rPh sb="3" eb="4">
      <t>ツ</t>
    </rPh>
    <phoneticPr fontId="5"/>
  </si>
  <si>
    <t>花柄袖なし（ブルー）　3634-020～023</t>
    <rPh sb="0" eb="2">
      <t>ハナガラ</t>
    </rPh>
    <rPh sb="2" eb="3">
      <t>ソデ</t>
    </rPh>
    <phoneticPr fontId="5"/>
  </si>
  <si>
    <t>JOD㊹</t>
    <phoneticPr fontId="11"/>
  </si>
  <si>
    <t>コープきんき3月4回③</t>
    <rPh sb="7" eb="8">
      <t>ガツ</t>
    </rPh>
    <rPh sb="9" eb="10">
      <t>カイ</t>
    </rPh>
    <phoneticPr fontId="5"/>
  </si>
  <si>
    <t>コープきんき3月4回④</t>
    <rPh sb="7" eb="8">
      <t>ガツ</t>
    </rPh>
    <rPh sb="9" eb="10">
      <t>カイ</t>
    </rPh>
    <phoneticPr fontId="5"/>
  </si>
  <si>
    <t>JOD㊺</t>
    <phoneticPr fontId="11"/>
  </si>
  <si>
    <t>コープきんき3月4回⑤</t>
    <rPh sb="7" eb="8">
      <t>ガツ</t>
    </rPh>
    <rPh sb="9" eb="10">
      <t>カイ</t>
    </rPh>
    <phoneticPr fontId="5"/>
  </si>
  <si>
    <t>至急→3/24夢販着</t>
    <rPh sb="0" eb="2">
      <t>シキュウ</t>
    </rPh>
    <rPh sb="7" eb="9">
      <t>ユメハン</t>
    </rPh>
    <rPh sb="9" eb="10">
      <t>チャク</t>
    </rPh>
    <phoneticPr fontId="5"/>
  </si>
  <si>
    <t>IEI朝日新聞</t>
    <rPh sb="3" eb="7">
      <t>アサヒシンブン</t>
    </rPh>
    <phoneticPr fontId="5"/>
  </si>
  <si>
    <t>5/10～</t>
    <phoneticPr fontId="5"/>
  </si>
  <si>
    <t>JOD㊻</t>
    <phoneticPr fontId="11"/>
  </si>
  <si>
    <t>JOD①</t>
    <phoneticPr fontId="5"/>
  </si>
  <si>
    <t>5/30～8/31</t>
    <phoneticPr fontId="11"/>
  </si>
  <si>
    <t>5/30～8/31</t>
    <phoneticPr fontId="5"/>
  </si>
  <si>
    <t>ことせ2502ハルメクアルファ テスト版</t>
    <rPh sb="19" eb="20">
      <t>バン</t>
    </rPh>
    <phoneticPr fontId="11"/>
  </si>
  <si>
    <t>ことせ2502ハルメクアルファ　テスト版</t>
    <rPh sb="19" eb="20">
      <t>バン</t>
    </rPh>
    <phoneticPr fontId="5"/>
  </si>
  <si>
    <t>JOD㊼</t>
    <phoneticPr fontId="11"/>
  </si>
  <si>
    <t>JOD②</t>
    <phoneticPr fontId="5"/>
  </si>
  <si>
    <t>追加</t>
    <rPh sb="0" eb="2">
      <t>ツイカ</t>
    </rPh>
    <phoneticPr fontId="11"/>
  </si>
  <si>
    <t>JOD㊽</t>
    <phoneticPr fontId="11"/>
  </si>
  <si>
    <t>JOD③</t>
    <phoneticPr fontId="5"/>
  </si>
  <si>
    <t>JOD④</t>
    <phoneticPr fontId="5"/>
  </si>
  <si>
    <t>KPORT</t>
    <phoneticPr fontId="5"/>
  </si>
  <si>
    <t>夢販移動</t>
    <rPh sb="0" eb="2">
      <t>ユメハン</t>
    </rPh>
    <rPh sb="2" eb="4">
      <t>イドウ</t>
    </rPh>
    <phoneticPr fontId="5"/>
  </si>
  <si>
    <t>はぴねすくらぶ4月号①</t>
    <rPh sb="8" eb="10">
      <t>ガツゴウ</t>
    </rPh>
    <phoneticPr fontId="5"/>
  </si>
  <si>
    <t>はぴねすくらぶ4月号①</t>
    <rPh sb="8" eb="10">
      <t>ガツゴウ</t>
    </rPh>
    <phoneticPr fontId="11"/>
  </si>
  <si>
    <t>JOD⑤</t>
    <phoneticPr fontId="5"/>
  </si>
  <si>
    <t>IEI使ってヨカッタ6月号</t>
    <rPh sb="3" eb="4">
      <t>ツカ</t>
    </rPh>
    <rPh sb="11" eb="13">
      <t>ガツゴウ</t>
    </rPh>
    <phoneticPr fontId="11"/>
  </si>
  <si>
    <t>6/9～</t>
    <phoneticPr fontId="11"/>
  </si>
  <si>
    <t>JOD特別号9531</t>
    <rPh sb="3" eb="6">
      <t>トクベツゴウ</t>
    </rPh>
    <phoneticPr fontId="5"/>
  </si>
  <si>
    <t>5/14～</t>
    <phoneticPr fontId="5"/>
  </si>
  <si>
    <t>千趣会（2025WEB）</t>
    <rPh sb="0" eb="3">
      <t>センシュカイ</t>
    </rPh>
    <phoneticPr fontId="11"/>
  </si>
  <si>
    <t>JOD㊾</t>
    <phoneticPr fontId="11"/>
  </si>
  <si>
    <t>IEI返品</t>
    <rPh sb="3" eb="5">
      <t>ヘンピン</t>
    </rPh>
    <phoneticPr fontId="5"/>
  </si>
  <si>
    <t>JOD㊿</t>
    <phoneticPr fontId="11"/>
  </si>
  <si>
    <t>JOD⑦</t>
    <phoneticPr fontId="5"/>
  </si>
  <si>
    <t>6/25～7/9</t>
    <phoneticPr fontId="5"/>
  </si>
  <si>
    <t>コープ九州7月2週</t>
    <rPh sb="3" eb="5">
      <t>キュウシュウ</t>
    </rPh>
    <rPh sb="6" eb="7">
      <t>ガツ</t>
    </rPh>
    <rPh sb="8" eb="9">
      <t>シュウ</t>
    </rPh>
    <phoneticPr fontId="5"/>
  </si>
  <si>
    <t>コープ九州7月2週</t>
    <rPh sb="3" eb="5">
      <t>キュウシュウ</t>
    </rPh>
    <rPh sb="6" eb="7">
      <t>ガツ</t>
    </rPh>
    <rPh sb="8" eb="9">
      <t>シュウ</t>
    </rPh>
    <phoneticPr fontId="11"/>
  </si>
  <si>
    <t>6/25～7/9</t>
    <phoneticPr fontId="11"/>
  </si>
  <si>
    <t>4/9～</t>
    <phoneticPr fontId="11"/>
  </si>
  <si>
    <t>千趣会（2025WEB）①</t>
    <rPh sb="0" eb="3">
      <t>センシュカイ</t>
    </rPh>
    <phoneticPr fontId="11"/>
  </si>
  <si>
    <t>JOD51</t>
    <phoneticPr fontId="11"/>
  </si>
  <si>
    <t>JOD⑧</t>
    <phoneticPr fontId="5"/>
  </si>
  <si>
    <t>JOD⑥</t>
    <phoneticPr fontId="5"/>
  </si>
  <si>
    <t>コープ九州7月2週差分予測</t>
    <rPh sb="3" eb="5">
      <t>キュウシュウ</t>
    </rPh>
    <rPh sb="6" eb="7">
      <t>ガツ</t>
    </rPh>
    <rPh sb="8" eb="9">
      <t>シュウ</t>
    </rPh>
    <rPh sb="9" eb="13">
      <t>サブンヨソク</t>
    </rPh>
    <phoneticPr fontId="5"/>
  </si>
  <si>
    <t>コープ九州7月2週差分予測</t>
    <rPh sb="3" eb="5">
      <t>キュウシュウ</t>
    </rPh>
    <rPh sb="6" eb="7">
      <t>ガツ</t>
    </rPh>
    <rPh sb="8" eb="9">
      <t>シュウ</t>
    </rPh>
    <rPh sb="9" eb="13">
      <t>サブンヨソク</t>
    </rPh>
    <phoneticPr fontId="11"/>
  </si>
  <si>
    <t>IEI交換</t>
    <rPh sb="3" eb="5">
      <t>コウカン</t>
    </rPh>
    <phoneticPr fontId="5"/>
  </si>
  <si>
    <t>JOD52</t>
    <phoneticPr fontId="11"/>
  </si>
  <si>
    <t>JOD⑨</t>
    <phoneticPr fontId="5"/>
  </si>
  <si>
    <t>JOD⑩</t>
    <phoneticPr fontId="5"/>
  </si>
  <si>
    <t>ＩＥＩヴィヴィアン同梱4月号①</t>
    <rPh sb="9" eb="11">
      <t>ドウコン</t>
    </rPh>
    <rPh sb="12" eb="14">
      <t>ガツゴウ</t>
    </rPh>
    <phoneticPr fontId="5"/>
  </si>
  <si>
    <t>夢販ハルメクアルファ検品用</t>
    <rPh sb="0" eb="2">
      <t>ユメハン</t>
    </rPh>
    <rPh sb="10" eb="13">
      <t>ケンピンヨウ</t>
    </rPh>
    <phoneticPr fontId="5"/>
  </si>
  <si>
    <t>夢販ハルメクアルファ検品</t>
    <rPh sb="0" eb="2">
      <t>ユメハン</t>
    </rPh>
    <rPh sb="10" eb="12">
      <t>ケンピン</t>
    </rPh>
    <phoneticPr fontId="11"/>
  </si>
  <si>
    <t>JOD53</t>
  </si>
  <si>
    <t>JOD⑪</t>
    <phoneticPr fontId="5"/>
  </si>
  <si>
    <t>JOD54</t>
    <phoneticPr fontId="11"/>
  </si>
  <si>
    <t>JOD⑫</t>
    <phoneticPr fontId="5"/>
  </si>
  <si>
    <t>JOD55</t>
    <phoneticPr fontId="11"/>
  </si>
  <si>
    <t>JOD⑬</t>
    <phoneticPr fontId="5"/>
  </si>
  <si>
    <t>JOD返品</t>
    <rPh sb="3" eb="5">
      <t>ヘンピン</t>
    </rPh>
    <phoneticPr fontId="5"/>
  </si>
  <si>
    <t>JOD⑭</t>
    <phoneticPr fontId="5"/>
  </si>
  <si>
    <t>追加</t>
    <rPh sb="0" eb="2">
      <t>ツイカ</t>
    </rPh>
    <phoneticPr fontId="5"/>
  </si>
  <si>
    <t>追加</t>
    <rPh sb="0" eb="2">
      <t>ツイカ</t>
    </rPh>
    <phoneticPr fontId="11"/>
  </si>
  <si>
    <t>JODメルシー0526</t>
    <phoneticPr fontId="5"/>
  </si>
  <si>
    <t>5/26～</t>
    <phoneticPr fontId="5"/>
  </si>
  <si>
    <t>くらし返品</t>
    <rPh sb="3" eb="5">
      <t>ヘンピン</t>
    </rPh>
    <phoneticPr fontId="2"/>
  </si>
  <si>
    <t>JOD56</t>
    <phoneticPr fontId="11"/>
  </si>
  <si>
    <t>追加２ 2-1-2急ぎ分</t>
    <rPh sb="0" eb="2">
      <t>ツイカ</t>
    </rPh>
    <rPh sb="9" eb="10">
      <t>イソ</t>
    </rPh>
    <rPh sb="11" eb="12">
      <t>ブン</t>
    </rPh>
    <phoneticPr fontId="2"/>
  </si>
  <si>
    <t>日生協カタログすこやかびと冊子夏号②</t>
    <rPh sb="0" eb="3">
      <t>ニッセイキョウ</t>
    </rPh>
    <rPh sb="13" eb="15">
      <t>サッシ</t>
    </rPh>
    <rPh sb="15" eb="17">
      <t>ナツゴウ</t>
    </rPh>
    <phoneticPr fontId="11"/>
  </si>
  <si>
    <t>日生協カタログ25冬すこやかびと</t>
    <rPh sb="0" eb="3">
      <t>ニッセイキョウ</t>
    </rPh>
    <rPh sb="9" eb="10">
      <t>フユ</t>
    </rPh>
    <phoneticPr fontId="11"/>
  </si>
  <si>
    <t>日生協カタログ26春すこやかびと</t>
    <rPh sb="0" eb="3">
      <t>ニッセイキョウ</t>
    </rPh>
    <rPh sb="9" eb="10">
      <t>ハル</t>
    </rPh>
    <phoneticPr fontId="11"/>
  </si>
  <si>
    <t>日生協カタロすこやかびと冊子25夏号</t>
    <rPh sb="0" eb="3">
      <t>ニッセイキョウ</t>
    </rPh>
    <rPh sb="12" eb="14">
      <t>サッシ</t>
    </rPh>
    <rPh sb="16" eb="18">
      <t>ナツゴウ</t>
    </rPh>
    <phoneticPr fontId="5"/>
  </si>
  <si>
    <t>日生協カタロすこやかびと冊子25夏号差分予測</t>
    <rPh sb="0" eb="3">
      <t>ニッセイキョウ</t>
    </rPh>
    <rPh sb="12" eb="14">
      <t>サッシ</t>
    </rPh>
    <rPh sb="16" eb="18">
      <t>ナツゴウ</t>
    </rPh>
    <rPh sb="18" eb="20">
      <t>サブン</t>
    </rPh>
    <rPh sb="20" eb="22">
      <t>ヨソク</t>
    </rPh>
    <phoneticPr fontId="5"/>
  </si>
  <si>
    <t>サクラマチ提案sample</t>
    <rPh sb="5" eb="7">
      <t>テイアン</t>
    </rPh>
    <phoneticPr fontId="5"/>
  </si>
  <si>
    <t>千趣会（2025WEB）②</t>
    <rPh sb="0" eb="3">
      <t>センシュカイ</t>
    </rPh>
    <phoneticPr fontId="11"/>
  </si>
  <si>
    <t>テスト6/25</t>
    <phoneticPr fontId="5"/>
  </si>
  <si>
    <t>テスト6/25</t>
    <phoneticPr fontId="11"/>
  </si>
  <si>
    <t>JOD57</t>
    <phoneticPr fontId="11"/>
  </si>
  <si>
    <t>JOD⑮</t>
    <phoneticPr fontId="5"/>
  </si>
  <si>
    <t>ベルーナ25年夏号元気とキレイの秘訣</t>
    <rPh sb="6" eb="7">
      <t>ネン</t>
    </rPh>
    <rPh sb="7" eb="9">
      <t>ナツゴウ</t>
    </rPh>
    <rPh sb="9" eb="11">
      <t>ゲンキ</t>
    </rPh>
    <rPh sb="16" eb="18">
      <t>ヒケツ</t>
    </rPh>
    <phoneticPr fontId="11"/>
  </si>
  <si>
    <t>ベルーナ25年夏号元気とキレイの秘訣</t>
    <rPh sb="6" eb="7">
      <t>ネン</t>
    </rPh>
    <rPh sb="7" eb="9">
      <t>ナツゴウ</t>
    </rPh>
    <rPh sb="9" eb="11">
      <t>ゲンキ</t>
    </rPh>
    <rPh sb="16" eb="18">
      <t>ヒケツ</t>
    </rPh>
    <phoneticPr fontId="5"/>
  </si>
  <si>
    <t>追加</t>
    <rPh sb="0" eb="2">
      <t>ツイカ</t>
    </rPh>
    <phoneticPr fontId="11"/>
  </si>
  <si>
    <t>追加</t>
    <rPh sb="0" eb="2">
      <t>ツイカ</t>
    </rPh>
    <phoneticPr fontId="5"/>
  </si>
  <si>
    <t>はぴねすくらぶ4月号②</t>
    <rPh sb="8" eb="10">
      <t>ガツゴウ</t>
    </rPh>
    <phoneticPr fontId="5"/>
  </si>
  <si>
    <t>はぴねすくらぶ4月号②</t>
    <rPh sb="8" eb="10">
      <t>ガツゴウ</t>
    </rPh>
    <phoneticPr fontId="11"/>
  </si>
  <si>
    <t>JOD⑯</t>
    <phoneticPr fontId="5"/>
  </si>
  <si>
    <t>追加</t>
    <rPh sb="0" eb="2">
      <t>ツイカ</t>
    </rPh>
    <phoneticPr fontId="5"/>
  </si>
  <si>
    <t>JOD58</t>
    <phoneticPr fontId="11"/>
  </si>
  <si>
    <t>JOD⑰</t>
    <phoneticPr fontId="5"/>
  </si>
  <si>
    <t>2025/4/14数伝</t>
    <rPh sb="9" eb="10">
      <t>スウ</t>
    </rPh>
    <rPh sb="10" eb="11">
      <t>デン</t>
    </rPh>
    <phoneticPr fontId="5"/>
  </si>
  <si>
    <t>2025/4/14数伝</t>
    <rPh sb="9" eb="10">
      <t>スウ</t>
    </rPh>
    <rPh sb="10" eb="11">
      <t>デン</t>
    </rPh>
    <phoneticPr fontId="11"/>
  </si>
  <si>
    <t>ロイヤルステージ返品</t>
    <rPh sb="8" eb="10">
      <t>ヘンピン</t>
    </rPh>
    <phoneticPr fontId="5"/>
  </si>
  <si>
    <t>JOD59</t>
  </si>
  <si>
    <t>日生協カタロすこやかびと冊子夏号②</t>
    <rPh sb="0" eb="3">
      <t>ニッセイキョウ</t>
    </rPh>
    <rPh sb="12" eb="14">
      <t>サッシ</t>
    </rPh>
    <rPh sb="14" eb="16">
      <t>ナツゴウ</t>
    </rPh>
    <phoneticPr fontId="5"/>
  </si>
  <si>
    <t>日生協カタログすこやかびと冊子夏号③</t>
    <rPh sb="0" eb="3">
      <t>ニッセイキョウ</t>
    </rPh>
    <rPh sb="13" eb="15">
      <t>サッシ</t>
    </rPh>
    <rPh sb="15" eb="17">
      <t>ナツゴウ</t>
    </rPh>
    <phoneticPr fontId="11"/>
  </si>
  <si>
    <t>はぴねすくらぶ4月号③</t>
    <rPh sb="8" eb="10">
      <t>ガツゴウ</t>
    </rPh>
    <phoneticPr fontId="11"/>
  </si>
  <si>
    <t>追加</t>
    <rPh sb="0" eb="2">
      <t>ツイカ</t>
    </rPh>
    <phoneticPr fontId="11"/>
  </si>
  <si>
    <t>サクラマチ返品</t>
    <rPh sb="5" eb="7">
      <t>ヘンピン</t>
    </rPh>
    <phoneticPr fontId="11"/>
  </si>
  <si>
    <t>サクラマチ返品</t>
    <rPh sb="5" eb="7">
      <t>ヘンピン</t>
    </rPh>
    <phoneticPr fontId="5"/>
  </si>
  <si>
    <t>JOD60</t>
    <phoneticPr fontId="11"/>
  </si>
  <si>
    <t>JOD⑱</t>
    <phoneticPr fontId="5"/>
  </si>
  <si>
    <t>千趣会（2025WEB）③</t>
    <rPh sb="0" eb="3">
      <t>センシュカイ</t>
    </rPh>
    <phoneticPr fontId="11"/>
  </si>
  <si>
    <t>2025/4/17数伝</t>
    <rPh sb="9" eb="10">
      <t>スウ</t>
    </rPh>
    <rPh sb="10" eb="11">
      <t>デン</t>
    </rPh>
    <phoneticPr fontId="11"/>
  </si>
  <si>
    <t>2025/4/17数伝</t>
    <rPh sb="9" eb="10">
      <t>スウ</t>
    </rPh>
    <rPh sb="10" eb="11">
      <t>デン</t>
    </rPh>
    <phoneticPr fontId="5"/>
  </si>
  <si>
    <t>東都生協6月4回</t>
    <rPh sb="0" eb="4">
      <t>トウトセイキョウ</t>
    </rPh>
    <rPh sb="5" eb="6">
      <t>ガツ</t>
    </rPh>
    <rPh sb="7" eb="8">
      <t>カイ</t>
    </rPh>
    <phoneticPr fontId="5"/>
  </si>
  <si>
    <t>6/11～24</t>
    <phoneticPr fontId="5"/>
  </si>
  <si>
    <t>東都生協6月4回</t>
    <rPh sb="0" eb="4">
      <t>トウトセイキョウ</t>
    </rPh>
    <rPh sb="5" eb="6">
      <t>ガツ</t>
    </rPh>
    <rPh sb="7" eb="8">
      <t>カイ</t>
    </rPh>
    <phoneticPr fontId="11"/>
  </si>
  <si>
    <t>6/11～24</t>
    <phoneticPr fontId="11"/>
  </si>
  <si>
    <t>東北サンネット7月2回</t>
    <rPh sb="0" eb="2">
      <t>トウホク</t>
    </rPh>
    <rPh sb="8" eb="9">
      <t>ガツ</t>
    </rPh>
    <rPh sb="10" eb="11">
      <t>カイ</t>
    </rPh>
    <phoneticPr fontId="11"/>
  </si>
  <si>
    <t>実績構成比</t>
    <rPh sb="0" eb="2">
      <t>ジッセキ</t>
    </rPh>
    <rPh sb="2" eb="5">
      <t>コウセイヒ</t>
    </rPh>
    <phoneticPr fontId="5"/>
  </si>
  <si>
    <t>在庫構成比</t>
    <rPh sb="0" eb="2">
      <t>ザイコ</t>
    </rPh>
    <rPh sb="2" eb="5">
      <t>コウセイヒ</t>
    </rPh>
    <phoneticPr fontId="11"/>
  </si>
  <si>
    <t>実績構成比</t>
    <rPh sb="0" eb="2">
      <t>ジッセキ</t>
    </rPh>
    <rPh sb="2" eb="5">
      <t>コウセイヒ</t>
    </rPh>
    <phoneticPr fontId="11"/>
  </si>
  <si>
    <t>6/27～9/30</t>
    <phoneticPr fontId="5"/>
  </si>
  <si>
    <t>6/27～9/30</t>
    <phoneticPr fontId="11"/>
  </si>
  <si>
    <t>はぴねすくらぶ4月号③</t>
    <rPh sb="8" eb="10">
      <t>ガツゴウ</t>
    </rPh>
    <phoneticPr fontId="5"/>
  </si>
  <si>
    <t>はぴねすくらぶ4月号④</t>
    <rPh sb="8" eb="10">
      <t>ガツゴウ</t>
    </rPh>
    <phoneticPr fontId="11"/>
  </si>
  <si>
    <t>くらし企画（あいコープみやぎ）sample</t>
    <rPh sb="3" eb="5">
      <t>キカク</t>
    </rPh>
    <phoneticPr fontId="11"/>
  </si>
  <si>
    <t>JOD特別版0605</t>
    <rPh sb="3" eb="5">
      <t>トクベツ</t>
    </rPh>
    <rPh sb="5" eb="6">
      <t>バン</t>
    </rPh>
    <phoneticPr fontId="11"/>
  </si>
  <si>
    <t>6/4～</t>
    <phoneticPr fontId="11"/>
  </si>
  <si>
    <t>2025/4/26伝数</t>
    <rPh sb="9" eb="10">
      <t>デン</t>
    </rPh>
    <rPh sb="10" eb="11">
      <t>スウ</t>
    </rPh>
    <phoneticPr fontId="5"/>
  </si>
  <si>
    <t>2025/4/26伝数</t>
    <rPh sb="9" eb="10">
      <t>デン</t>
    </rPh>
    <rPh sb="10" eb="11">
      <t>スウ</t>
    </rPh>
    <phoneticPr fontId="11"/>
  </si>
  <si>
    <t>JOD61</t>
    <phoneticPr fontId="11"/>
  </si>
  <si>
    <t>はぴねすくらぶ4月号差分予測</t>
    <rPh sb="8" eb="10">
      <t>ガツゴウ</t>
    </rPh>
    <rPh sb="10" eb="14">
      <t>サブンヨソク</t>
    </rPh>
    <phoneticPr fontId="11"/>
  </si>
  <si>
    <t>日生協カタログすこやかびと冊子夏号④</t>
    <rPh sb="0" eb="3">
      <t>ニッセイキョウ</t>
    </rPh>
    <rPh sb="13" eb="15">
      <t>サッシ</t>
    </rPh>
    <rPh sb="15" eb="17">
      <t>ナツゴウ</t>
    </rPh>
    <phoneticPr fontId="11"/>
  </si>
  <si>
    <t>日生協カタロすこやかびと冊子夏号③</t>
    <rPh sb="0" eb="3">
      <t>ニッセイキョウ</t>
    </rPh>
    <rPh sb="12" eb="14">
      <t>サッシ</t>
    </rPh>
    <rPh sb="14" eb="16">
      <t>ナツゴウ</t>
    </rPh>
    <phoneticPr fontId="5"/>
  </si>
  <si>
    <t>２－２　過入荷分</t>
    <rPh sb="4" eb="8">
      <t>カニュウカブン</t>
    </rPh>
    <phoneticPr fontId="2"/>
  </si>
  <si>
    <t>追加１ 2-1</t>
    <rPh sb="0" eb="2">
      <t>ツイカ</t>
    </rPh>
    <phoneticPr fontId="2"/>
  </si>
  <si>
    <t>千趣会（2025WEB）④</t>
    <rPh sb="0" eb="3">
      <t>センシュカイ</t>
    </rPh>
    <phoneticPr fontId="11"/>
  </si>
  <si>
    <t>はぴねすくらぶ4月号④</t>
    <rPh sb="8" eb="10">
      <t>ガツゴウ</t>
    </rPh>
    <phoneticPr fontId="5"/>
  </si>
  <si>
    <t>JOD62</t>
    <phoneticPr fontId="11"/>
  </si>
  <si>
    <t>JOD⑲</t>
    <phoneticPr fontId="5"/>
  </si>
  <si>
    <t>夢販</t>
    <rPh sb="0" eb="2">
      <t>ユメハン</t>
    </rPh>
    <phoneticPr fontId="11"/>
  </si>
  <si>
    <t>JOD63</t>
  </si>
  <si>
    <t>JODメルシースポーツ0607</t>
    <phoneticPr fontId="5"/>
  </si>
  <si>
    <t>6/4～</t>
    <phoneticPr fontId="5"/>
  </si>
  <si>
    <t>JOD64</t>
    <phoneticPr fontId="11"/>
  </si>
  <si>
    <t>JOD65</t>
  </si>
  <si>
    <t>K-PORT</t>
    <phoneticPr fontId="5"/>
  </si>
  <si>
    <t>JOD66</t>
    <phoneticPr fontId="11"/>
  </si>
  <si>
    <t>JOD⑳</t>
    <phoneticPr fontId="5"/>
  </si>
  <si>
    <t>あいコープみやぎ7月3回</t>
    <rPh sb="9" eb="10">
      <t>ガツ</t>
    </rPh>
    <rPh sb="11" eb="12">
      <t>カイ</t>
    </rPh>
    <phoneticPr fontId="5"/>
  </si>
  <si>
    <t>確定発注7/9</t>
    <rPh sb="0" eb="4">
      <t>カクテイハッチュウ</t>
    </rPh>
    <phoneticPr fontId="5"/>
  </si>
  <si>
    <t>あいコープみやぎ7月3回</t>
    <rPh sb="9" eb="10">
      <t>ガツ</t>
    </rPh>
    <rPh sb="11" eb="12">
      <t>カイ</t>
    </rPh>
    <phoneticPr fontId="11"/>
  </si>
  <si>
    <t>確定発注7/9</t>
    <rPh sb="0" eb="4">
      <t>カクテイハッチュウ</t>
    </rPh>
    <phoneticPr fontId="11"/>
  </si>
  <si>
    <t>日生協カタログすこやかびと冊子夏号⑤</t>
    <rPh sb="0" eb="3">
      <t>ニッセイキョウ</t>
    </rPh>
    <rPh sb="13" eb="15">
      <t>サッシ</t>
    </rPh>
    <rPh sb="15" eb="17">
      <t>ナツゴウ</t>
    </rPh>
    <phoneticPr fontId="11"/>
  </si>
  <si>
    <t>日生協カタロすこやかびと冊子夏号④</t>
    <rPh sb="0" eb="3">
      <t>ニッセイキョウ</t>
    </rPh>
    <rPh sb="12" eb="14">
      <t>サッシ</t>
    </rPh>
    <rPh sb="14" eb="16">
      <t>ナツゴウ</t>
    </rPh>
    <phoneticPr fontId="5"/>
  </si>
  <si>
    <t>JOD特別号9537</t>
    <rPh sb="3" eb="6">
      <t>トクベツゴウ</t>
    </rPh>
    <phoneticPr fontId="5"/>
  </si>
  <si>
    <t>6/20～</t>
    <phoneticPr fontId="5"/>
  </si>
  <si>
    <t>はぴねすくらぶ4月号⑤</t>
    <rPh sb="8" eb="10">
      <t>ガツゴウ</t>
    </rPh>
    <phoneticPr fontId="11"/>
  </si>
  <si>
    <t>千趣会（2025WEB）⑤</t>
    <rPh sb="0" eb="3">
      <t>センシュカイ</t>
    </rPh>
    <phoneticPr fontId="11"/>
  </si>
  <si>
    <t>JOD67</t>
    <phoneticPr fontId="11"/>
  </si>
  <si>
    <t>ハルメクアルファ①</t>
    <phoneticPr fontId="11"/>
  </si>
  <si>
    <t>ハルメクアルファ①</t>
    <phoneticPr fontId="5"/>
  </si>
  <si>
    <t>ボーケン生地検査</t>
    <rPh sb="4" eb="8">
      <t>キジケンサ</t>
    </rPh>
    <phoneticPr fontId="11"/>
  </si>
  <si>
    <t>JOD68</t>
    <phoneticPr fontId="11"/>
  </si>
  <si>
    <t>はぴねすくらぶ4月号⑥</t>
    <rPh sb="8" eb="10">
      <t>ガツゴウ</t>
    </rPh>
    <phoneticPr fontId="11"/>
  </si>
  <si>
    <t>JOD69</t>
    <phoneticPr fontId="11"/>
  </si>
  <si>
    <t>サクラマチ返品</t>
    <rPh sb="5" eb="7">
      <t>ヘンピン</t>
    </rPh>
    <phoneticPr fontId="2"/>
  </si>
  <si>
    <t>日生協カタロすこやかびと冊子夏号⑤</t>
    <rPh sb="0" eb="3">
      <t>ニッセイキョウ</t>
    </rPh>
    <rPh sb="12" eb="14">
      <t>サッシ</t>
    </rPh>
    <rPh sb="14" eb="16">
      <t>ナツゴウ</t>
    </rPh>
    <phoneticPr fontId="5"/>
  </si>
  <si>
    <t>日生協カタログすこやかびと冊子夏号⑥</t>
    <rPh sb="0" eb="3">
      <t>ニッセイキョウ</t>
    </rPh>
    <rPh sb="13" eb="15">
      <t>サッシ</t>
    </rPh>
    <rPh sb="15" eb="17">
      <t>ナツゴウ</t>
    </rPh>
    <phoneticPr fontId="11"/>
  </si>
  <si>
    <t>追加</t>
    <rPh sb="0" eb="2">
      <t>ツイカ</t>
    </rPh>
    <phoneticPr fontId="5"/>
  </si>
  <si>
    <t>JOD70</t>
    <phoneticPr fontId="11"/>
  </si>
  <si>
    <t>JOD㉑</t>
    <phoneticPr fontId="5"/>
  </si>
  <si>
    <t>くらし企画返品</t>
    <rPh sb="3" eb="7">
      <t>キカクヘンピン</t>
    </rPh>
    <phoneticPr fontId="2"/>
  </si>
  <si>
    <t>はぴねすくらぶ4月号⑦</t>
    <rPh sb="8" eb="10">
      <t>ガツゴウ</t>
    </rPh>
    <phoneticPr fontId="11"/>
  </si>
  <si>
    <t>JOD㉒</t>
    <phoneticPr fontId="5"/>
  </si>
  <si>
    <t>あいコープみやぎ7月5回</t>
    <rPh sb="9" eb="10">
      <t>ガツ</t>
    </rPh>
    <rPh sb="11" eb="12">
      <t>カイ</t>
    </rPh>
    <phoneticPr fontId="11"/>
  </si>
  <si>
    <t>確定発注7/23</t>
    <rPh sb="0" eb="4">
      <t>カクテイハッチュウ</t>
    </rPh>
    <phoneticPr fontId="11"/>
  </si>
  <si>
    <t>あいコープみやぎ7月5回</t>
    <rPh sb="9" eb="10">
      <t>ガツ</t>
    </rPh>
    <rPh sb="11" eb="12">
      <t>カイ</t>
    </rPh>
    <phoneticPr fontId="5"/>
  </si>
  <si>
    <t>確定発注7/23</t>
    <rPh sb="0" eb="4">
      <t>カクテイハッチュウ</t>
    </rPh>
    <phoneticPr fontId="5"/>
  </si>
  <si>
    <t>JOD㉓</t>
    <phoneticPr fontId="5"/>
  </si>
  <si>
    <t>IEI交換</t>
    <rPh sb="3" eb="5">
      <t>コウカン</t>
    </rPh>
    <phoneticPr fontId="5"/>
  </si>
  <si>
    <t>JOD71</t>
    <phoneticPr fontId="11"/>
  </si>
  <si>
    <t>JOD㉔</t>
    <phoneticPr fontId="5"/>
  </si>
  <si>
    <t>IEI交換</t>
    <rPh sb="3" eb="5">
      <t>コウカン</t>
    </rPh>
    <phoneticPr fontId="5"/>
  </si>
  <si>
    <t>JOD㉕</t>
    <phoneticPr fontId="5"/>
  </si>
  <si>
    <t>日生協カタロすこやかびと冊子夏号⑥</t>
    <rPh sb="0" eb="3">
      <t>ニッセイキョウ</t>
    </rPh>
    <rPh sb="12" eb="14">
      <t>サッシ</t>
    </rPh>
    <rPh sb="14" eb="16">
      <t>ナツゴウ</t>
    </rPh>
    <phoneticPr fontId="5"/>
  </si>
  <si>
    <t>日生協カタログすこやかびと冊子夏号⑦</t>
    <rPh sb="0" eb="3">
      <t>ニッセイキョウ</t>
    </rPh>
    <rPh sb="13" eb="15">
      <t>サッシ</t>
    </rPh>
    <rPh sb="15" eb="17">
      <t>ナツゴウ</t>
    </rPh>
    <phoneticPr fontId="11"/>
  </si>
  <si>
    <t>8/18～1/17※展開開始3週間前に計画数の30％納品</t>
    <rPh sb="10" eb="12">
      <t>テンカイ</t>
    </rPh>
    <rPh sb="12" eb="14">
      <t>カイシ</t>
    </rPh>
    <rPh sb="15" eb="18">
      <t>シュウカンマエ</t>
    </rPh>
    <rPh sb="19" eb="22">
      <t>ケイカクスウ</t>
    </rPh>
    <rPh sb="26" eb="28">
      <t>ノウヒン</t>
    </rPh>
    <phoneticPr fontId="11"/>
  </si>
  <si>
    <t>8/18～1/17※展開開始3週間前に計画数の30％納品</t>
    <phoneticPr fontId="11"/>
  </si>
  <si>
    <t>千趣会（2025WEB）⑥</t>
    <rPh sb="0" eb="3">
      <t>センシュカイ</t>
    </rPh>
    <phoneticPr fontId="11"/>
  </si>
  <si>
    <t>JOD㉖</t>
    <phoneticPr fontId="5"/>
  </si>
  <si>
    <t>はぴねすくらぶ4月号⑤</t>
    <rPh sb="8" eb="10">
      <t>ガツゴウ</t>
    </rPh>
    <phoneticPr fontId="5"/>
  </si>
  <si>
    <t>JODアクセス7010</t>
    <phoneticPr fontId="11"/>
  </si>
  <si>
    <t>7/10～</t>
    <phoneticPr fontId="11"/>
  </si>
  <si>
    <t>JOD72</t>
    <phoneticPr fontId="11"/>
  </si>
  <si>
    <t>JOD73</t>
  </si>
  <si>
    <t>はぴねすくらぶ4月号⑥</t>
    <rPh sb="8" eb="10">
      <t>ガツゴウ</t>
    </rPh>
    <phoneticPr fontId="5"/>
  </si>
  <si>
    <t>追加</t>
    <rPh sb="0" eb="2">
      <t>ツイカ</t>
    </rPh>
    <phoneticPr fontId="11"/>
  </si>
  <si>
    <t>夢販移動</t>
    <rPh sb="0" eb="4">
      <t>ユメハンイドウ</t>
    </rPh>
    <phoneticPr fontId="2"/>
  </si>
  <si>
    <t>日生協カタロすこやかびと冊子夏号⑦</t>
    <rPh sb="0" eb="3">
      <t>ニッセイキョウ</t>
    </rPh>
    <rPh sb="12" eb="14">
      <t>サッシ</t>
    </rPh>
    <rPh sb="14" eb="16">
      <t>ナツゴウ</t>
    </rPh>
    <phoneticPr fontId="5"/>
  </si>
  <si>
    <t>千趣会（2025WEB）⑦</t>
    <rPh sb="0" eb="3">
      <t>センシュカイ</t>
    </rPh>
    <phoneticPr fontId="11"/>
  </si>
  <si>
    <t>IEI使ってヨカッタ6月号①</t>
    <rPh sb="3" eb="4">
      <t>ツカ</t>
    </rPh>
    <rPh sb="11" eb="13">
      <t>ガツゴウ</t>
    </rPh>
    <phoneticPr fontId="11"/>
  </si>
  <si>
    <t>2025/5/24数伝</t>
    <rPh sb="9" eb="11">
      <t>スウデン</t>
    </rPh>
    <phoneticPr fontId="11"/>
  </si>
  <si>
    <t>JOD74</t>
    <phoneticPr fontId="11"/>
  </si>
  <si>
    <t>ハルメクアルファ②</t>
    <phoneticPr fontId="5"/>
  </si>
  <si>
    <t>ベルーナ25年夏号元気とキレイの秘訣①</t>
    <rPh sb="6" eb="7">
      <t>ネン</t>
    </rPh>
    <rPh sb="7" eb="9">
      <t>ナツゴウ</t>
    </rPh>
    <rPh sb="9" eb="11">
      <t>ゲンキ</t>
    </rPh>
    <rPh sb="16" eb="18">
      <t>ヒケツ</t>
    </rPh>
    <phoneticPr fontId="11"/>
  </si>
  <si>
    <t>ベルーナ25年夏号元気とキレイの秘訣①</t>
    <rPh sb="6" eb="7">
      <t>ネン</t>
    </rPh>
    <rPh sb="7" eb="9">
      <t>ナツゴウ</t>
    </rPh>
    <rPh sb="9" eb="11">
      <t>ゲンキ</t>
    </rPh>
    <rPh sb="16" eb="18">
      <t>ヒケツ</t>
    </rPh>
    <phoneticPr fontId="5"/>
  </si>
  <si>
    <t>JOD75</t>
    <phoneticPr fontId="11"/>
  </si>
  <si>
    <t>JOD㉗</t>
    <phoneticPr fontId="5"/>
  </si>
  <si>
    <t>9/15～3/21※展開開始3週間前に計画数の30％納品</t>
    <rPh sb="10" eb="12">
      <t>テンカイ</t>
    </rPh>
    <rPh sb="12" eb="14">
      <t>カイシ</t>
    </rPh>
    <rPh sb="15" eb="18">
      <t>シュウカンマエ</t>
    </rPh>
    <rPh sb="19" eb="22">
      <t>ケイカクスウ</t>
    </rPh>
    <rPh sb="26" eb="28">
      <t>ノウヒン</t>
    </rPh>
    <phoneticPr fontId="11"/>
  </si>
  <si>
    <t>9/15～3/21※展開開始3週間前に計画数の30％納品</t>
    <phoneticPr fontId="11"/>
  </si>
  <si>
    <t>日生協カタロすこやかびと冊子夏号⑧</t>
    <rPh sb="0" eb="3">
      <t>ニッセイキョウ</t>
    </rPh>
    <rPh sb="12" eb="14">
      <t>サッシ</t>
    </rPh>
    <rPh sb="14" eb="16">
      <t>ナツゴウ</t>
    </rPh>
    <phoneticPr fontId="5"/>
  </si>
  <si>
    <t>日生協カタログすこやかびと冊子夏号⑧</t>
    <rPh sb="0" eb="3">
      <t>ニッセイキョウ</t>
    </rPh>
    <rPh sb="13" eb="15">
      <t>サッシ</t>
    </rPh>
    <rPh sb="15" eb="17">
      <t>ナツゴウ</t>
    </rPh>
    <phoneticPr fontId="11"/>
  </si>
  <si>
    <t>C</t>
    <phoneticPr fontId="11"/>
  </si>
  <si>
    <t>千趣会（2025WEB）⑧</t>
    <rPh sb="0" eb="3">
      <t>センシュカイ</t>
    </rPh>
    <phoneticPr fontId="11"/>
  </si>
  <si>
    <t>ハルメクアルファ　②</t>
    <phoneticPr fontId="11"/>
  </si>
  <si>
    <t>ハルメクアルファ③</t>
    <phoneticPr fontId="5"/>
  </si>
  <si>
    <t>ハルメクアルファsample返却</t>
    <rPh sb="14" eb="16">
      <t>ヘンキャク</t>
    </rPh>
    <phoneticPr fontId="11"/>
  </si>
  <si>
    <t>オバタsample</t>
    <phoneticPr fontId="11"/>
  </si>
  <si>
    <t>ハルメクアルファsample返却</t>
    <rPh sb="14" eb="16">
      <t>ヘンキャク</t>
    </rPh>
    <phoneticPr fontId="5"/>
  </si>
  <si>
    <t>オバタsample</t>
    <phoneticPr fontId="5"/>
  </si>
  <si>
    <t>JOD㉘</t>
    <phoneticPr fontId="5"/>
  </si>
  <si>
    <t>はぴねすくらぶ4月号⑧</t>
    <rPh sb="8" eb="10">
      <t>ガツゴウ</t>
    </rPh>
    <phoneticPr fontId="11"/>
  </si>
  <si>
    <t>ハルメクアルファ　③</t>
    <phoneticPr fontId="11"/>
  </si>
  <si>
    <t>ハルメクアルファ④</t>
    <phoneticPr fontId="5"/>
  </si>
  <si>
    <t>JOD76</t>
    <phoneticPr fontId="11"/>
  </si>
  <si>
    <t>JOD㉙</t>
    <phoneticPr fontId="5"/>
  </si>
  <si>
    <t>IEI交換</t>
    <rPh sb="3" eb="5">
      <t>コウカン</t>
    </rPh>
    <phoneticPr fontId="5"/>
  </si>
  <si>
    <t>JOD77</t>
    <phoneticPr fontId="11"/>
  </si>
  <si>
    <t>JOD㉚</t>
    <phoneticPr fontId="5"/>
  </si>
  <si>
    <t>東都生協6月4回①</t>
    <rPh sb="0" eb="4">
      <t>トウトセイキョウ</t>
    </rPh>
    <rPh sb="5" eb="6">
      <t>ガツ</t>
    </rPh>
    <rPh sb="7" eb="8">
      <t>カイ</t>
    </rPh>
    <phoneticPr fontId="11"/>
  </si>
  <si>
    <t>東都生協6月4回①</t>
    <rPh sb="0" eb="4">
      <t>トウトセイキョウ</t>
    </rPh>
    <rPh sb="5" eb="6">
      <t>ガツ</t>
    </rPh>
    <rPh sb="7" eb="8">
      <t>カイ</t>
    </rPh>
    <phoneticPr fontId="5"/>
  </si>
  <si>
    <t>IEI使ってヨカッタ6月号②</t>
    <rPh sb="3" eb="4">
      <t>ツカ</t>
    </rPh>
    <rPh sb="11" eb="13">
      <t>ガツゴウ</t>
    </rPh>
    <phoneticPr fontId="11"/>
  </si>
  <si>
    <t>ユーコープ9月4回</t>
    <rPh sb="6" eb="7">
      <t>ガツ</t>
    </rPh>
    <rPh sb="8" eb="9">
      <t>カイ</t>
    </rPh>
    <phoneticPr fontId="11"/>
  </si>
  <si>
    <t>ユーコープ9月4回</t>
    <rPh sb="6" eb="7">
      <t>ガツ</t>
    </rPh>
    <rPh sb="8" eb="9">
      <t>カイ</t>
    </rPh>
    <phoneticPr fontId="5"/>
  </si>
  <si>
    <t>7/5ship</t>
    <phoneticPr fontId="5"/>
  </si>
  <si>
    <t>JOD78</t>
    <phoneticPr fontId="11"/>
  </si>
  <si>
    <t>JOD㉛</t>
    <phoneticPr fontId="5"/>
  </si>
  <si>
    <t>JOD返品</t>
    <rPh sb="3" eb="5">
      <t>ヘンピン</t>
    </rPh>
    <phoneticPr fontId="5"/>
  </si>
  <si>
    <t>ハルメクアルファ　④</t>
    <phoneticPr fontId="11"/>
  </si>
  <si>
    <t>JOD㉜</t>
    <phoneticPr fontId="5"/>
  </si>
  <si>
    <t>日生協カタログすこやかびと冊子夏号⑨</t>
    <rPh sb="0" eb="3">
      <t>ニッセイキョウ</t>
    </rPh>
    <rPh sb="13" eb="15">
      <t>サッシ</t>
    </rPh>
    <rPh sb="15" eb="17">
      <t>ナツゴウ</t>
    </rPh>
    <phoneticPr fontId="11"/>
  </si>
  <si>
    <t>日生協カタロすこやかびと冊子夏号⑨</t>
    <rPh sb="0" eb="3">
      <t>ニッセイキョウ</t>
    </rPh>
    <rPh sb="12" eb="14">
      <t>サッシ</t>
    </rPh>
    <rPh sb="14" eb="16">
      <t>ナツゴウ</t>
    </rPh>
    <phoneticPr fontId="5"/>
  </si>
  <si>
    <t>千趣会（2025WEB）⑨</t>
    <rPh sb="0" eb="3">
      <t>センシュカイ</t>
    </rPh>
    <phoneticPr fontId="11"/>
  </si>
  <si>
    <t>ハルメクアルファ　⑤</t>
    <phoneticPr fontId="11"/>
  </si>
  <si>
    <t>ハルメクアルファ⑤</t>
    <phoneticPr fontId="5"/>
  </si>
  <si>
    <t>JOD79</t>
  </si>
  <si>
    <t>IEI交換</t>
    <rPh sb="3" eb="5">
      <t>コウカン</t>
    </rPh>
    <phoneticPr fontId="5"/>
  </si>
  <si>
    <t>IEI使ってヨカッタ6月号③</t>
    <rPh sb="3" eb="4">
      <t>ツカ</t>
    </rPh>
    <rPh sb="11" eb="13">
      <t>ガツゴウ</t>
    </rPh>
    <phoneticPr fontId="11"/>
  </si>
  <si>
    <t>JOD80</t>
  </si>
  <si>
    <t>東都生協6月4回②</t>
    <rPh sb="0" eb="4">
      <t>トウトセイキョウ</t>
    </rPh>
    <rPh sb="5" eb="6">
      <t>ガツ</t>
    </rPh>
    <rPh sb="7" eb="8">
      <t>カイ</t>
    </rPh>
    <phoneticPr fontId="11"/>
  </si>
  <si>
    <t>IEI</t>
    <phoneticPr fontId="5"/>
  </si>
  <si>
    <t>東都生協6月4回②</t>
    <rPh sb="0" eb="4">
      <t>トウトセイキョウ</t>
    </rPh>
    <rPh sb="5" eb="6">
      <t>ガツ</t>
    </rPh>
    <rPh sb="7" eb="8">
      <t>カイ</t>
    </rPh>
    <phoneticPr fontId="5"/>
  </si>
  <si>
    <t>JODメルシー0725</t>
    <phoneticPr fontId="5"/>
  </si>
  <si>
    <t>7/25～</t>
    <phoneticPr fontId="5"/>
  </si>
  <si>
    <t>IEI提案sample返却</t>
    <rPh sb="3" eb="5">
      <t>テイアン</t>
    </rPh>
    <rPh sb="11" eb="13">
      <t>ヘンキャク</t>
    </rPh>
    <phoneticPr fontId="11"/>
  </si>
  <si>
    <t>あいコープみやぎ8月4回</t>
    <rPh sb="9" eb="10">
      <t>ガツ</t>
    </rPh>
    <rPh sb="11" eb="12">
      <t>カイ</t>
    </rPh>
    <phoneticPr fontId="11"/>
  </si>
  <si>
    <t>JOD81</t>
  </si>
  <si>
    <t>東都生協6月4回③</t>
    <rPh sb="0" eb="4">
      <t>トウトセイキョウ</t>
    </rPh>
    <rPh sb="5" eb="6">
      <t>ガツ</t>
    </rPh>
    <rPh sb="7" eb="8">
      <t>カイ</t>
    </rPh>
    <phoneticPr fontId="11"/>
  </si>
  <si>
    <t>東都生協6月4回③</t>
    <rPh sb="0" eb="4">
      <t>トウトセイキョウ</t>
    </rPh>
    <rPh sb="5" eb="6">
      <t>ガツ</t>
    </rPh>
    <rPh sb="7" eb="8">
      <t>カイ</t>
    </rPh>
    <phoneticPr fontId="5"/>
  </si>
  <si>
    <t>サクラマチ返品</t>
    <rPh sb="5" eb="7">
      <t>ヘンピン</t>
    </rPh>
    <phoneticPr fontId="11"/>
  </si>
  <si>
    <t>JOD㉝</t>
    <phoneticPr fontId="5"/>
  </si>
  <si>
    <t>追加</t>
    <rPh sb="0" eb="2">
      <t>ツイカ</t>
    </rPh>
    <phoneticPr fontId="11"/>
  </si>
  <si>
    <t>国内在庫6/20数伝</t>
    <rPh sb="0" eb="2">
      <t>コクナイ</t>
    </rPh>
    <rPh sb="2" eb="4">
      <t>ザイコ</t>
    </rPh>
    <rPh sb="8" eb="10">
      <t>スウデン</t>
    </rPh>
    <phoneticPr fontId="11"/>
  </si>
  <si>
    <t>国内在庫６/２０数伝</t>
    <rPh sb="0" eb="2">
      <t>コクナイ</t>
    </rPh>
    <rPh sb="2" eb="4">
      <t>ザイコ</t>
    </rPh>
    <rPh sb="8" eb="10">
      <t>スウデン</t>
    </rPh>
    <phoneticPr fontId="11"/>
  </si>
  <si>
    <t>12/15～5/23※展開開始3週間前に計画数の30％納品</t>
    <phoneticPr fontId="11"/>
  </si>
  <si>
    <t>JOD㉞</t>
    <phoneticPr fontId="5"/>
  </si>
  <si>
    <t>東都生協6月4回④</t>
    <rPh sb="0" eb="4">
      <t>トウトセイキョウ</t>
    </rPh>
    <rPh sb="5" eb="6">
      <t>ガツ</t>
    </rPh>
    <rPh sb="7" eb="8">
      <t>カイ</t>
    </rPh>
    <phoneticPr fontId="11"/>
  </si>
  <si>
    <t>日生協カタログすこやかびと冊子夏号⑩</t>
    <rPh sb="0" eb="3">
      <t>ニッセイキョウ</t>
    </rPh>
    <rPh sb="13" eb="15">
      <t>サッシ</t>
    </rPh>
    <rPh sb="15" eb="17">
      <t>ナツゴウ</t>
    </rPh>
    <phoneticPr fontId="11"/>
  </si>
  <si>
    <t>日生協カタロすこやかびと冊子夏号⑩</t>
    <rPh sb="0" eb="3">
      <t>ニッセイキョウ</t>
    </rPh>
    <rPh sb="12" eb="14">
      <t>サッシ</t>
    </rPh>
    <rPh sb="14" eb="16">
      <t>ナツゴウ</t>
    </rPh>
    <phoneticPr fontId="5"/>
  </si>
  <si>
    <t>追加２　 2-1</t>
    <rPh sb="0" eb="2">
      <t>ツイカ</t>
    </rPh>
    <phoneticPr fontId="2"/>
  </si>
  <si>
    <t>追加３ 2-2</t>
    <rPh sb="0" eb="2">
      <t>ツイカ</t>
    </rPh>
    <phoneticPr fontId="2"/>
  </si>
  <si>
    <t>JOD82</t>
    <phoneticPr fontId="11"/>
  </si>
  <si>
    <t>JOD㉟</t>
    <phoneticPr fontId="5"/>
  </si>
  <si>
    <t>IEI交換</t>
    <rPh sb="3" eb="5">
      <t>コウカン</t>
    </rPh>
    <phoneticPr fontId="11"/>
  </si>
  <si>
    <t>ハルメクアルファ　⑥</t>
    <phoneticPr fontId="11"/>
  </si>
  <si>
    <t>ハルメクアルファ⑥</t>
    <phoneticPr fontId="5"/>
  </si>
  <si>
    <t>ハルメクアルファ⑦</t>
    <phoneticPr fontId="5"/>
  </si>
  <si>
    <t>ハルメクアルファ　⑦</t>
    <phoneticPr fontId="11"/>
  </si>
  <si>
    <t>JOD83</t>
    <phoneticPr fontId="11"/>
  </si>
  <si>
    <t>コープ九州7月2週①</t>
    <rPh sb="3" eb="5">
      <t>キュウシュウ</t>
    </rPh>
    <rPh sb="6" eb="7">
      <t>ガツ</t>
    </rPh>
    <rPh sb="8" eb="9">
      <t>シュウ</t>
    </rPh>
    <phoneticPr fontId="5"/>
  </si>
  <si>
    <t>コープ九州7月2週①</t>
    <rPh sb="3" eb="5">
      <t>キュウシュウ</t>
    </rPh>
    <rPh sb="6" eb="7">
      <t>ガツ</t>
    </rPh>
    <rPh sb="8" eb="9">
      <t>シュウ</t>
    </rPh>
    <phoneticPr fontId="11"/>
  </si>
  <si>
    <t>JOD84</t>
    <phoneticPr fontId="11"/>
  </si>
  <si>
    <t>JOD85</t>
    <phoneticPr fontId="11"/>
  </si>
  <si>
    <t>日生協カタログすこやかびと冊子夏号⑪</t>
    <rPh sb="0" eb="3">
      <t>ニッセイキョウ</t>
    </rPh>
    <rPh sb="13" eb="15">
      <t>サッシ</t>
    </rPh>
    <rPh sb="15" eb="17">
      <t>ナツゴウ</t>
    </rPh>
    <phoneticPr fontId="11"/>
  </si>
  <si>
    <t>千趣会（2025WEB）⑩</t>
    <rPh sb="0" eb="3">
      <t>センシュカイ</t>
    </rPh>
    <phoneticPr fontId="11"/>
  </si>
  <si>
    <t>JOD86</t>
    <phoneticPr fontId="11"/>
  </si>
  <si>
    <t>追加</t>
    <rPh sb="0" eb="2">
      <t>ツイカ</t>
    </rPh>
    <phoneticPr fontId="11"/>
  </si>
  <si>
    <t>追加</t>
    <rPh sb="0" eb="2">
      <t>ツイカ</t>
    </rPh>
    <phoneticPr fontId="5"/>
  </si>
  <si>
    <t>ハルメクアルファ⑧</t>
    <phoneticPr fontId="5"/>
  </si>
  <si>
    <t>ハルメクアルファ　⑧</t>
    <phoneticPr fontId="11"/>
  </si>
  <si>
    <t>ハルメクアルファ　⑨</t>
    <phoneticPr fontId="11"/>
  </si>
  <si>
    <t>ハルメクアルファ⑨</t>
    <phoneticPr fontId="5"/>
  </si>
  <si>
    <t>追加</t>
    <rPh sb="0" eb="2">
      <t>ツイカ</t>
    </rPh>
    <phoneticPr fontId="11"/>
  </si>
  <si>
    <t>ベルーナ25年夏号元気とキレイの秘訣②</t>
    <rPh sb="6" eb="7">
      <t>ネン</t>
    </rPh>
    <rPh sb="7" eb="9">
      <t>ナツゴウ</t>
    </rPh>
    <rPh sb="9" eb="11">
      <t>ゲンキ</t>
    </rPh>
    <rPh sb="16" eb="18">
      <t>ヒケツ</t>
    </rPh>
    <phoneticPr fontId="11"/>
  </si>
  <si>
    <t>ベルーナ25年夏号元気とキレイの秘訣②</t>
    <rPh sb="6" eb="7">
      <t>ネン</t>
    </rPh>
    <rPh sb="7" eb="9">
      <t>ナツゴウ</t>
    </rPh>
    <rPh sb="9" eb="11">
      <t>ゲンキ</t>
    </rPh>
    <rPh sb="16" eb="18">
      <t>ヒケツ</t>
    </rPh>
    <phoneticPr fontId="5"/>
  </si>
  <si>
    <t>IEI交換</t>
    <rPh sb="3" eb="5">
      <t>コウカン</t>
    </rPh>
    <phoneticPr fontId="11"/>
  </si>
  <si>
    <t>JOD87</t>
    <phoneticPr fontId="11"/>
  </si>
  <si>
    <t>東北サンネット7月2回①</t>
    <rPh sb="0" eb="2">
      <t>トウホク</t>
    </rPh>
    <rPh sb="8" eb="9">
      <t>ガツ</t>
    </rPh>
    <rPh sb="10" eb="11">
      <t>カイ</t>
    </rPh>
    <phoneticPr fontId="11"/>
  </si>
  <si>
    <t>コープ九州7月2週②</t>
    <rPh sb="3" eb="5">
      <t>キュウシュウ</t>
    </rPh>
    <rPh sb="6" eb="7">
      <t>ガツ</t>
    </rPh>
    <rPh sb="8" eb="9">
      <t>シュウ</t>
    </rPh>
    <phoneticPr fontId="11"/>
  </si>
  <si>
    <t>コープ九州7月2週②</t>
    <rPh sb="3" eb="5">
      <t>キュウシュウ</t>
    </rPh>
    <rPh sb="6" eb="7">
      <t>ガツ</t>
    </rPh>
    <rPh sb="8" eb="9">
      <t>シュウ</t>
    </rPh>
    <phoneticPr fontId="5"/>
  </si>
  <si>
    <t>K-PORT</t>
    <phoneticPr fontId="11"/>
  </si>
  <si>
    <t>夢販移動</t>
    <rPh sb="0" eb="2">
      <t>ユメハン</t>
    </rPh>
    <rPh sb="2" eb="4">
      <t>イドウ</t>
    </rPh>
    <phoneticPr fontId="11"/>
  </si>
  <si>
    <t>くらしsample(きんき)返却</t>
    <rPh sb="14" eb="16">
      <t>ヘンキャク</t>
    </rPh>
    <phoneticPr fontId="5"/>
  </si>
  <si>
    <t>JOD88</t>
  </si>
  <si>
    <t>東北サンネット7月2回②</t>
    <rPh sb="0" eb="2">
      <t>トウホク</t>
    </rPh>
    <rPh sb="8" eb="9">
      <t>ガツ</t>
    </rPh>
    <rPh sb="10" eb="11">
      <t>カイ</t>
    </rPh>
    <phoneticPr fontId="11"/>
  </si>
  <si>
    <t>日生協カタロすこやかびと冊子夏号⑪</t>
    <rPh sb="0" eb="3">
      <t>ニッセイキョウ</t>
    </rPh>
    <rPh sb="12" eb="14">
      <t>サッシ</t>
    </rPh>
    <rPh sb="14" eb="16">
      <t>ナツゴウ</t>
    </rPh>
    <phoneticPr fontId="5"/>
  </si>
  <si>
    <t>日生協カタログすこやかびと冊子夏号⑫</t>
    <rPh sb="0" eb="3">
      <t>ニッセイキョウ</t>
    </rPh>
    <rPh sb="13" eb="15">
      <t>サッシ</t>
    </rPh>
    <rPh sb="15" eb="17">
      <t>ナツゴウ</t>
    </rPh>
    <phoneticPr fontId="11"/>
  </si>
  <si>
    <t>はぴねすくらぶ4月号⑨</t>
    <rPh sb="8" eb="10">
      <t>ガツゴウ</t>
    </rPh>
    <phoneticPr fontId="11"/>
  </si>
  <si>
    <t>千趣会（2025WEB）⑪</t>
    <rPh sb="0" eb="3">
      <t>センシュカイ</t>
    </rPh>
    <phoneticPr fontId="11"/>
  </si>
  <si>
    <t>あいコープみやぎ7月3回①</t>
    <rPh sb="9" eb="10">
      <t>ガツ</t>
    </rPh>
    <rPh sb="11" eb="12">
      <t>カイ</t>
    </rPh>
    <phoneticPr fontId="5"/>
  </si>
  <si>
    <t>あいコープみやぎ7月3回①</t>
    <rPh sb="9" eb="10">
      <t>ガツ</t>
    </rPh>
    <rPh sb="11" eb="12">
      <t>カイ</t>
    </rPh>
    <phoneticPr fontId="11"/>
  </si>
  <si>
    <t>JOD89</t>
  </si>
  <si>
    <t>ハルメクアルファ　⑩</t>
    <phoneticPr fontId="11"/>
  </si>
  <si>
    <t>ハルメクアルファ⑩</t>
    <phoneticPr fontId="5"/>
  </si>
  <si>
    <t>9/10～24</t>
    <phoneticPr fontId="11"/>
  </si>
  <si>
    <t>ユーコープ9月4回 差分予測</t>
    <rPh sb="6" eb="7">
      <t>ガツ</t>
    </rPh>
    <rPh sb="8" eb="9">
      <t>カイ</t>
    </rPh>
    <rPh sb="10" eb="14">
      <t>サブンヨソク</t>
    </rPh>
    <phoneticPr fontId="11"/>
  </si>
  <si>
    <t>9/10～24</t>
    <phoneticPr fontId="5"/>
  </si>
  <si>
    <t>ユーコープ9月4回 差分予測</t>
    <rPh sb="6" eb="7">
      <t>ガツ</t>
    </rPh>
    <rPh sb="8" eb="9">
      <t>カイ</t>
    </rPh>
    <rPh sb="10" eb="14">
      <t>サブンヨソク</t>
    </rPh>
    <phoneticPr fontId="5"/>
  </si>
  <si>
    <t>JOD90</t>
  </si>
  <si>
    <t>コープさっぽろ9月3回</t>
    <rPh sb="8" eb="9">
      <t>ガツ</t>
    </rPh>
    <rPh sb="10" eb="11">
      <t>カイ</t>
    </rPh>
    <phoneticPr fontId="5"/>
  </si>
  <si>
    <t>9/10、15</t>
    <phoneticPr fontId="5"/>
  </si>
  <si>
    <t>コープさっぽろ9月3回差分予測</t>
    <rPh sb="8" eb="9">
      <t>ガツ</t>
    </rPh>
    <rPh sb="10" eb="11">
      <t>カイ</t>
    </rPh>
    <rPh sb="11" eb="15">
      <t>サブンヨソク</t>
    </rPh>
    <phoneticPr fontId="5"/>
  </si>
  <si>
    <t>ハルメクアルファ⑪</t>
    <phoneticPr fontId="5"/>
  </si>
  <si>
    <t>ベルーナ25年夏号元気とキレイの秘訣③</t>
    <rPh sb="6" eb="7">
      <t>ネン</t>
    </rPh>
    <rPh sb="7" eb="9">
      <t>ナツゴウ</t>
    </rPh>
    <rPh sb="9" eb="11">
      <t>ゲンキ</t>
    </rPh>
    <rPh sb="16" eb="18">
      <t>ヒケツ</t>
    </rPh>
    <phoneticPr fontId="11"/>
  </si>
  <si>
    <t>ベルーナ25年夏号元気とキレイの秘訣③</t>
    <rPh sb="6" eb="7">
      <t>ネン</t>
    </rPh>
    <rPh sb="7" eb="9">
      <t>ナツゴウ</t>
    </rPh>
    <rPh sb="9" eb="11">
      <t>ゲンキ</t>
    </rPh>
    <rPh sb="16" eb="18">
      <t>ヒケツ</t>
    </rPh>
    <phoneticPr fontId="5"/>
  </si>
  <si>
    <t>ベルーナ25年秋号（継続）元気とキレイの秘訣</t>
    <rPh sb="6" eb="7">
      <t>ネン</t>
    </rPh>
    <rPh sb="7" eb="8">
      <t>アキ</t>
    </rPh>
    <rPh sb="8" eb="9">
      <t>ゴウ</t>
    </rPh>
    <rPh sb="10" eb="12">
      <t>ケイゾク</t>
    </rPh>
    <rPh sb="13" eb="15">
      <t>ゲンキ</t>
    </rPh>
    <rPh sb="20" eb="22">
      <t>ヒケツ</t>
    </rPh>
    <phoneticPr fontId="5"/>
  </si>
  <si>
    <t>ハルメクアルファ　⑪</t>
    <phoneticPr fontId="11"/>
  </si>
  <si>
    <t>ハルメクアルファ　⑫</t>
    <phoneticPr fontId="11"/>
  </si>
  <si>
    <t>日生協カタログすこやかびと冊子夏号⑬</t>
    <rPh sb="0" eb="3">
      <t>ニッセイキョウ</t>
    </rPh>
    <rPh sb="13" eb="15">
      <t>サッシ</t>
    </rPh>
    <rPh sb="15" eb="17">
      <t>ナツゴウ</t>
    </rPh>
    <phoneticPr fontId="11"/>
  </si>
  <si>
    <t>2025/7/12数伝</t>
    <rPh sb="9" eb="10">
      <t>スウ</t>
    </rPh>
    <rPh sb="10" eb="11">
      <t>デン</t>
    </rPh>
    <phoneticPr fontId="11"/>
  </si>
  <si>
    <t>千趣会（2025WEB）⑫</t>
    <rPh sb="0" eb="3">
      <t>センシュカイ</t>
    </rPh>
    <phoneticPr fontId="11"/>
  </si>
  <si>
    <t>JOD91</t>
    <phoneticPr fontId="5"/>
  </si>
  <si>
    <t>ベルーナ25年夏号元気とキレイの秘訣④</t>
    <rPh sb="6" eb="7">
      <t>ネン</t>
    </rPh>
    <rPh sb="7" eb="9">
      <t>ナツゴウ</t>
    </rPh>
    <rPh sb="9" eb="11">
      <t>ゲンキ</t>
    </rPh>
    <rPh sb="16" eb="18">
      <t>ヒケツ</t>
    </rPh>
    <phoneticPr fontId="11"/>
  </si>
  <si>
    <t>ベルーナ25年夏号元気とキレイの秘訣④</t>
    <rPh sb="6" eb="7">
      <t>ネン</t>
    </rPh>
    <rPh sb="7" eb="9">
      <t>ナツゴウ</t>
    </rPh>
    <rPh sb="9" eb="11">
      <t>ゲンキ</t>
    </rPh>
    <rPh sb="16" eb="18">
      <t>ヒケツ</t>
    </rPh>
    <phoneticPr fontId="5"/>
  </si>
  <si>
    <t>JOD返品</t>
    <rPh sb="3" eb="5">
      <t>ヘンピン</t>
    </rPh>
    <phoneticPr fontId="11"/>
  </si>
  <si>
    <t>JOD返品</t>
    <rPh sb="3" eb="5">
      <t>ヘンピン</t>
    </rPh>
    <phoneticPr fontId="5"/>
  </si>
  <si>
    <t>IEI交換</t>
    <rPh sb="3" eb="5">
      <t>コウカン</t>
    </rPh>
    <phoneticPr fontId="5"/>
  </si>
  <si>
    <t>追加</t>
    <rPh sb="0" eb="2">
      <t>ツイカ</t>
    </rPh>
    <phoneticPr fontId="5"/>
  </si>
  <si>
    <t>くらし企画返品</t>
  </si>
  <si>
    <t>JOD92</t>
    <phoneticPr fontId="5"/>
  </si>
  <si>
    <t>あいコープみやぎ7月5回①</t>
    <rPh sb="9" eb="10">
      <t>ガツ</t>
    </rPh>
    <rPh sb="11" eb="12">
      <t>カイ</t>
    </rPh>
    <phoneticPr fontId="11"/>
  </si>
  <si>
    <t>日生協カタログすこやかびと冊子夏号⑭</t>
    <rPh sb="0" eb="3">
      <t>ニッセイキョウ</t>
    </rPh>
    <rPh sb="13" eb="15">
      <t>サッシ</t>
    </rPh>
    <rPh sb="15" eb="17">
      <t>ナツゴウ</t>
    </rPh>
    <phoneticPr fontId="11"/>
  </si>
  <si>
    <t>日生協カタロすこやかびと冊子夏号⑫</t>
    <rPh sb="0" eb="3">
      <t>ニッセイキョウ</t>
    </rPh>
    <rPh sb="12" eb="14">
      <t>サッシ</t>
    </rPh>
    <rPh sb="14" eb="16">
      <t>ナツゴウ</t>
    </rPh>
    <phoneticPr fontId="5"/>
  </si>
  <si>
    <t>2025/7/19数伝</t>
    <rPh sb="9" eb="11">
      <t>スウデン</t>
    </rPh>
    <phoneticPr fontId="5"/>
  </si>
  <si>
    <t>2025/7/19数伝</t>
    <rPh sb="9" eb="10">
      <t>スウ</t>
    </rPh>
    <rPh sb="10" eb="11">
      <t>デン</t>
    </rPh>
    <phoneticPr fontId="11"/>
  </si>
  <si>
    <t>JOD93</t>
    <phoneticPr fontId="5"/>
  </si>
  <si>
    <t>JOD94</t>
    <phoneticPr fontId="5"/>
  </si>
  <si>
    <t>ベルーナ25年夏号元気とキレイの秘訣⑤</t>
    <rPh sb="6" eb="7">
      <t>ネン</t>
    </rPh>
    <rPh sb="7" eb="9">
      <t>ナツゴウ</t>
    </rPh>
    <rPh sb="9" eb="11">
      <t>ゲンキ</t>
    </rPh>
    <rPh sb="16" eb="18">
      <t>ヒケツ</t>
    </rPh>
    <phoneticPr fontId="11"/>
  </si>
  <si>
    <t>JOD95</t>
  </si>
  <si>
    <t>JOD96</t>
    <phoneticPr fontId="5"/>
  </si>
  <si>
    <t>日生協カタロすこやかびと冊子夏号⑬</t>
    <rPh sb="0" eb="3">
      <t>ニッセイキョウ</t>
    </rPh>
    <rPh sb="12" eb="14">
      <t>サッシ</t>
    </rPh>
    <rPh sb="14" eb="16">
      <t>ナツゴウ</t>
    </rPh>
    <phoneticPr fontId="5"/>
  </si>
  <si>
    <t>日生協カタログすこやかびと冊子夏号⑮</t>
    <rPh sb="0" eb="3">
      <t>ニッセイキョウ</t>
    </rPh>
    <rPh sb="13" eb="15">
      <t>サッシ</t>
    </rPh>
    <rPh sb="15" eb="17">
      <t>ナツゴウ</t>
    </rPh>
    <phoneticPr fontId="11"/>
  </si>
  <si>
    <t>コープ九州11月1週</t>
    <rPh sb="3" eb="5">
      <t>キュウシュウ</t>
    </rPh>
    <rPh sb="7" eb="8">
      <t>ガツ</t>
    </rPh>
    <rPh sb="9" eb="10">
      <t>シュウ</t>
    </rPh>
    <phoneticPr fontId="5"/>
  </si>
  <si>
    <t>コープ九州11月1週　差分予測</t>
    <rPh sb="3" eb="5">
      <t>キュウシュウ</t>
    </rPh>
    <rPh sb="7" eb="8">
      <t>ガツ</t>
    </rPh>
    <rPh sb="9" eb="10">
      <t>シュウ</t>
    </rPh>
    <rPh sb="11" eb="15">
      <t>サブンヨソク</t>
    </rPh>
    <phoneticPr fontId="5"/>
  </si>
  <si>
    <t>10/22～11/5</t>
    <phoneticPr fontId="5"/>
  </si>
  <si>
    <t>ベルーナ25年夏号元気とキレイの秘訣⑥</t>
    <rPh sb="6" eb="7">
      <t>ネン</t>
    </rPh>
    <rPh sb="7" eb="9">
      <t>ナツゴウ</t>
    </rPh>
    <rPh sb="9" eb="11">
      <t>ゲンキ</t>
    </rPh>
    <rPh sb="16" eb="18">
      <t>ヒケツ</t>
    </rPh>
    <phoneticPr fontId="11"/>
  </si>
  <si>
    <t>ベルーナ25年夏号元気とキレイの秘訣⑤</t>
    <rPh sb="6" eb="7">
      <t>ネン</t>
    </rPh>
    <rPh sb="7" eb="9">
      <t>ナツゴウ</t>
    </rPh>
    <rPh sb="9" eb="11">
      <t>ゲンキ</t>
    </rPh>
    <rPh sb="16" eb="18">
      <t>ヒケツ</t>
    </rPh>
    <phoneticPr fontId="5"/>
  </si>
  <si>
    <t>2025/7/30数伝</t>
    <rPh sb="9" eb="11">
      <t>スウデン</t>
    </rPh>
    <phoneticPr fontId="11"/>
  </si>
  <si>
    <t>2025/7/30数伝</t>
    <rPh sb="9" eb="11">
      <t>スウデン</t>
    </rPh>
    <phoneticPr fontId="5"/>
  </si>
  <si>
    <t>追加</t>
    <rPh sb="0" eb="2">
      <t>ツイカ</t>
    </rPh>
    <phoneticPr fontId="11"/>
  </si>
  <si>
    <t>なごみ10月号DM</t>
    <rPh sb="5" eb="7">
      <t>ガツゴウ</t>
    </rPh>
    <phoneticPr fontId="5"/>
  </si>
  <si>
    <t>9/20～12/10</t>
    <phoneticPr fontId="5"/>
  </si>
  <si>
    <t>なごみ10月号DM①</t>
    <rPh sb="5" eb="7">
      <t>ガツゴウ</t>
    </rPh>
    <phoneticPr fontId="5"/>
  </si>
  <si>
    <t>なごみ検品用sample</t>
    <rPh sb="3" eb="6">
      <t>ケンピンヨウ</t>
    </rPh>
    <phoneticPr fontId="5"/>
  </si>
  <si>
    <t>JODプリマナ7280</t>
    <phoneticPr fontId="5"/>
  </si>
  <si>
    <t>9/8～</t>
    <phoneticPr fontId="5"/>
  </si>
  <si>
    <t>日生協カタロすこやかびと冊子夏号⑭</t>
    <rPh sb="0" eb="3">
      <t>ニッセイキョウ</t>
    </rPh>
    <rPh sb="12" eb="14">
      <t>サッシ</t>
    </rPh>
    <rPh sb="14" eb="16">
      <t>ナツゴウ</t>
    </rPh>
    <phoneticPr fontId="5"/>
  </si>
  <si>
    <t>日生協カタログすこやかびと冊子夏号⑯</t>
    <rPh sb="0" eb="3">
      <t>ニッセイキョウ</t>
    </rPh>
    <rPh sb="13" eb="15">
      <t>サッシ</t>
    </rPh>
    <rPh sb="15" eb="17">
      <t>ナツゴウ</t>
    </rPh>
    <phoneticPr fontId="11"/>
  </si>
  <si>
    <t>あいコープみやぎ8月4回</t>
    <rPh sb="9" eb="10">
      <t>ガツ</t>
    </rPh>
    <rPh sb="11" eb="12">
      <t>カイ</t>
    </rPh>
    <phoneticPr fontId="5"/>
  </si>
  <si>
    <t>確定発注8/20</t>
    <rPh sb="0" eb="4">
      <t>カクテイハッチュウ</t>
    </rPh>
    <phoneticPr fontId="5"/>
  </si>
  <si>
    <t>JOD97</t>
    <phoneticPr fontId="5"/>
  </si>
  <si>
    <t>ハルメクアルファ⑫</t>
    <phoneticPr fontId="5"/>
  </si>
  <si>
    <t>IEI交換</t>
    <rPh sb="3" eb="5">
      <t>コウカン</t>
    </rPh>
    <phoneticPr fontId="5"/>
  </si>
  <si>
    <t>JOD98</t>
    <phoneticPr fontId="5"/>
  </si>
  <si>
    <t>ベルーナ25年夏号元気とキレイの秘訣⑥</t>
    <rPh sb="6" eb="7">
      <t>ネン</t>
    </rPh>
    <rPh sb="7" eb="9">
      <t>ナツゴウ</t>
    </rPh>
    <rPh sb="9" eb="11">
      <t>ゲンキ</t>
    </rPh>
    <rPh sb="16" eb="18">
      <t>ヒケツ</t>
    </rPh>
    <phoneticPr fontId="5"/>
  </si>
  <si>
    <t>ベルーナ25年夏号元気とキレイの秘訣⑦</t>
    <rPh sb="6" eb="7">
      <t>ネン</t>
    </rPh>
    <rPh sb="7" eb="9">
      <t>ナツゴウ</t>
    </rPh>
    <rPh sb="9" eb="11">
      <t>ゲンキ</t>
    </rPh>
    <rPh sb="16" eb="18">
      <t>ヒケツ</t>
    </rPh>
    <phoneticPr fontId="11"/>
  </si>
  <si>
    <t>ハルメクアルファ　⑬</t>
    <phoneticPr fontId="11"/>
  </si>
  <si>
    <t>過不足分</t>
    <rPh sb="0" eb="3">
      <t>カブソク</t>
    </rPh>
    <rPh sb="3" eb="4">
      <t>ブン</t>
    </rPh>
    <phoneticPr fontId="2"/>
  </si>
  <si>
    <t>JOD99</t>
    <phoneticPr fontId="5"/>
  </si>
  <si>
    <t>IEI交換</t>
    <rPh sb="3" eb="5">
      <t>コウカン</t>
    </rPh>
    <phoneticPr fontId="11"/>
  </si>
  <si>
    <t>JODメルシー0912</t>
    <phoneticPr fontId="5"/>
  </si>
  <si>
    <t>9/12～</t>
    <phoneticPr fontId="5"/>
  </si>
  <si>
    <t>JOD返品</t>
    <rPh sb="3" eb="5">
      <t>ヘンピン</t>
    </rPh>
    <phoneticPr fontId="5"/>
  </si>
  <si>
    <t>在庫確認</t>
    <rPh sb="0" eb="4">
      <t>ザイコカクニン</t>
    </rPh>
    <phoneticPr fontId="5"/>
  </si>
  <si>
    <t>在庫確認</t>
    <rPh sb="0" eb="4">
      <t>ザイコカクニン</t>
    </rPh>
    <phoneticPr fontId="2"/>
  </si>
  <si>
    <t>JOD100</t>
    <phoneticPr fontId="5"/>
  </si>
  <si>
    <t>IEI</t>
    <phoneticPr fontId="5"/>
  </si>
  <si>
    <t>日生協カタログ25秋住まいの快適物語冊子①</t>
    <rPh sb="0" eb="3">
      <t>ニッセイキョウ</t>
    </rPh>
    <rPh sb="10" eb="11">
      <t>ス</t>
    </rPh>
    <rPh sb="14" eb="16">
      <t>カイテキ</t>
    </rPh>
    <rPh sb="16" eb="18">
      <t>モノガタリ</t>
    </rPh>
    <rPh sb="18" eb="20">
      <t>サッシ</t>
    </rPh>
    <phoneticPr fontId="11"/>
  </si>
  <si>
    <t>JOD101</t>
    <phoneticPr fontId="5"/>
  </si>
  <si>
    <t>ハルメクアルファ　⑭</t>
    <phoneticPr fontId="11"/>
  </si>
  <si>
    <t>ハルメクアルファ⑬</t>
    <phoneticPr fontId="5"/>
  </si>
  <si>
    <t>追加</t>
    <rPh sb="0" eb="2">
      <t>ツイカ</t>
    </rPh>
    <phoneticPr fontId="5"/>
  </si>
  <si>
    <t>JOD102</t>
    <phoneticPr fontId="5"/>
  </si>
  <si>
    <t>JOD103</t>
    <phoneticPr fontId="5"/>
  </si>
  <si>
    <t>JOD104</t>
  </si>
  <si>
    <t>ハルメクアルファ⑭</t>
    <phoneticPr fontId="5"/>
  </si>
  <si>
    <t>ベルーナ返品</t>
    <rPh sb="4" eb="6">
      <t>ヘンピン</t>
    </rPh>
    <phoneticPr fontId="11"/>
  </si>
  <si>
    <t>IEI</t>
    <phoneticPr fontId="11"/>
  </si>
  <si>
    <t>JOD105</t>
  </si>
  <si>
    <t>日生協カタログ25秋住まいの快適物語冊子②</t>
    <rPh sb="0" eb="3">
      <t>ニッセイキョウ</t>
    </rPh>
    <rPh sb="10" eb="11">
      <t>ス</t>
    </rPh>
    <rPh sb="14" eb="16">
      <t>カイテキ</t>
    </rPh>
    <rPh sb="16" eb="18">
      <t>モノガタリ</t>
    </rPh>
    <rPh sb="18" eb="20">
      <t>サッシ</t>
    </rPh>
    <phoneticPr fontId="11"/>
  </si>
  <si>
    <t>JOD106</t>
    <phoneticPr fontId="5"/>
  </si>
  <si>
    <t>JOD88</t>
    <phoneticPr fontId="11"/>
  </si>
  <si>
    <t>実績構成比</t>
    <phoneticPr fontId="11"/>
  </si>
  <si>
    <t>日生協カタログ25秋住まいの快適物語差分予測</t>
    <rPh sb="0" eb="3">
      <t>ニッセイキョウ</t>
    </rPh>
    <rPh sb="10" eb="11">
      <t>ス</t>
    </rPh>
    <rPh sb="14" eb="16">
      <t>カイテキ</t>
    </rPh>
    <rPh sb="16" eb="18">
      <t>モノガタリ</t>
    </rPh>
    <rPh sb="18" eb="22">
      <t>サブンヨソク</t>
    </rPh>
    <phoneticPr fontId="11"/>
  </si>
  <si>
    <t>日生協カタログ25冬すこやかびと差分予測</t>
    <rPh sb="0" eb="3">
      <t>ニッセイキョウ</t>
    </rPh>
    <rPh sb="9" eb="10">
      <t>フユ</t>
    </rPh>
    <rPh sb="16" eb="20">
      <t>サブンヨソク</t>
    </rPh>
    <phoneticPr fontId="11"/>
  </si>
  <si>
    <t>くらし企画（きんき）sample</t>
    <rPh sb="3" eb="5">
      <t>キカク</t>
    </rPh>
    <phoneticPr fontId="11"/>
  </si>
  <si>
    <t>JOD89</t>
    <phoneticPr fontId="11"/>
  </si>
  <si>
    <t>日生協カタログ25秋住まいの快適物語冊子①</t>
  </si>
  <si>
    <t>JOD107</t>
  </si>
  <si>
    <t>日生協カタログ25秋住まいの快適物語冊子③</t>
    <rPh sb="0" eb="3">
      <t>ニッセイキョウ</t>
    </rPh>
    <rPh sb="10" eb="11">
      <t>ス</t>
    </rPh>
    <rPh sb="14" eb="16">
      <t>カイテキ</t>
    </rPh>
    <rPh sb="16" eb="18">
      <t>モノガタリ</t>
    </rPh>
    <rPh sb="18" eb="20">
      <t>サッシ</t>
    </rPh>
    <phoneticPr fontId="11"/>
  </si>
  <si>
    <t>追加</t>
  </si>
  <si>
    <t>JODメルシー1008</t>
    <phoneticPr fontId="11"/>
  </si>
  <si>
    <t>10/8～</t>
    <phoneticPr fontId="11"/>
  </si>
  <si>
    <t>追加</t>
    <rPh sb="0" eb="2">
      <t>ツイカ</t>
    </rPh>
    <phoneticPr fontId="11"/>
  </si>
  <si>
    <t>2025/9/1数伝</t>
    <rPh sb="8" eb="10">
      <t>スウデン</t>
    </rPh>
    <phoneticPr fontId="5"/>
  </si>
  <si>
    <t>JOD108</t>
    <phoneticPr fontId="5"/>
  </si>
  <si>
    <t>ベルーナ25年夏号元気とキレイの秘訣⑦</t>
    <rPh sb="6" eb="7">
      <t>ネン</t>
    </rPh>
    <rPh sb="7" eb="9">
      <t>ナツゴウ</t>
    </rPh>
    <rPh sb="9" eb="11">
      <t>ゲンキ</t>
    </rPh>
    <rPh sb="16" eb="18">
      <t>ヒケツ</t>
    </rPh>
    <phoneticPr fontId="5"/>
  </si>
  <si>
    <t>JOD109</t>
    <phoneticPr fontId="5"/>
  </si>
  <si>
    <t>JOD110</t>
    <phoneticPr fontId="5"/>
  </si>
  <si>
    <t>２０２４年～２０２５年８月末　実績数</t>
    <rPh sb="4" eb="5">
      <t>ネン</t>
    </rPh>
    <rPh sb="10" eb="11">
      <t>ネン</t>
    </rPh>
    <rPh sb="12" eb="13">
      <t>ガツ</t>
    </rPh>
    <rPh sb="13" eb="14">
      <t>マツ</t>
    </rPh>
    <rPh sb="15" eb="18">
      <t>ジッセキスウ</t>
    </rPh>
    <phoneticPr fontId="5"/>
  </si>
  <si>
    <t>追加１　2-2</t>
    <rPh sb="0" eb="2">
      <t>ツイカ</t>
    </rPh>
    <phoneticPr fontId="2"/>
  </si>
  <si>
    <t>KPORT</t>
    <phoneticPr fontId="11"/>
  </si>
  <si>
    <t>夢販移動</t>
    <rPh sb="0" eb="4">
      <t>ユメハンイドウ</t>
    </rPh>
    <phoneticPr fontId="11"/>
  </si>
  <si>
    <t>KPORT</t>
    <phoneticPr fontId="5"/>
  </si>
  <si>
    <t>夢販移動</t>
    <rPh sb="0" eb="4">
      <t>ユメハンイドウ</t>
    </rPh>
    <phoneticPr fontId="5"/>
  </si>
  <si>
    <t>JOD111</t>
    <phoneticPr fontId="5"/>
  </si>
  <si>
    <t>日生協カタログ25冬すこやかびと①</t>
    <rPh sb="0" eb="3">
      <t>ニッセイキョウ</t>
    </rPh>
    <rPh sb="9" eb="10">
      <t>フユ</t>
    </rPh>
    <phoneticPr fontId="11"/>
  </si>
  <si>
    <t>ハルメクアルファ　⑮</t>
    <phoneticPr fontId="11"/>
  </si>
  <si>
    <t>ハルメクアルファ⑮</t>
    <phoneticPr fontId="5"/>
  </si>
  <si>
    <t>コープCS差分予測</t>
    <rPh sb="5" eb="9">
      <t>サブンヨソク</t>
    </rPh>
    <phoneticPr fontId="11"/>
  </si>
  <si>
    <t>JOD112</t>
    <phoneticPr fontId="5"/>
  </si>
  <si>
    <t>2025/9/9数伝</t>
    <rPh sb="8" eb="10">
      <t>スウデン</t>
    </rPh>
    <phoneticPr fontId="11"/>
  </si>
  <si>
    <t>コープさっぽろ9月3回①</t>
    <rPh sb="8" eb="9">
      <t>ガツ</t>
    </rPh>
    <rPh sb="10" eb="11">
      <t>カイ</t>
    </rPh>
    <phoneticPr fontId="5"/>
  </si>
  <si>
    <t>JOD90</t>
    <phoneticPr fontId="11"/>
  </si>
  <si>
    <t>ベルーナ25年夏号元気とキレイの秘訣⑧</t>
    <rPh sb="6" eb="7">
      <t>ネン</t>
    </rPh>
    <rPh sb="7" eb="9">
      <t>ナツゴウ</t>
    </rPh>
    <rPh sb="9" eb="11">
      <t>ゲンキ</t>
    </rPh>
    <rPh sb="16" eb="18">
      <t>ヒケツ</t>
    </rPh>
    <phoneticPr fontId="11"/>
  </si>
  <si>
    <t>JOD返品</t>
    <rPh sb="3" eb="5">
      <t>ヘンピン</t>
    </rPh>
    <phoneticPr fontId="11"/>
  </si>
  <si>
    <t>11/19～</t>
    <phoneticPr fontId="11"/>
  </si>
  <si>
    <t>11/19～</t>
    <phoneticPr fontId="5"/>
  </si>
  <si>
    <t>JOD91</t>
    <phoneticPr fontId="11"/>
  </si>
  <si>
    <t>JOD113</t>
    <phoneticPr fontId="5"/>
  </si>
  <si>
    <t>コープさっぽろ9月3回②</t>
    <rPh sb="8" eb="9">
      <t>ガツ</t>
    </rPh>
    <rPh sb="10" eb="11">
      <t>カイ</t>
    </rPh>
    <phoneticPr fontId="5"/>
  </si>
  <si>
    <t>ハルメクアルファ⑯</t>
    <phoneticPr fontId="5"/>
  </si>
  <si>
    <t>JOD返品</t>
    <rPh sb="3" eb="5">
      <t>ヘンピン</t>
    </rPh>
    <phoneticPr fontId="5"/>
  </si>
  <si>
    <t>JOD114</t>
    <phoneticPr fontId="5"/>
  </si>
  <si>
    <t>コープさっぽろ9月3回③</t>
    <rPh sb="8" eb="9">
      <t>ガツ</t>
    </rPh>
    <rPh sb="10" eb="11">
      <t>カイ</t>
    </rPh>
    <phoneticPr fontId="5"/>
  </si>
  <si>
    <t>日生協カタログ25冬すこやかびと②</t>
    <rPh sb="0" eb="3">
      <t>ニッセイキョウ</t>
    </rPh>
    <rPh sb="9" eb="10">
      <t>フユ</t>
    </rPh>
    <phoneticPr fontId="11"/>
  </si>
  <si>
    <t>コープきんき1月1回</t>
    <rPh sb="7" eb="8">
      <t>ガツ</t>
    </rPh>
    <rPh sb="9" eb="10">
      <t>カイ</t>
    </rPh>
    <phoneticPr fontId="11"/>
  </si>
  <si>
    <t>サクラマチ返品</t>
    <rPh sb="5" eb="7">
      <t>ヘンピン</t>
    </rPh>
    <phoneticPr fontId="5"/>
  </si>
  <si>
    <t>サクラマチ返品</t>
    <rPh sb="5" eb="7">
      <t>ヘンピン</t>
    </rPh>
    <phoneticPr fontId="11"/>
  </si>
  <si>
    <t>コープCS 1月3回</t>
    <rPh sb="7" eb="8">
      <t>ガツ</t>
    </rPh>
    <rPh sb="9" eb="10">
      <t>カイ</t>
    </rPh>
    <phoneticPr fontId="11"/>
  </si>
  <si>
    <t>コープきんき1月1回差分予測</t>
    <rPh sb="7" eb="8">
      <t>ガツ</t>
    </rPh>
    <rPh sb="9" eb="10">
      <t>カイ</t>
    </rPh>
    <rPh sb="10" eb="14">
      <t>サブンヨソク</t>
    </rPh>
    <phoneticPr fontId="11"/>
  </si>
  <si>
    <t>日生協カタログ26夏すこやかびと差分予測</t>
    <rPh sb="0" eb="3">
      <t>ニッセイキョウ</t>
    </rPh>
    <rPh sb="9" eb="10">
      <t>ナツ</t>
    </rPh>
    <rPh sb="16" eb="20">
      <t>サブンヨソク</t>
    </rPh>
    <phoneticPr fontId="11"/>
  </si>
  <si>
    <t>日生協カタログ26春すこやかびと差分予測</t>
    <rPh sb="0" eb="3">
      <t>ニッセイキョウ</t>
    </rPh>
    <rPh sb="9" eb="10">
      <t>ハル</t>
    </rPh>
    <rPh sb="16" eb="20">
      <t>サブンヨソク</t>
    </rPh>
    <phoneticPr fontId="11"/>
  </si>
  <si>
    <t>ベルーナ25年秋号（継続）差分予測</t>
    <rPh sb="6" eb="7">
      <t>ネン</t>
    </rPh>
    <rPh sb="7" eb="8">
      <t>アキ</t>
    </rPh>
    <rPh sb="8" eb="9">
      <t>ゴウ</t>
    </rPh>
    <rPh sb="10" eb="12">
      <t>ケイゾク</t>
    </rPh>
    <rPh sb="13" eb="17">
      <t>サブンヨソク</t>
    </rPh>
    <phoneticPr fontId="5"/>
  </si>
  <si>
    <t>JOD92</t>
    <phoneticPr fontId="11"/>
  </si>
  <si>
    <t>ユーコープ9月4回①</t>
    <rPh sb="6" eb="7">
      <t>ガツ</t>
    </rPh>
    <rPh sb="8" eb="9">
      <t>カイ</t>
    </rPh>
    <phoneticPr fontId="11"/>
  </si>
  <si>
    <t>IEI</t>
    <phoneticPr fontId="11"/>
  </si>
  <si>
    <t>JOD115</t>
    <phoneticPr fontId="5"/>
  </si>
  <si>
    <t>ユーコープ9月4回②</t>
    <rPh sb="6" eb="7">
      <t>ガツ</t>
    </rPh>
    <rPh sb="8" eb="9">
      <t>カイ</t>
    </rPh>
    <phoneticPr fontId="11"/>
  </si>
  <si>
    <t>ユーコープ9月4回①</t>
    <rPh sb="6" eb="7">
      <t>ガツ</t>
    </rPh>
    <rPh sb="8" eb="9">
      <t>カイ</t>
    </rPh>
    <phoneticPr fontId="5"/>
  </si>
  <si>
    <t>JOD116</t>
  </si>
  <si>
    <t>ユーコープ9月4回③</t>
    <rPh sb="6" eb="7">
      <t>ガツ</t>
    </rPh>
    <rPh sb="8" eb="9">
      <t>カイ</t>
    </rPh>
    <phoneticPr fontId="11"/>
  </si>
  <si>
    <t>ハルメクアルファ⑰</t>
    <phoneticPr fontId="5"/>
  </si>
  <si>
    <t>JOD117</t>
    <phoneticPr fontId="5"/>
  </si>
  <si>
    <t>日生協カタログ25冬すこやかびと③</t>
    <rPh sb="0" eb="3">
      <t>ニッセイキョウ</t>
    </rPh>
    <rPh sb="9" eb="10">
      <t>フユ</t>
    </rPh>
    <phoneticPr fontId="11"/>
  </si>
  <si>
    <t>日生協カタログすこやかびと冊子26夏号</t>
    <rPh sb="0" eb="3">
      <t>ニッセイキョウ</t>
    </rPh>
    <rPh sb="13" eb="15">
      <t>サッシ</t>
    </rPh>
    <rPh sb="17" eb="19">
      <t>ナツゴウ</t>
    </rPh>
    <phoneticPr fontId="11"/>
  </si>
  <si>
    <t>2026/3/30～9/12（展開開始3週間前に計画数の30％納品）</t>
    <rPh sb="15" eb="19">
      <t>テンカイカイシ</t>
    </rPh>
    <rPh sb="20" eb="23">
      <t>シュウカンマエ</t>
    </rPh>
    <rPh sb="24" eb="27">
      <t>ケイカクスウ</t>
    </rPh>
    <rPh sb="31" eb="33">
      <t>ノウヒン</t>
    </rPh>
    <phoneticPr fontId="5"/>
  </si>
  <si>
    <t>はぴねすくらぶ12月号</t>
    <rPh sb="9" eb="11">
      <t>ガツゴウ</t>
    </rPh>
    <phoneticPr fontId="5"/>
  </si>
  <si>
    <t>12/1～</t>
    <phoneticPr fontId="5"/>
  </si>
  <si>
    <t>はぴねすくらぶ12月号</t>
    <rPh sb="9" eb="11">
      <t>ガツゴウ</t>
    </rPh>
    <phoneticPr fontId="11"/>
  </si>
  <si>
    <t>12/1～</t>
    <phoneticPr fontId="11"/>
  </si>
  <si>
    <t>夢販</t>
    <rPh sb="0" eb="2">
      <t>ユメハン</t>
    </rPh>
    <phoneticPr fontId="5"/>
  </si>
  <si>
    <t>夢販</t>
    <rPh sb="0" eb="2">
      <t>ユメハン</t>
    </rPh>
    <phoneticPr fontId="11"/>
  </si>
  <si>
    <t>JOD93</t>
    <phoneticPr fontId="11"/>
  </si>
  <si>
    <t>JOD118</t>
    <phoneticPr fontId="5"/>
  </si>
  <si>
    <t>なごみ10月号DM②</t>
    <rPh sb="5" eb="7">
      <t>ガツゴウ</t>
    </rPh>
    <phoneticPr fontId="5"/>
  </si>
  <si>
    <t>JOD119</t>
    <phoneticPr fontId="5"/>
  </si>
  <si>
    <t>日生協カタログ25冬すこやかびと④</t>
    <rPh sb="0" eb="3">
      <t>ニッセイキョウ</t>
    </rPh>
    <rPh sb="9" eb="10">
      <t>フユ</t>
    </rPh>
    <phoneticPr fontId="11"/>
  </si>
  <si>
    <t>はぴねすくらぶ12月号差分予測</t>
    <rPh sb="9" eb="11">
      <t>ガツゴウ</t>
    </rPh>
    <rPh sb="11" eb="15">
      <t>サブンヨソク</t>
    </rPh>
    <phoneticPr fontId="11"/>
  </si>
  <si>
    <t>JOD120</t>
  </si>
  <si>
    <t>夢販</t>
    <rPh sb="0" eb="2">
      <t>ユメハン</t>
    </rPh>
    <phoneticPr fontId="5"/>
  </si>
  <si>
    <t>なごみ10月号DM③</t>
    <rPh sb="5" eb="7">
      <t>ガツゴウ</t>
    </rPh>
    <phoneticPr fontId="5"/>
  </si>
  <si>
    <t>IEI</t>
    <phoneticPr fontId="11"/>
  </si>
  <si>
    <t>JOD121</t>
    <phoneticPr fontId="5"/>
  </si>
  <si>
    <t>ネット交換</t>
    <rPh sb="3" eb="5">
      <t>コウカン</t>
    </rPh>
    <phoneticPr fontId="5"/>
  </si>
  <si>
    <t>JOD122</t>
    <phoneticPr fontId="5"/>
  </si>
  <si>
    <t>JOD123</t>
    <phoneticPr fontId="5"/>
  </si>
  <si>
    <t>グリーンコープ12月40号</t>
    <rPh sb="9" eb="10">
      <t>ガツ</t>
    </rPh>
    <rPh sb="12" eb="13">
      <t>ゴウ</t>
    </rPh>
    <phoneticPr fontId="11"/>
  </si>
  <si>
    <t>グリーンコープ12月４０号 差分予測</t>
    <rPh sb="9" eb="10">
      <t>ガツ</t>
    </rPh>
    <rPh sb="12" eb="13">
      <t>ゴウ</t>
    </rPh>
    <rPh sb="14" eb="18">
      <t>サブンヨソク</t>
    </rPh>
    <phoneticPr fontId="11"/>
  </si>
  <si>
    <t>グリーンコープ12月４０号</t>
    <rPh sb="9" eb="10">
      <t>ガツ</t>
    </rPh>
    <rPh sb="12" eb="13">
      <t>ゴウ</t>
    </rPh>
    <phoneticPr fontId="5"/>
  </si>
  <si>
    <t>グリーンコープ12月４０号差分予測</t>
    <rPh sb="9" eb="10">
      <t>ガツ</t>
    </rPh>
    <rPh sb="12" eb="13">
      <t>ゴウ</t>
    </rPh>
    <rPh sb="13" eb="17">
      <t>サブンヨソク</t>
    </rPh>
    <phoneticPr fontId="5"/>
  </si>
  <si>
    <t>JOD124</t>
    <phoneticPr fontId="5"/>
  </si>
  <si>
    <t>日生協カタログ25冬すこやかびと⑤</t>
    <rPh sb="0" eb="3">
      <t>ニッセイキョウ</t>
    </rPh>
    <rPh sb="9" eb="10">
      <t>フユ</t>
    </rPh>
    <phoneticPr fontId="11"/>
  </si>
  <si>
    <t>追加</t>
    <rPh sb="0" eb="2">
      <t>ツイカ</t>
    </rPh>
    <phoneticPr fontId="5"/>
  </si>
  <si>
    <t>追加</t>
    <rPh sb="0" eb="2">
      <t>ツイカ</t>
    </rPh>
    <phoneticPr fontId="5"/>
  </si>
  <si>
    <t>JOD125</t>
    <phoneticPr fontId="5"/>
  </si>
  <si>
    <t>ネット</t>
    <phoneticPr fontId="5"/>
  </si>
  <si>
    <t>JOD126</t>
    <phoneticPr fontId="5"/>
  </si>
  <si>
    <t>JOD</t>
    <phoneticPr fontId="11"/>
  </si>
  <si>
    <t>夢販</t>
    <rPh sb="0" eb="2">
      <t>ユメハン</t>
    </rPh>
    <phoneticPr fontId="11"/>
  </si>
  <si>
    <t>JOD127</t>
    <phoneticPr fontId="5"/>
  </si>
  <si>
    <t>追加</t>
    <rPh sb="0" eb="2">
      <t>ツイカ</t>
    </rPh>
    <phoneticPr fontId="11"/>
  </si>
  <si>
    <t>JOD128</t>
  </si>
  <si>
    <t>日生協カタログ25冬すこやかびと⑥</t>
    <rPh sb="0" eb="3">
      <t>ニッセイキョウ</t>
    </rPh>
    <rPh sb="9" eb="10">
      <t>フユ</t>
    </rPh>
    <phoneticPr fontId="11"/>
  </si>
  <si>
    <t>はぴねす返品</t>
    <rPh sb="4" eb="6">
      <t>ヘンピン</t>
    </rPh>
    <phoneticPr fontId="2"/>
  </si>
  <si>
    <t>はぴねす返品</t>
    <rPh sb="4" eb="6">
      <t>ヘンピン</t>
    </rPh>
    <phoneticPr fontId="11"/>
  </si>
  <si>
    <t>JOD129</t>
  </si>
  <si>
    <t>追加</t>
    <rPh sb="0" eb="2">
      <t>ツイカ</t>
    </rPh>
    <phoneticPr fontId="11"/>
  </si>
  <si>
    <t>くらし返品</t>
    <rPh sb="3" eb="5">
      <t>ヘンピン</t>
    </rPh>
    <phoneticPr fontId="11"/>
  </si>
  <si>
    <t>ハルメクアルファ　⑯</t>
    <phoneticPr fontId="11"/>
  </si>
  <si>
    <t>サクラマチ返品</t>
    <rPh sb="5" eb="7">
      <t>ヘンピン</t>
    </rPh>
    <phoneticPr fontId="11"/>
  </si>
  <si>
    <t>JOD特別号9546</t>
    <rPh sb="3" eb="6">
      <t>トクベツゴウ</t>
    </rPh>
    <phoneticPr fontId="5"/>
  </si>
  <si>
    <t>11/20～</t>
    <phoneticPr fontId="5"/>
  </si>
  <si>
    <t>ネット返品</t>
    <rPh sb="3" eb="5">
      <t>ヘンピン</t>
    </rPh>
    <phoneticPr fontId="11"/>
  </si>
  <si>
    <t>はぴねすくらぶsample返却</t>
    <rPh sb="13" eb="15">
      <t>ヘンキャク</t>
    </rPh>
    <phoneticPr fontId="11"/>
  </si>
  <si>
    <t>JOD130</t>
    <phoneticPr fontId="5"/>
  </si>
  <si>
    <t>コープCS　1月3回差分予測</t>
    <rPh sb="7" eb="8">
      <t>ガツ</t>
    </rPh>
    <rPh sb="9" eb="10">
      <t>カイ</t>
    </rPh>
    <rPh sb="10" eb="14">
      <t>サブンヨソク</t>
    </rPh>
    <phoneticPr fontId="11"/>
  </si>
  <si>
    <t>2025/10/20数伝</t>
    <rPh sb="10" eb="12">
      <t>スウデン</t>
    </rPh>
    <phoneticPr fontId="11"/>
  </si>
  <si>
    <t>日生協カタログ25冬すこやかびと⑦</t>
    <rPh sb="0" eb="3">
      <t>ニッセイキョウ</t>
    </rPh>
    <rPh sb="9" eb="10">
      <t>フユ</t>
    </rPh>
    <phoneticPr fontId="11"/>
  </si>
  <si>
    <t>ネット</t>
    <phoneticPr fontId="5"/>
  </si>
  <si>
    <t>追加</t>
    <rPh sb="0" eb="2">
      <t>ツイカ</t>
    </rPh>
    <phoneticPr fontId="5"/>
  </si>
  <si>
    <t>夢販</t>
    <rPh sb="0" eb="2">
      <t>ユメハン</t>
    </rPh>
    <phoneticPr fontId="5"/>
  </si>
  <si>
    <t>追加</t>
    <rPh sb="0" eb="2">
      <t>ツイカ</t>
    </rPh>
    <phoneticPr fontId="11"/>
  </si>
  <si>
    <t>JOD94</t>
    <phoneticPr fontId="11"/>
  </si>
  <si>
    <t>JOD131</t>
    <phoneticPr fontId="5"/>
  </si>
  <si>
    <t>1/5～4/30</t>
    <phoneticPr fontId="5"/>
  </si>
  <si>
    <t>ＩＥＩ使ってヨカッタ1月号差分予測</t>
    <rPh sb="3" eb="4">
      <t>ツカ</t>
    </rPh>
    <rPh sb="11" eb="13">
      <t>ガツゴウ</t>
    </rPh>
    <rPh sb="13" eb="17">
      <t>サブンヨソク</t>
    </rPh>
    <phoneticPr fontId="5"/>
  </si>
  <si>
    <t>12/17～1/7</t>
    <phoneticPr fontId="5"/>
  </si>
  <si>
    <t>12/17～1/7</t>
    <phoneticPr fontId="11"/>
  </si>
  <si>
    <t>JOD特別版1127</t>
    <rPh sb="3" eb="6">
      <t>トクベツバン</t>
    </rPh>
    <phoneticPr fontId="11"/>
  </si>
  <si>
    <t>夢販</t>
    <rPh sb="0" eb="2">
      <t>ユメハン</t>
    </rPh>
    <phoneticPr fontId="11"/>
  </si>
  <si>
    <t>２０２４年～２０２５年１０月　実績数</t>
    <rPh sb="4" eb="5">
      <t>ネン</t>
    </rPh>
    <rPh sb="10" eb="11">
      <t>ネン</t>
    </rPh>
    <rPh sb="13" eb="14">
      <t>ガツ</t>
    </rPh>
    <rPh sb="17" eb="18">
      <t>スウ</t>
    </rPh>
    <phoneticPr fontId="11"/>
  </si>
  <si>
    <t>２０２４年～２０２５年10月20日　実績数</t>
    <rPh sb="4" eb="5">
      <t>ネン</t>
    </rPh>
    <rPh sb="10" eb="11">
      <t>ネン</t>
    </rPh>
    <rPh sb="13" eb="14">
      <t>ガツ</t>
    </rPh>
    <rPh sb="16" eb="17">
      <t>ヒ</t>
    </rPh>
    <rPh sb="18" eb="21">
      <t>ジッセキスウ</t>
    </rPh>
    <phoneticPr fontId="5"/>
  </si>
  <si>
    <t>追加３  1-1</t>
    <rPh sb="0" eb="2">
      <t>ツイカ</t>
    </rPh>
    <phoneticPr fontId="2"/>
  </si>
  <si>
    <t>コープ九州11月1週①</t>
    <rPh sb="3" eb="5">
      <t>キュウシュウ</t>
    </rPh>
    <rPh sb="7" eb="8">
      <t>ガツ</t>
    </rPh>
    <rPh sb="9" eb="10">
      <t>シュウ</t>
    </rPh>
    <phoneticPr fontId="5"/>
  </si>
  <si>
    <t>IEI</t>
    <phoneticPr fontId="5"/>
  </si>
  <si>
    <t>追加 2-2-1</t>
    <rPh sb="0" eb="2">
      <t>ツイカ</t>
    </rPh>
    <phoneticPr fontId="2"/>
  </si>
  <si>
    <t>追加 2-2-2</t>
    <rPh sb="0" eb="2">
      <t>ツイカ</t>
    </rPh>
    <phoneticPr fontId="2"/>
  </si>
  <si>
    <t>11月伝</t>
    <rPh sb="2" eb="4">
      <t>ガツデン</t>
    </rPh>
    <phoneticPr fontId="11"/>
  </si>
  <si>
    <t>追加2-1</t>
    <rPh sb="0" eb="2">
      <t>ツイカ</t>
    </rPh>
    <phoneticPr fontId="2"/>
  </si>
  <si>
    <t>追加2-2</t>
    <rPh sb="0" eb="2">
      <t>ツイカ</t>
    </rPh>
    <phoneticPr fontId="2"/>
  </si>
  <si>
    <t>JOD96</t>
  </si>
  <si>
    <t>ネット</t>
    <phoneticPr fontId="11"/>
  </si>
  <si>
    <t>JOD97</t>
    <phoneticPr fontId="11"/>
  </si>
  <si>
    <t>JOD132</t>
    <phoneticPr fontId="5"/>
  </si>
  <si>
    <t>ベルーナ25年秋号（継続）元気とキレイの秘訣①</t>
    <rPh sb="6" eb="7">
      <t>ネン</t>
    </rPh>
    <rPh sb="7" eb="8">
      <t>アキ</t>
    </rPh>
    <rPh sb="8" eb="9">
      <t>ゴウ</t>
    </rPh>
    <rPh sb="10" eb="12">
      <t>ケイゾク</t>
    </rPh>
    <rPh sb="13" eb="15">
      <t>ゲンキ</t>
    </rPh>
    <rPh sb="20" eb="22">
      <t>ヒケツ</t>
    </rPh>
    <phoneticPr fontId="5"/>
  </si>
  <si>
    <t>JOD98</t>
  </si>
  <si>
    <t>日生協カタログ25冬すこやかびと⑧</t>
    <rPh sb="0" eb="3">
      <t>ニッセイキョウ</t>
    </rPh>
    <rPh sb="9" eb="10">
      <t>フユ</t>
    </rPh>
    <phoneticPr fontId="11"/>
  </si>
  <si>
    <t>点12/9、アバウト12/27、本12/27～1/2</t>
    <rPh sb="0" eb="1">
      <t>テン</t>
    </rPh>
    <rPh sb="16" eb="17">
      <t>ホン</t>
    </rPh>
    <phoneticPr fontId="11"/>
  </si>
  <si>
    <t>ハルメクアルファ⑱</t>
    <phoneticPr fontId="5"/>
  </si>
  <si>
    <t>JOD99</t>
    <phoneticPr fontId="11"/>
  </si>
  <si>
    <t>コープ九州11月1週②</t>
    <rPh sb="3" eb="5">
      <t>キュウシュウ</t>
    </rPh>
    <rPh sb="7" eb="8">
      <t>ガツ</t>
    </rPh>
    <rPh sb="9" eb="10">
      <t>シュウ</t>
    </rPh>
    <phoneticPr fontId="5"/>
  </si>
  <si>
    <t>JOD100</t>
    <phoneticPr fontId="11"/>
  </si>
  <si>
    <t>コープ九州11月1週③</t>
    <rPh sb="3" eb="5">
      <t>キュウシュウ</t>
    </rPh>
    <rPh sb="7" eb="8">
      <t>ガツ</t>
    </rPh>
    <rPh sb="9" eb="10">
      <t>シュウ</t>
    </rPh>
    <phoneticPr fontId="5"/>
  </si>
  <si>
    <t>追加</t>
    <rPh sb="0" eb="2">
      <t>ツイカ</t>
    </rPh>
    <phoneticPr fontId="5"/>
  </si>
  <si>
    <t>2025/10/30数伝</t>
    <rPh sb="10" eb="12">
      <t>スウデン</t>
    </rPh>
    <phoneticPr fontId="11"/>
  </si>
  <si>
    <t>ユーコープ3月3回</t>
    <rPh sb="6" eb="7">
      <t>ガツ</t>
    </rPh>
    <rPh sb="8" eb="9">
      <t>カイ</t>
    </rPh>
    <phoneticPr fontId="11"/>
  </si>
  <si>
    <t>ユーコープ3月3回差分予測</t>
    <rPh sb="6" eb="7">
      <t>ガツ</t>
    </rPh>
    <rPh sb="8" eb="9">
      <t>カイ</t>
    </rPh>
    <rPh sb="9" eb="13">
      <t>サブンヨソク</t>
    </rPh>
    <phoneticPr fontId="11"/>
  </si>
  <si>
    <t>学校生協2026年3月企画</t>
    <rPh sb="0" eb="4">
      <t>ガッコウセイキョウ</t>
    </rPh>
    <rPh sb="8" eb="9">
      <t>ネン</t>
    </rPh>
    <rPh sb="10" eb="11">
      <t>ガツ</t>
    </rPh>
    <rPh sb="11" eb="13">
      <t>キカク</t>
    </rPh>
    <phoneticPr fontId="5"/>
  </si>
  <si>
    <t>2/中旬～3/17頃まで</t>
    <rPh sb="2" eb="5">
      <t>チュウジュンカラ</t>
    </rPh>
    <rPh sb="9" eb="10">
      <t>コロ</t>
    </rPh>
    <phoneticPr fontId="5"/>
  </si>
  <si>
    <t>JOD101</t>
  </si>
  <si>
    <t>ベルーナ25年秋号（継続）元気とキレイの秘訣②</t>
    <rPh sb="6" eb="7">
      <t>ネン</t>
    </rPh>
    <rPh sb="7" eb="8">
      <t>アキ</t>
    </rPh>
    <rPh sb="8" eb="9">
      <t>ゴウ</t>
    </rPh>
    <rPh sb="10" eb="12">
      <t>ケイゾク</t>
    </rPh>
    <rPh sb="13" eb="15">
      <t>ゲンキ</t>
    </rPh>
    <rPh sb="20" eb="22">
      <t>ヒケツ</t>
    </rPh>
    <phoneticPr fontId="5"/>
  </si>
  <si>
    <t>追加３ 2-2（発注No0828-7）</t>
    <rPh sb="0" eb="2">
      <t>ツイカ</t>
    </rPh>
    <rPh sb="8" eb="10">
      <t>ハッチュウ</t>
    </rPh>
    <phoneticPr fontId="2"/>
  </si>
  <si>
    <t>追加２ 2-1（発注No0828-7）</t>
    <rPh sb="0" eb="2">
      <t>ツイカ</t>
    </rPh>
    <rPh sb="8" eb="10">
      <t>ハッチュウ</t>
    </rPh>
    <phoneticPr fontId="2"/>
  </si>
  <si>
    <t>くらし企画（学校生協）sample</t>
    <rPh sb="3" eb="5">
      <t>キカク</t>
    </rPh>
    <rPh sb="6" eb="10">
      <t>ガッコウセイキョウ</t>
    </rPh>
    <phoneticPr fontId="11"/>
  </si>
  <si>
    <t>くらし企画（学校生協）sample</t>
    <rPh sb="3" eb="5">
      <t>キカク</t>
    </rPh>
    <rPh sb="6" eb="10">
      <t>ガッコウセイキョウ</t>
    </rPh>
    <phoneticPr fontId="5"/>
  </si>
  <si>
    <t>日生協カタログ25冬すこやかびと⑨</t>
    <rPh sb="0" eb="3">
      <t>ニッセイキョウ</t>
    </rPh>
    <rPh sb="9" eb="10">
      <t>フユ</t>
    </rPh>
    <phoneticPr fontId="11"/>
  </si>
  <si>
    <t>JOD102</t>
    <phoneticPr fontId="11"/>
  </si>
  <si>
    <t>なごみ10月号DM④</t>
    <rPh sb="5" eb="7">
      <t>ガツゴウ</t>
    </rPh>
    <phoneticPr fontId="5"/>
  </si>
  <si>
    <t>夢販</t>
    <rPh sb="0" eb="2">
      <t>ユメハン</t>
    </rPh>
    <phoneticPr fontId="11"/>
  </si>
  <si>
    <t>JOD133</t>
    <phoneticPr fontId="5"/>
  </si>
  <si>
    <t>追加</t>
    <rPh sb="0" eb="2">
      <t>ツイカ</t>
    </rPh>
    <phoneticPr fontId="5"/>
  </si>
  <si>
    <t>夢販</t>
    <rPh sb="0" eb="2">
      <t>ユメハン</t>
    </rPh>
    <phoneticPr fontId="5"/>
  </si>
  <si>
    <t>ＩＥＩあつめる1月号</t>
    <rPh sb="8" eb="10">
      <t>ガツゴウ</t>
    </rPh>
    <phoneticPr fontId="5"/>
  </si>
  <si>
    <t>ＩＥＩあつめる1月号差分予測</t>
    <rPh sb="8" eb="10">
      <t>ガツゴウ</t>
    </rPh>
    <rPh sb="10" eb="14">
      <t>サブンヨソク</t>
    </rPh>
    <phoneticPr fontId="5"/>
  </si>
  <si>
    <t>1/24～4/30</t>
    <phoneticPr fontId="5"/>
  </si>
  <si>
    <t>JOD103</t>
    <phoneticPr fontId="11"/>
  </si>
  <si>
    <t>日生協カタログ25冬すこやかびと⑩</t>
    <rPh sb="0" eb="3">
      <t>ニッセイキョウ</t>
    </rPh>
    <rPh sb="9" eb="10">
      <t>フユ</t>
    </rPh>
    <phoneticPr fontId="11"/>
  </si>
  <si>
    <t>JOD104</t>
    <phoneticPr fontId="11"/>
  </si>
  <si>
    <t>JOD134</t>
    <phoneticPr fontId="5"/>
  </si>
  <si>
    <t>夢販</t>
    <rPh sb="0" eb="2">
      <t>ユメハン</t>
    </rPh>
    <phoneticPr fontId="11"/>
  </si>
  <si>
    <t>くらし企画返品</t>
    <phoneticPr fontId="2"/>
  </si>
  <si>
    <t>JOD105</t>
    <phoneticPr fontId="11"/>
  </si>
  <si>
    <t>日生協カタログ25冬すこやかびと⑪</t>
    <rPh sb="0" eb="3">
      <t>ニッセイキョウ</t>
    </rPh>
    <rPh sb="9" eb="10">
      <t>フユ</t>
    </rPh>
    <phoneticPr fontId="11"/>
  </si>
  <si>
    <t>ネット</t>
    <phoneticPr fontId="11"/>
  </si>
  <si>
    <t>コープさっぽろ1月5回</t>
    <rPh sb="8" eb="9">
      <t>ガツ</t>
    </rPh>
    <rPh sb="10" eb="11">
      <t>カイ</t>
    </rPh>
    <phoneticPr fontId="5"/>
  </si>
  <si>
    <t>1/21、1/26</t>
    <phoneticPr fontId="5"/>
  </si>
  <si>
    <t>コープさっぽろ1月5回差分予測</t>
    <rPh sb="8" eb="9">
      <t>ガツ</t>
    </rPh>
    <rPh sb="10" eb="11">
      <t>カイ</t>
    </rPh>
    <rPh sb="11" eb="15">
      <t>サブンヨソク</t>
    </rPh>
    <phoneticPr fontId="5"/>
  </si>
  <si>
    <t>パルシステムプレゼン用sample</t>
    <rPh sb="10" eb="11">
      <t>ヨウ</t>
    </rPh>
    <phoneticPr fontId="5"/>
  </si>
  <si>
    <t>パルシステムプレゼン用sample</t>
    <rPh sb="10" eb="11">
      <t>ヨウ</t>
    </rPh>
    <phoneticPr fontId="11"/>
  </si>
  <si>
    <t>2025/11/22数伝</t>
    <rPh sb="10" eb="12">
      <t>スウデン</t>
    </rPh>
    <phoneticPr fontId="11"/>
  </si>
  <si>
    <t>日生協カタログ25冬すこやかびと⑫</t>
    <rPh sb="0" eb="3">
      <t>ニッセイキョウ</t>
    </rPh>
    <rPh sb="9" eb="10">
      <t>フユ</t>
    </rPh>
    <phoneticPr fontId="11"/>
  </si>
  <si>
    <t>オバタ返品</t>
    <rPh sb="3" eb="5">
      <t>ヘンピン</t>
    </rPh>
    <phoneticPr fontId="2"/>
  </si>
  <si>
    <t>夢販</t>
    <rPh sb="0" eb="2">
      <t>ユメハン</t>
    </rPh>
    <phoneticPr fontId="5"/>
  </si>
  <si>
    <t>JOD135</t>
    <phoneticPr fontId="5"/>
  </si>
  <si>
    <t>JOD136</t>
  </si>
  <si>
    <t>JODアクセス7014</t>
    <phoneticPr fontId="5"/>
  </si>
  <si>
    <t>1/14～</t>
    <phoneticPr fontId="5"/>
  </si>
  <si>
    <t>ベルーナ25年秋号（継続）元気とキレイの秘訣③</t>
    <rPh sb="6" eb="7">
      <t>ネン</t>
    </rPh>
    <rPh sb="7" eb="8">
      <t>アキ</t>
    </rPh>
    <rPh sb="8" eb="9">
      <t>ゴウ</t>
    </rPh>
    <rPh sb="10" eb="12">
      <t>ケイゾク</t>
    </rPh>
    <rPh sb="13" eb="15">
      <t>ゲンキ</t>
    </rPh>
    <rPh sb="20" eb="22">
      <t>ヒケツ</t>
    </rPh>
    <phoneticPr fontId="5"/>
  </si>
  <si>
    <t>JOD106</t>
    <phoneticPr fontId="11"/>
  </si>
  <si>
    <t>JOD137</t>
    <phoneticPr fontId="5"/>
  </si>
  <si>
    <t>追加</t>
    <rPh sb="0" eb="2">
      <t>ツイカ</t>
    </rPh>
    <phoneticPr fontId="11"/>
  </si>
  <si>
    <t>夢販</t>
    <rPh sb="0" eb="2">
      <t>ユメハン</t>
    </rPh>
    <phoneticPr fontId="11"/>
  </si>
  <si>
    <t>JOD138</t>
    <phoneticPr fontId="5"/>
  </si>
  <si>
    <t>2025/12/1数伝</t>
    <rPh sb="9" eb="11">
      <t>スウデン</t>
    </rPh>
    <phoneticPr fontId="5"/>
  </si>
  <si>
    <t>日生協カタログ26春すこやかびと①</t>
    <rPh sb="0" eb="3">
      <t>ニッセイキョウ</t>
    </rPh>
    <rPh sb="9" eb="10">
      <t>ハル</t>
    </rPh>
    <phoneticPr fontId="11"/>
  </si>
  <si>
    <t>日生協カタログ26春すこやかびと②</t>
    <rPh sb="0" eb="3">
      <t>ニッセイキョウ</t>
    </rPh>
    <rPh sb="9" eb="10">
      <t>ハル</t>
    </rPh>
    <phoneticPr fontId="11"/>
  </si>
  <si>
    <t>追加</t>
    <rPh sb="0" eb="2">
      <t>ツイカ</t>
    </rPh>
    <phoneticPr fontId="2"/>
  </si>
  <si>
    <t>夢販</t>
    <rPh sb="0" eb="2">
      <t>ユメハン</t>
    </rPh>
    <phoneticPr fontId="5"/>
  </si>
  <si>
    <t>追加</t>
    <rPh sb="0" eb="2">
      <t>ツイカ</t>
    </rPh>
    <phoneticPr fontId="11"/>
  </si>
  <si>
    <t>夢販</t>
    <rPh sb="0" eb="2">
      <t>ユメハン</t>
    </rPh>
    <phoneticPr fontId="11"/>
  </si>
  <si>
    <t>はぴねすくらぶ12月号②</t>
    <phoneticPr fontId="11"/>
  </si>
  <si>
    <t>コープCSネット3月2回</t>
    <rPh sb="9" eb="10">
      <t>ガツ</t>
    </rPh>
    <rPh sb="11" eb="12">
      <t>カイ</t>
    </rPh>
    <phoneticPr fontId="5"/>
  </si>
  <si>
    <t>コープCSネット3月2回差分予測</t>
    <rPh sb="9" eb="10">
      <t>ガツ</t>
    </rPh>
    <rPh sb="11" eb="12">
      <t>カイ</t>
    </rPh>
    <rPh sb="12" eb="16">
      <t>サブンヨソク</t>
    </rPh>
    <phoneticPr fontId="5"/>
  </si>
  <si>
    <t>コープCSネット3月2回</t>
    <rPh sb="9" eb="10">
      <t>ガツ</t>
    </rPh>
    <rPh sb="11" eb="12">
      <t>カイ</t>
    </rPh>
    <phoneticPr fontId="11"/>
  </si>
  <si>
    <t>コープCSネット3月2回差予測</t>
    <rPh sb="9" eb="10">
      <t>ガツ</t>
    </rPh>
    <rPh sb="11" eb="12">
      <t>カイ</t>
    </rPh>
    <rPh sb="12" eb="13">
      <t>サ</t>
    </rPh>
    <rPh sb="13" eb="15">
      <t>ヨソク</t>
    </rPh>
    <phoneticPr fontId="11"/>
  </si>
  <si>
    <t>はぴねすくらぶ12月号①</t>
    <rPh sb="9" eb="11">
      <t>ガツゴウ</t>
    </rPh>
    <phoneticPr fontId="11"/>
  </si>
  <si>
    <t>はぴねすくらぶ12月号①</t>
    <rPh sb="9" eb="11">
      <t>ガツゴウ</t>
    </rPh>
    <phoneticPr fontId="5"/>
  </si>
  <si>
    <t>JOD139</t>
    <phoneticPr fontId="5"/>
  </si>
  <si>
    <t>3/4～3/18</t>
    <phoneticPr fontId="11"/>
  </si>
  <si>
    <t>3/4～3/18</t>
    <phoneticPr fontId="5"/>
  </si>
  <si>
    <t>コープ九州3月3回差分予測</t>
    <rPh sb="3" eb="5">
      <t>キュウシュウ</t>
    </rPh>
    <rPh sb="6" eb="7">
      <t>ガツ</t>
    </rPh>
    <rPh sb="8" eb="9">
      <t>カイ</t>
    </rPh>
    <rPh sb="9" eb="13">
      <t>サブンヨソク</t>
    </rPh>
    <phoneticPr fontId="5"/>
  </si>
  <si>
    <t>コープ九州3月3回</t>
    <phoneticPr fontId="5"/>
  </si>
  <si>
    <t>コープ九州3月3回差分予測</t>
    <rPh sb="3" eb="5">
      <t>キュウシュウ</t>
    </rPh>
    <rPh sb="6" eb="7">
      <t>ガツ</t>
    </rPh>
    <rPh sb="8" eb="9">
      <t>カイ</t>
    </rPh>
    <rPh sb="9" eb="13">
      <t>サブンヨソク</t>
    </rPh>
    <phoneticPr fontId="11"/>
  </si>
  <si>
    <t>コープ九州３月３回</t>
    <rPh sb="3" eb="5">
      <t>キュウシュウ</t>
    </rPh>
    <rPh sb="6" eb="7">
      <t>ガツ</t>
    </rPh>
    <rPh sb="8" eb="9">
      <t>カイ</t>
    </rPh>
    <phoneticPr fontId="11"/>
  </si>
  <si>
    <t>JOD140</t>
    <phoneticPr fontId="5"/>
  </si>
  <si>
    <t>ベルーナ25年秋号（継続）元気とキレイの秘訣④</t>
    <rPh sb="6" eb="7">
      <t>ネン</t>
    </rPh>
    <rPh sb="7" eb="8">
      <t>アキ</t>
    </rPh>
    <rPh sb="8" eb="9">
      <t>ゴウ</t>
    </rPh>
    <rPh sb="10" eb="12">
      <t>ケイゾク</t>
    </rPh>
    <rPh sb="13" eb="15">
      <t>ゲンキ</t>
    </rPh>
    <rPh sb="20" eb="22">
      <t>ヒケツ</t>
    </rPh>
    <phoneticPr fontId="5"/>
  </si>
  <si>
    <t>夢販</t>
    <rPh sb="0" eb="2">
      <t>y</t>
    </rPh>
    <phoneticPr fontId="5"/>
  </si>
  <si>
    <t>JOD107</t>
    <phoneticPr fontId="11"/>
  </si>
  <si>
    <t>JOD141</t>
    <phoneticPr fontId="5"/>
  </si>
  <si>
    <t>JOD108</t>
  </si>
  <si>
    <t>JOD142</t>
  </si>
  <si>
    <t>ハルメクアルファ返品</t>
    <rPh sb="8" eb="10">
      <t>ヘンピン</t>
    </rPh>
    <phoneticPr fontId="11"/>
  </si>
  <si>
    <t>ハルメクアルファ返品</t>
    <rPh sb="8" eb="10">
      <t>ヘンピン</t>
    </rPh>
    <phoneticPr fontId="5"/>
  </si>
  <si>
    <t>ネット返品</t>
    <rPh sb="3" eb="5">
      <t>ヘンピン</t>
    </rPh>
    <phoneticPr fontId="5"/>
  </si>
  <si>
    <t>JOD特別号9976</t>
    <rPh sb="3" eb="6">
      <t>トクベツゴウ</t>
    </rPh>
    <phoneticPr fontId="11"/>
  </si>
  <si>
    <t>1/9～</t>
    <phoneticPr fontId="11"/>
  </si>
  <si>
    <t>くらし（パルきなり流）sample</t>
    <rPh sb="9" eb="10">
      <t>リュウ</t>
    </rPh>
    <phoneticPr fontId="2"/>
  </si>
  <si>
    <t>JOD109</t>
    <phoneticPr fontId="11"/>
  </si>
  <si>
    <t>JOD143</t>
    <phoneticPr fontId="5"/>
  </si>
  <si>
    <t>日生協カタログ26春すこやかびと③</t>
    <rPh sb="0" eb="3">
      <t>ニッセイキョウ</t>
    </rPh>
    <rPh sb="9" eb="10">
      <t>ハル</t>
    </rPh>
    <phoneticPr fontId="11"/>
  </si>
  <si>
    <t>ベルーナ26年夏号（継続）元気とキレイの秘訣</t>
    <rPh sb="6" eb="7">
      <t>ネン</t>
    </rPh>
    <rPh sb="7" eb="8">
      <t>ナツ</t>
    </rPh>
    <rPh sb="8" eb="9">
      <t>ゴウ</t>
    </rPh>
    <rPh sb="10" eb="12">
      <t>ケイゾク</t>
    </rPh>
    <rPh sb="13" eb="15">
      <t>ゲンキ</t>
    </rPh>
    <rPh sb="20" eb="22">
      <t>ヒケツ</t>
    </rPh>
    <phoneticPr fontId="5"/>
  </si>
  <si>
    <t>パル　きなり流　4月3回差分予測</t>
    <rPh sb="6" eb="7">
      <t>リュウ</t>
    </rPh>
    <rPh sb="9" eb="10">
      <t>ガツ</t>
    </rPh>
    <rPh sb="11" eb="12">
      <t>カイ</t>
    </rPh>
    <rPh sb="12" eb="14">
      <t>サブン</t>
    </rPh>
    <rPh sb="14" eb="16">
      <t>ヨソク</t>
    </rPh>
    <phoneticPr fontId="5"/>
  </si>
  <si>
    <t>パル　きなり流　4月3回</t>
    <rPh sb="6" eb="7">
      <t>リュウ</t>
    </rPh>
    <rPh sb="9" eb="10">
      <t>ガツ</t>
    </rPh>
    <rPh sb="11" eb="12">
      <t>カイ</t>
    </rPh>
    <phoneticPr fontId="5"/>
  </si>
  <si>
    <t>ベルーナ26年夏号（継続）元気とキレイの秘訣差分予測</t>
    <rPh sb="6" eb="7">
      <t>ネン</t>
    </rPh>
    <rPh sb="7" eb="8">
      <t>ナツ</t>
    </rPh>
    <rPh sb="8" eb="9">
      <t>ゴウ</t>
    </rPh>
    <rPh sb="10" eb="12">
      <t>ケイゾク</t>
    </rPh>
    <rPh sb="13" eb="15">
      <t>ゲンキ</t>
    </rPh>
    <rPh sb="20" eb="22">
      <t>ヒケツ</t>
    </rPh>
    <rPh sb="22" eb="26">
      <t>サブンヨソク</t>
    </rPh>
    <phoneticPr fontId="5"/>
  </si>
  <si>
    <t>追加２  2-1</t>
    <rPh sb="0" eb="2">
      <t>ツイカ</t>
    </rPh>
    <phoneticPr fontId="2"/>
  </si>
  <si>
    <t>追加２  2-2</t>
    <rPh sb="0" eb="2">
      <t>ツイカ</t>
    </rPh>
    <phoneticPr fontId="2"/>
  </si>
  <si>
    <t>追加３  2-2</t>
    <rPh sb="0" eb="2">
      <t>ツイカ</t>
    </rPh>
    <phoneticPr fontId="2"/>
  </si>
  <si>
    <t>点検3/26、アバウト・初回4/7、最終発注日4/13</t>
    <rPh sb="0" eb="2">
      <t>テンケン</t>
    </rPh>
    <rPh sb="12" eb="14">
      <t>ショカイ</t>
    </rPh>
    <rPh sb="18" eb="23">
      <t>サイシュウハッチュウビ</t>
    </rPh>
    <phoneticPr fontId="5"/>
  </si>
  <si>
    <t>JOD110</t>
  </si>
  <si>
    <t>JOD144</t>
    <phoneticPr fontId="5"/>
  </si>
  <si>
    <t>価格変更</t>
    <rPh sb="0" eb="2">
      <t>カカク</t>
    </rPh>
    <rPh sb="2" eb="4">
      <t>ヘンコウ</t>
    </rPh>
    <phoneticPr fontId="5"/>
  </si>
  <si>
    <t>価格変更</t>
    <rPh sb="0" eb="4">
      <t>カカクヘンコウ</t>
    </rPh>
    <phoneticPr fontId="11"/>
  </si>
  <si>
    <t>JOD145</t>
    <phoneticPr fontId="5"/>
  </si>
  <si>
    <t>JOD111</t>
  </si>
  <si>
    <t>はぴねすくらぶ12月号③</t>
    <phoneticPr fontId="11"/>
  </si>
  <si>
    <t>JOD返品</t>
    <rPh sb="3" eb="5">
      <t>ヘンピン</t>
    </rPh>
    <phoneticPr fontId="11"/>
  </si>
  <si>
    <t>3/7～4/30</t>
    <phoneticPr fontId="5"/>
  </si>
  <si>
    <t>JOD112</t>
    <phoneticPr fontId="11"/>
  </si>
  <si>
    <t>コープきんき1月1回①</t>
    <rPh sb="7" eb="8">
      <t>ガツ</t>
    </rPh>
    <rPh sb="9" eb="10">
      <t>カイ</t>
    </rPh>
    <phoneticPr fontId="11"/>
  </si>
  <si>
    <t>JOD113</t>
  </si>
  <si>
    <t>コープきんき3月4回差分予測</t>
    <rPh sb="7" eb="8">
      <t>ガツ</t>
    </rPh>
    <rPh sb="10" eb="14">
      <t>サブンヨソク</t>
    </rPh>
    <phoneticPr fontId="11"/>
  </si>
  <si>
    <t>コープきんき3月4回</t>
    <rPh sb="7" eb="8">
      <t>ガツ</t>
    </rPh>
    <rPh sb="9" eb="10">
      <t>カイ</t>
    </rPh>
    <phoneticPr fontId="11"/>
  </si>
  <si>
    <t>JODメルシー0202</t>
    <phoneticPr fontId="11"/>
  </si>
  <si>
    <t>2/2～</t>
    <phoneticPr fontId="11"/>
  </si>
  <si>
    <t>JOD114</t>
    <phoneticPr fontId="11"/>
  </si>
  <si>
    <t>夢販</t>
    <rPh sb="0" eb="2">
      <t>y</t>
    </rPh>
    <phoneticPr fontId="11"/>
  </si>
  <si>
    <t>JOD115</t>
    <phoneticPr fontId="11"/>
  </si>
  <si>
    <t>なごみ返品</t>
    <rPh sb="3" eb="5">
      <t>ヘンピン</t>
    </rPh>
    <phoneticPr fontId="2"/>
  </si>
  <si>
    <t>くらし返品</t>
    <rPh sb="3" eb="5">
      <t>ヘンピン</t>
    </rPh>
    <phoneticPr fontId="5"/>
  </si>
  <si>
    <t>２/４～９/末</t>
    <rPh sb="6" eb="7">
      <t>マツ</t>
    </rPh>
    <phoneticPr fontId="11"/>
  </si>
  <si>
    <t>ベルーナ素敵な生活26夏号</t>
    <rPh sb="4" eb="6">
      <t>ステキ</t>
    </rPh>
    <rPh sb="7" eb="9">
      <t>セイカツ</t>
    </rPh>
    <rPh sb="11" eb="13">
      <t>ナツゴウ</t>
    </rPh>
    <phoneticPr fontId="11"/>
  </si>
  <si>
    <t>ベルーナ素敵な生活26夏号</t>
    <rPh sb="4" eb="6">
      <t>ステキ</t>
    </rPh>
    <rPh sb="7" eb="9">
      <t>セイカツ</t>
    </rPh>
    <rPh sb="11" eb="13">
      <t>ナツゴウ</t>
    </rPh>
    <phoneticPr fontId="5"/>
  </si>
  <si>
    <t>JOD146</t>
    <phoneticPr fontId="5"/>
  </si>
  <si>
    <t>サクラマチ返品</t>
    <rPh sb="5" eb="7">
      <t>ヘンピン</t>
    </rPh>
    <phoneticPr fontId="5"/>
  </si>
  <si>
    <t>グリーンコープ12月40号①</t>
    <rPh sb="9" eb="10">
      <t>ガツ</t>
    </rPh>
    <rPh sb="12" eb="13">
      <t>ゴウ</t>
    </rPh>
    <phoneticPr fontId="11"/>
  </si>
  <si>
    <t>はぴねすくらぶ12月号④</t>
    <phoneticPr fontId="11"/>
  </si>
  <si>
    <t>グリーンコープ12月４０号①</t>
    <rPh sb="9" eb="10">
      <t>ガツ</t>
    </rPh>
    <rPh sb="12" eb="13">
      <t>ゴウ</t>
    </rPh>
    <phoneticPr fontId="5"/>
  </si>
  <si>
    <t>グリーンコープ12月40号②</t>
    <rPh sb="9" eb="10">
      <t>ガツ</t>
    </rPh>
    <rPh sb="12" eb="13">
      <t>ゴウ</t>
    </rPh>
    <phoneticPr fontId="11"/>
  </si>
  <si>
    <t>JOD117</t>
    <phoneticPr fontId="11"/>
  </si>
  <si>
    <t>コープCS 1月3回①</t>
    <rPh sb="7" eb="8">
      <t>ガツ</t>
    </rPh>
    <rPh sb="9" eb="10">
      <t>カイ</t>
    </rPh>
    <phoneticPr fontId="11"/>
  </si>
  <si>
    <t>不足分</t>
    <rPh sb="0" eb="3">
      <t>フソクブン</t>
    </rPh>
    <phoneticPr fontId="2"/>
  </si>
  <si>
    <t>JOD118</t>
    <phoneticPr fontId="11"/>
  </si>
  <si>
    <t>JOD147</t>
    <phoneticPr fontId="5"/>
  </si>
  <si>
    <t>日生協カタログ26春すこやかびと④</t>
    <rPh sb="0" eb="3">
      <t>ニッセイキョウ</t>
    </rPh>
    <rPh sb="9" eb="10">
      <t>ハル</t>
    </rPh>
    <phoneticPr fontId="11"/>
  </si>
  <si>
    <t>JOD特別版0203</t>
    <rPh sb="3" eb="6">
      <t>トクベツバン</t>
    </rPh>
    <phoneticPr fontId="5"/>
  </si>
  <si>
    <t>2/2～</t>
    <phoneticPr fontId="5"/>
  </si>
  <si>
    <t>2/4～9/末</t>
    <rPh sb="6" eb="7">
      <t>マツ</t>
    </rPh>
    <phoneticPr fontId="5"/>
  </si>
  <si>
    <t>学校生協2026年5月初夏号</t>
    <rPh sb="0" eb="4">
      <t>ガッコウセイキョウ</t>
    </rPh>
    <rPh sb="8" eb="9">
      <t>ネン</t>
    </rPh>
    <rPh sb="10" eb="11">
      <t>ガツ</t>
    </rPh>
    <rPh sb="11" eb="13">
      <t>ショカ</t>
    </rPh>
    <rPh sb="13" eb="14">
      <t>ゴウ</t>
    </rPh>
    <phoneticPr fontId="5"/>
  </si>
  <si>
    <t>学校生協2026年5月初夏号差分予測</t>
    <rPh sb="0" eb="4">
      <t>ガッコウセイキョウ</t>
    </rPh>
    <rPh sb="8" eb="9">
      <t>ネン</t>
    </rPh>
    <rPh sb="10" eb="11">
      <t>ガツ</t>
    </rPh>
    <rPh sb="11" eb="13">
      <t>ショカ</t>
    </rPh>
    <rPh sb="13" eb="14">
      <t>ゴウ</t>
    </rPh>
    <rPh sb="14" eb="18">
      <t>サブンヨソク</t>
    </rPh>
    <phoneticPr fontId="5"/>
  </si>
  <si>
    <t>4/15頃～5/19頃</t>
    <rPh sb="4" eb="5">
      <t>コロ</t>
    </rPh>
    <rPh sb="10" eb="11">
      <t>コロ</t>
    </rPh>
    <phoneticPr fontId="5"/>
  </si>
  <si>
    <t>4/15頃～5/19頃</t>
    <rPh sb="4" eb="5">
      <t>コロ</t>
    </rPh>
    <rPh sb="10" eb="11">
      <t>コロ</t>
    </rPh>
    <phoneticPr fontId="11"/>
  </si>
  <si>
    <t>ユーコープ3月3回 差分予測</t>
    <rPh sb="6" eb="7">
      <t>ガツ</t>
    </rPh>
    <rPh sb="8" eb="9">
      <t>カイ</t>
    </rPh>
    <rPh sb="10" eb="14">
      <t>サブンヨソク</t>
    </rPh>
    <phoneticPr fontId="11"/>
  </si>
  <si>
    <t>追加3 1-1（発注No0908-3）</t>
    <rPh sb="0" eb="2">
      <t>ツイカ</t>
    </rPh>
    <rPh sb="8" eb="10">
      <t>ハッチュウ</t>
    </rPh>
    <phoneticPr fontId="2"/>
  </si>
  <si>
    <t>JOD119</t>
    <phoneticPr fontId="11"/>
  </si>
  <si>
    <t>2025/12/1→１/10 数伝</t>
    <rPh sb="15" eb="17">
      <t>スウデン</t>
    </rPh>
    <phoneticPr fontId="5"/>
  </si>
  <si>
    <t>2025/12/1→１/10数伝</t>
    <rPh sb="14" eb="16">
      <t>スウデン</t>
    </rPh>
    <phoneticPr fontId="5"/>
  </si>
  <si>
    <t>2025/10/1→1/10数伝</t>
    <rPh sb="14" eb="16">
      <t>スウデン</t>
    </rPh>
    <phoneticPr fontId="11"/>
  </si>
  <si>
    <t>2025/12/1→1/10数伝</t>
    <rPh sb="14" eb="16">
      <t>スウデン</t>
    </rPh>
    <phoneticPr fontId="11"/>
  </si>
  <si>
    <t>2025/1/10数伝</t>
    <rPh sb="9" eb="11">
      <t>スウデン</t>
    </rPh>
    <phoneticPr fontId="11"/>
  </si>
  <si>
    <t>日生協カタログ26春すこやかびと⑤</t>
    <rPh sb="0" eb="3">
      <t>ニッセイキョウ</t>
    </rPh>
    <rPh sb="9" eb="10">
      <t>ハル</t>
    </rPh>
    <phoneticPr fontId="11"/>
  </si>
  <si>
    <t>はぴねすくらぶ12月号⑤</t>
    <phoneticPr fontId="11"/>
  </si>
  <si>
    <t>JOD120</t>
    <phoneticPr fontId="11"/>
  </si>
  <si>
    <t>コープCS 1月3回②</t>
    <rPh sb="7" eb="8">
      <t>ガツ</t>
    </rPh>
    <rPh sb="9" eb="10">
      <t>カイ</t>
    </rPh>
    <phoneticPr fontId="11"/>
  </si>
  <si>
    <t>コープCS 1月3回③</t>
    <rPh sb="7" eb="8">
      <t>ガツ</t>
    </rPh>
    <rPh sb="9" eb="10">
      <t>カイ</t>
    </rPh>
    <phoneticPr fontId="11"/>
  </si>
  <si>
    <t>JOD特別版0304</t>
    <rPh sb="3" eb="6">
      <t>トクベツバン</t>
    </rPh>
    <phoneticPr fontId="11"/>
  </si>
  <si>
    <t>JOD121</t>
    <phoneticPr fontId="11"/>
  </si>
  <si>
    <t>KPORT</t>
    <phoneticPr fontId="5"/>
  </si>
  <si>
    <t>ゆめはん移動</t>
    <rPh sb="4" eb="6">
      <t>イドウ</t>
    </rPh>
    <phoneticPr fontId="5"/>
  </si>
  <si>
    <t>KPORT</t>
    <phoneticPr fontId="11"/>
  </si>
  <si>
    <t>日生協カタログ26春すこやかびと⑥</t>
    <rPh sb="0" eb="3">
      <t>ニッセイキョウ</t>
    </rPh>
    <rPh sb="9" eb="10">
      <t>ハル</t>
    </rPh>
    <phoneticPr fontId="11"/>
  </si>
  <si>
    <t>コープこうべ4月2回</t>
    <rPh sb="7" eb="8">
      <t>ガツ</t>
    </rPh>
    <rPh sb="9" eb="10">
      <t>カイ</t>
    </rPh>
    <phoneticPr fontId="11"/>
  </si>
  <si>
    <t>コープこうべ4月2回差分予測</t>
    <rPh sb="10" eb="14">
      <t>サブンヨソク</t>
    </rPh>
    <phoneticPr fontId="11"/>
  </si>
  <si>
    <t>4/15～30</t>
    <phoneticPr fontId="5"/>
  </si>
  <si>
    <t>コープこうべ4月2回</t>
    <rPh sb="7" eb="8">
      <t>ガツ</t>
    </rPh>
    <rPh sb="9" eb="10">
      <t>カイ</t>
    </rPh>
    <phoneticPr fontId="5"/>
  </si>
  <si>
    <t>コープこうべ4月2回差分予測</t>
    <rPh sb="7" eb="8">
      <t>ガツ</t>
    </rPh>
    <rPh sb="9" eb="10">
      <t>カイ</t>
    </rPh>
    <rPh sb="10" eb="14">
      <t>サブンヨソク</t>
    </rPh>
    <phoneticPr fontId="5"/>
  </si>
  <si>
    <t>JOD122</t>
    <phoneticPr fontId="11"/>
  </si>
  <si>
    <t>点2/27、アバウト3/17、本3/17～3/23</t>
    <rPh sb="0" eb="1">
      <t>テン</t>
    </rPh>
    <rPh sb="15" eb="16">
      <t>ホン</t>
    </rPh>
    <phoneticPr fontId="11"/>
  </si>
  <si>
    <t>コープさっぽろ1月5回①</t>
    <rPh sb="8" eb="9">
      <t>ガツ</t>
    </rPh>
    <rPh sb="10" eb="11">
      <t>カイ</t>
    </rPh>
    <phoneticPr fontId="5"/>
  </si>
  <si>
    <t>くらし返品</t>
    <rPh sb="3" eb="5">
      <t>ヘンピン</t>
    </rPh>
    <phoneticPr fontId="5"/>
  </si>
  <si>
    <t>くらし返品</t>
    <rPh sb="3" eb="5">
      <t>ヘンピン</t>
    </rPh>
    <phoneticPr fontId="11"/>
  </si>
  <si>
    <t>JOD148</t>
    <phoneticPr fontId="5"/>
  </si>
  <si>
    <t>コープさっぽろ1月5回②</t>
    <rPh sb="8" eb="9">
      <t>ガツ</t>
    </rPh>
    <rPh sb="10" eb="11">
      <t>カイ</t>
    </rPh>
    <phoneticPr fontId="5"/>
  </si>
  <si>
    <t>日生協カタログ26春すこやかびと⑦</t>
    <rPh sb="0" eb="3">
      <t>ニッセイキョウ</t>
    </rPh>
    <rPh sb="9" eb="10">
      <t>ハル</t>
    </rPh>
    <phoneticPr fontId="11"/>
  </si>
  <si>
    <t>JODメルシースポーツ0228</t>
    <phoneticPr fontId="11"/>
  </si>
  <si>
    <t>2/25～</t>
    <phoneticPr fontId="11"/>
  </si>
  <si>
    <t>JOD123</t>
    <phoneticPr fontId="11"/>
  </si>
  <si>
    <t>JOD149</t>
  </si>
  <si>
    <t>JOD150</t>
  </si>
  <si>
    <t>オバタsample返却</t>
    <rPh sb="9" eb="11">
      <t>ヘンキャク</t>
    </rPh>
    <phoneticPr fontId="5"/>
  </si>
  <si>
    <t>オバタsample返却</t>
    <rPh sb="9" eb="11">
      <t>ヘンキャク</t>
    </rPh>
    <phoneticPr fontId="11"/>
  </si>
  <si>
    <t>ベルーナ撮影用sample</t>
    <rPh sb="4" eb="7">
      <t>サツエイヨウ</t>
    </rPh>
    <phoneticPr fontId="11"/>
  </si>
  <si>
    <t>IEI返品</t>
    <rPh sb="3" eb="5">
      <t>ヘンピン</t>
    </rPh>
    <phoneticPr fontId="5"/>
  </si>
  <si>
    <t>JOD151</t>
    <phoneticPr fontId="5"/>
  </si>
  <si>
    <t>KPORT</t>
    <phoneticPr fontId="5"/>
  </si>
  <si>
    <t>KPORT</t>
    <phoneticPr fontId="11"/>
  </si>
  <si>
    <t>JOD124</t>
    <phoneticPr fontId="11"/>
  </si>
  <si>
    <t>日生協カタログ26春すこやかびと⑧</t>
    <rPh sb="0" eb="3">
      <t>ニッセイキョウ</t>
    </rPh>
    <rPh sb="9" eb="10">
      <t>ハル</t>
    </rPh>
    <phoneticPr fontId="11"/>
  </si>
  <si>
    <t xml:space="preserve"> </t>
    <phoneticPr fontId="11"/>
  </si>
  <si>
    <t>JOD152</t>
    <phoneticPr fontId="5"/>
  </si>
  <si>
    <t>はぴねすくらぶ12月号②</t>
    <rPh sb="9" eb="11">
      <t>ガツゴウ</t>
    </rPh>
    <phoneticPr fontId="5"/>
  </si>
  <si>
    <t>追加</t>
    <rPh sb="0" eb="2">
      <t>t</t>
    </rPh>
    <phoneticPr fontId="11"/>
  </si>
  <si>
    <t>ＩＥＩあつめる1月号①</t>
    <rPh sb="8" eb="10">
      <t>ガツゴウ</t>
    </rPh>
    <phoneticPr fontId="5"/>
  </si>
  <si>
    <t>くらし返品</t>
    <rPh sb="3" eb="5">
      <t>ヘンピン</t>
    </rPh>
    <phoneticPr fontId="11"/>
  </si>
  <si>
    <t>JOD125</t>
    <phoneticPr fontId="11"/>
  </si>
  <si>
    <t>KPORT</t>
    <phoneticPr fontId="5"/>
  </si>
  <si>
    <t>KPORT</t>
    <phoneticPr fontId="11"/>
  </si>
  <si>
    <t>JOD153</t>
    <phoneticPr fontId="5"/>
  </si>
  <si>
    <t>日生協カタログ26春すこやかびと⑨</t>
    <rPh sb="0" eb="3">
      <t>ニッセイキョウ</t>
    </rPh>
    <rPh sb="9" eb="10">
      <t>ハル</t>
    </rPh>
    <phoneticPr fontId="11"/>
  </si>
  <si>
    <t>JOD154</t>
    <phoneticPr fontId="5"/>
  </si>
  <si>
    <t>学校生協2026年3月企画①</t>
    <rPh sb="0" eb="4">
      <t>ガッコウセイキョウ</t>
    </rPh>
    <rPh sb="8" eb="9">
      <t>ネン</t>
    </rPh>
    <rPh sb="10" eb="11">
      <t>ガツ</t>
    </rPh>
    <rPh sb="11" eb="13">
      <t>キカク</t>
    </rPh>
    <phoneticPr fontId="5"/>
  </si>
  <si>
    <t>ＩＥＩあつめる1月号②</t>
    <rPh sb="8" eb="10">
      <t>ガツゴウ</t>
    </rPh>
    <phoneticPr fontId="5"/>
  </si>
  <si>
    <t>JOD155</t>
    <phoneticPr fontId="5"/>
  </si>
  <si>
    <t>追加</t>
    <rPh sb="0" eb="2">
      <t>ツイカ</t>
    </rPh>
    <phoneticPr fontId="5"/>
  </si>
  <si>
    <t>ゆめはん</t>
    <phoneticPr fontId="5"/>
  </si>
  <si>
    <t>JOD156</t>
    <phoneticPr fontId="5"/>
  </si>
  <si>
    <t>日生協カタログ26春すこやかびと⑩</t>
    <rPh sb="0" eb="3">
      <t>ニッセイキョウ</t>
    </rPh>
    <rPh sb="9" eb="10">
      <t>ハル</t>
    </rPh>
    <phoneticPr fontId="11"/>
  </si>
  <si>
    <t>JOD再撮用sample</t>
    <rPh sb="3" eb="5">
      <t>サイサツ</t>
    </rPh>
    <rPh sb="5" eb="6">
      <t>ヨウ</t>
    </rPh>
    <phoneticPr fontId="5"/>
  </si>
  <si>
    <t>JOD157</t>
    <phoneticPr fontId="5"/>
  </si>
  <si>
    <t>JOD126</t>
    <phoneticPr fontId="11"/>
  </si>
  <si>
    <t>ベルーナ25年秋号（継続）元気とキレイの秘訣⑤</t>
    <rPh sb="6" eb="7">
      <t>ネン</t>
    </rPh>
    <rPh sb="7" eb="8">
      <t>アキ</t>
    </rPh>
    <rPh sb="8" eb="9">
      <t>ゴウ</t>
    </rPh>
    <rPh sb="10" eb="12">
      <t>ケイゾク</t>
    </rPh>
    <rPh sb="13" eb="15">
      <t>ゲンキ</t>
    </rPh>
    <rPh sb="20" eb="22">
      <t>ヒケツ</t>
    </rPh>
    <phoneticPr fontId="5"/>
  </si>
  <si>
    <t>JOD127</t>
    <phoneticPr fontId="11"/>
  </si>
  <si>
    <t>JOD158</t>
  </si>
  <si>
    <t>5/6～10/末</t>
    <rPh sb="7" eb="8">
      <t>マツ</t>
    </rPh>
    <phoneticPr fontId="11"/>
  </si>
  <si>
    <t>5/6～10/末</t>
    <rPh sb="7" eb="8">
      <t>マツ</t>
    </rPh>
    <phoneticPr fontId="5"/>
  </si>
  <si>
    <t>サクラマチ返品</t>
    <rPh sb="5" eb="7">
      <t>ヘンピン</t>
    </rPh>
    <phoneticPr fontId="5"/>
  </si>
  <si>
    <t>サクラマチ返品</t>
    <rPh sb="5" eb="7">
      <t>ヘンピン</t>
    </rPh>
    <phoneticPr fontId="11"/>
  </si>
  <si>
    <t>JOD159</t>
    <phoneticPr fontId="5"/>
  </si>
  <si>
    <t>ゆめはん</t>
    <phoneticPr fontId="5"/>
  </si>
  <si>
    <t>はぴねすくらぶ12月号③</t>
    <rPh sb="9" eb="11">
      <t>ガツゴウ</t>
    </rPh>
    <phoneticPr fontId="5"/>
  </si>
  <si>
    <t>JOD特別版0326</t>
    <rPh sb="3" eb="6">
      <t>トクベツバン</t>
    </rPh>
    <phoneticPr fontId="5"/>
  </si>
  <si>
    <t>3/25～</t>
    <phoneticPr fontId="5"/>
  </si>
  <si>
    <t>在庫確認</t>
    <rPh sb="0" eb="4">
      <t>ザイコカクニン</t>
    </rPh>
    <phoneticPr fontId="5"/>
  </si>
  <si>
    <t>在庫確認</t>
    <rPh sb="0" eb="4">
      <t>ザイコカクニン</t>
    </rPh>
    <phoneticPr fontId="11"/>
  </si>
  <si>
    <t>2025/3/1→2/21数伝　2/14ship</t>
    <rPh sb="13" eb="15">
      <t>スウデン</t>
    </rPh>
    <phoneticPr fontId="11"/>
  </si>
  <si>
    <t>←ここまで確認2026/2/21</t>
    <rPh sb="5" eb="7">
      <t>カクニン</t>
    </rPh>
    <phoneticPr fontId="27"/>
  </si>
  <si>
    <t>日生協カタログ26春すこやかびと⑪</t>
    <rPh sb="0" eb="3">
      <t>ニッセイキョウ</t>
    </rPh>
    <rPh sb="9" eb="10">
      <t>ハル</t>
    </rPh>
    <phoneticPr fontId="11"/>
  </si>
  <si>
    <t>日生協カタログよろこ日和ウェルネス特別号</t>
    <rPh sb="0" eb="3">
      <t>ニッセイキョウ</t>
    </rPh>
    <rPh sb="10" eb="12">
      <t>ビヨリ</t>
    </rPh>
    <rPh sb="17" eb="20">
      <t>トクベツゴウ</t>
    </rPh>
    <phoneticPr fontId="11"/>
  </si>
  <si>
    <t>日生協カタログよろこ日和ウェルネス特別号差分予測</t>
    <rPh sb="0" eb="3">
      <t>ニッセイキョウ</t>
    </rPh>
    <rPh sb="10" eb="12">
      <t>ビヨリ</t>
    </rPh>
    <rPh sb="17" eb="20">
      <t>トクベツゴウ</t>
    </rPh>
    <rPh sb="20" eb="24">
      <t>サブンヨソク</t>
    </rPh>
    <phoneticPr fontId="11"/>
  </si>
  <si>
    <t>JOD160</t>
    <phoneticPr fontId="5"/>
  </si>
  <si>
    <t>JOD161</t>
  </si>
  <si>
    <t>JOD返品</t>
    <rPh sb="3" eb="5">
      <t>ヘンピン</t>
    </rPh>
    <phoneticPr fontId="5"/>
  </si>
  <si>
    <t>ベルーナ素敵な生活26夏号①</t>
    <rPh sb="4" eb="6">
      <t>ステキ</t>
    </rPh>
    <rPh sb="7" eb="9">
      <t>セイカツ</t>
    </rPh>
    <rPh sb="11" eb="13">
      <t>ナツゴウ</t>
    </rPh>
    <phoneticPr fontId="11"/>
  </si>
  <si>
    <t>コープきんき3月4回①</t>
    <rPh sb="7" eb="8">
      <t>ガツ</t>
    </rPh>
    <rPh sb="9" eb="10">
      <t>カイ</t>
    </rPh>
    <phoneticPr fontId="11"/>
  </si>
  <si>
    <t>JOD129</t>
    <phoneticPr fontId="11"/>
  </si>
  <si>
    <t>コープCSネット3月2回①</t>
    <rPh sb="9" eb="10">
      <t>ガツ</t>
    </rPh>
    <rPh sb="11" eb="12">
      <t>カイ</t>
    </rPh>
    <phoneticPr fontId="5"/>
  </si>
  <si>
    <t>コープCSネット3月2回①</t>
    <rPh sb="9" eb="10">
      <t>ガツ</t>
    </rPh>
    <rPh sb="11" eb="12">
      <t>カイ</t>
    </rPh>
    <phoneticPr fontId="11"/>
  </si>
  <si>
    <t>はぴねすくらぶ12月号④</t>
    <rPh sb="9" eb="11">
      <t>ガツゴウ</t>
    </rPh>
    <phoneticPr fontId="5"/>
  </si>
  <si>
    <t>JOD130</t>
    <phoneticPr fontId="11"/>
  </si>
  <si>
    <t>JOD162</t>
    <phoneticPr fontId="5"/>
  </si>
  <si>
    <t>IEI返品</t>
    <rPh sb="3" eb="5">
      <t>ヘンピン</t>
    </rPh>
    <phoneticPr fontId="5"/>
  </si>
  <si>
    <t>コープCSネット3月2回②</t>
    <rPh sb="9" eb="10">
      <t>ガツ</t>
    </rPh>
    <rPh sb="11" eb="12">
      <t>カイ</t>
    </rPh>
    <phoneticPr fontId="11"/>
  </si>
  <si>
    <t>コープ九州3月3回①</t>
    <phoneticPr fontId="5"/>
  </si>
  <si>
    <t>コープ九州３月３回①</t>
    <rPh sb="3" eb="5">
      <t>キュウシュウ</t>
    </rPh>
    <rPh sb="6" eb="7">
      <t>ガツ</t>
    </rPh>
    <rPh sb="8" eb="9">
      <t>カイ</t>
    </rPh>
    <phoneticPr fontId="11"/>
  </si>
  <si>
    <t>あいコープみやぎ6月2回差分予測</t>
    <rPh sb="9" eb="10">
      <t>ガツ</t>
    </rPh>
    <rPh sb="11" eb="12">
      <t>カイ</t>
    </rPh>
    <rPh sb="12" eb="16">
      <t>サブンヨソク</t>
    </rPh>
    <phoneticPr fontId="5"/>
  </si>
  <si>
    <t>あいコープみやぎ6月2回</t>
    <rPh sb="9" eb="10">
      <t>ガツ</t>
    </rPh>
    <rPh sb="11" eb="12">
      <t>カイ</t>
    </rPh>
    <phoneticPr fontId="5"/>
  </si>
  <si>
    <t>JOD131</t>
  </si>
  <si>
    <t>JOD132</t>
  </si>
  <si>
    <t>JOD163</t>
    <phoneticPr fontId="5"/>
  </si>
  <si>
    <t>ユーコープ3月3回①</t>
    <rPh sb="6" eb="7">
      <t>ガツ</t>
    </rPh>
    <rPh sb="8" eb="9">
      <t>カイ</t>
    </rPh>
    <phoneticPr fontId="11"/>
  </si>
  <si>
    <t>くらし返品</t>
    <rPh sb="3" eb="5">
      <t>ヘンピン</t>
    </rPh>
    <phoneticPr fontId="5"/>
  </si>
  <si>
    <t>JODアクセス7016</t>
    <phoneticPr fontId="11"/>
  </si>
  <si>
    <t>4/25～</t>
    <phoneticPr fontId="11"/>
  </si>
  <si>
    <t>JOD133</t>
    <phoneticPr fontId="11"/>
  </si>
  <si>
    <t>コープCSネット3月2回③</t>
    <rPh sb="9" eb="10">
      <t>ガツ</t>
    </rPh>
    <rPh sb="11" eb="12">
      <t>カイ</t>
    </rPh>
    <phoneticPr fontId="11"/>
  </si>
  <si>
    <t>ゆめはん</t>
    <phoneticPr fontId="11"/>
  </si>
  <si>
    <t>JOD134</t>
    <phoneticPr fontId="11"/>
  </si>
  <si>
    <t>JOD164</t>
    <phoneticPr fontId="5"/>
  </si>
  <si>
    <t>日生協カタログ26春すこやかびと⑫</t>
    <rPh sb="0" eb="3">
      <t>ニッセイキョウ</t>
    </rPh>
    <rPh sb="9" eb="10">
      <t>ハル</t>
    </rPh>
    <phoneticPr fontId="11"/>
  </si>
  <si>
    <t>コープさっぽろ5月2回</t>
    <rPh sb="8" eb="9">
      <t>ガツ</t>
    </rPh>
    <rPh sb="10" eb="11">
      <t>カイ</t>
    </rPh>
    <phoneticPr fontId="5"/>
  </si>
  <si>
    <t>5/6、5/11</t>
    <phoneticPr fontId="5"/>
  </si>
  <si>
    <t>コープさっぽろ5月2回差分予測</t>
    <rPh sb="8" eb="9">
      <t>ガツ</t>
    </rPh>
    <rPh sb="10" eb="11">
      <t>カイ</t>
    </rPh>
    <rPh sb="11" eb="15">
      <t>サブンヨソク</t>
    </rPh>
    <phoneticPr fontId="5"/>
  </si>
  <si>
    <t>5/6、5/11</t>
    <phoneticPr fontId="11"/>
  </si>
  <si>
    <t>JOD135</t>
    <phoneticPr fontId="11"/>
  </si>
  <si>
    <t>JOD165</t>
    <phoneticPr fontId="5"/>
  </si>
  <si>
    <t>学校生協2026年3月企画②</t>
    <rPh sb="0" eb="4">
      <t>ガッコウセイキョウ</t>
    </rPh>
    <rPh sb="8" eb="9">
      <t>ネン</t>
    </rPh>
    <rPh sb="10" eb="11">
      <t>ガツ</t>
    </rPh>
    <rPh sb="11" eb="13">
      <t>キカク</t>
    </rPh>
    <phoneticPr fontId="5"/>
  </si>
  <si>
    <t>JOD特別号9561</t>
    <rPh sb="3" eb="5">
      <t>トクベツ</t>
    </rPh>
    <rPh sb="5" eb="6">
      <t>ゴウ</t>
    </rPh>
    <phoneticPr fontId="5"/>
  </si>
  <si>
    <t>4/21～</t>
    <phoneticPr fontId="5"/>
  </si>
  <si>
    <t>JOD166</t>
    <phoneticPr fontId="5"/>
  </si>
  <si>
    <t>ユーコープ3月3回②</t>
    <rPh sb="6" eb="7">
      <t>ガツ</t>
    </rPh>
    <rPh sb="8" eb="9">
      <t>カイ</t>
    </rPh>
    <phoneticPr fontId="11"/>
  </si>
  <si>
    <t>コープ九州3月3回②</t>
    <phoneticPr fontId="5"/>
  </si>
  <si>
    <t>コープ九州３月３回②</t>
    <rPh sb="3" eb="5">
      <t>キュウシュウ</t>
    </rPh>
    <rPh sb="6" eb="7">
      <t>ガツ</t>
    </rPh>
    <rPh sb="8" eb="9">
      <t>カイ</t>
    </rPh>
    <phoneticPr fontId="11"/>
  </si>
  <si>
    <t>←ここまで確認2026/3/11</t>
    <rPh sb="5" eb="7">
      <t>カクニン</t>
    </rPh>
    <phoneticPr fontId="27"/>
  </si>
  <si>
    <t>JOD返品</t>
    <rPh sb="3" eb="5">
      <t>ヘンピン</t>
    </rPh>
    <phoneticPr fontId="5"/>
  </si>
  <si>
    <t>JOD136</t>
    <phoneticPr fontId="11"/>
  </si>
  <si>
    <t>くらし企画（きんき）sample返却</t>
    <rPh sb="3" eb="5">
      <t>キカク</t>
    </rPh>
    <rPh sb="16" eb="18">
      <t>ヘンキャク</t>
    </rPh>
    <phoneticPr fontId="11"/>
  </si>
  <si>
    <t>くらし企画sample返却</t>
    <rPh sb="3" eb="5">
      <t>キカク</t>
    </rPh>
    <rPh sb="11" eb="13">
      <t>ヘンキャク</t>
    </rPh>
    <phoneticPr fontId="5"/>
  </si>
  <si>
    <t>ユーコープ3月3回③</t>
    <rPh sb="6" eb="7">
      <t>ガツ</t>
    </rPh>
    <rPh sb="8" eb="9">
      <t>カイ</t>
    </rPh>
    <phoneticPr fontId="11"/>
  </si>
  <si>
    <t>コープ九州3月3回③</t>
    <phoneticPr fontId="5"/>
  </si>
  <si>
    <t>コープ九州３月３回③</t>
    <rPh sb="3" eb="5">
      <t>キュウシュウ</t>
    </rPh>
    <rPh sb="6" eb="7">
      <t>ガツ</t>
    </rPh>
    <rPh sb="8" eb="9">
      <t>カイ</t>
    </rPh>
    <phoneticPr fontId="11"/>
  </si>
  <si>
    <t>２０２４年～２０２６年3月　実績数</t>
    <rPh sb="4" eb="5">
      <t>ネン</t>
    </rPh>
    <rPh sb="10" eb="11">
      <t>ネン</t>
    </rPh>
    <rPh sb="12" eb="13">
      <t>ガツ</t>
    </rPh>
    <rPh sb="16" eb="17">
      <t>スウ</t>
    </rPh>
    <phoneticPr fontId="11"/>
  </si>
  <si>
    <t>追加2  2-2</t>
    <rPh sb="0" eb="2">
      <t>ツイカ</t>
    </rPh>
    <phoneticPr fontId="2"/>
  </si>
  <si>
    <t>JOD167</t>
    <phoneticPr fontId="5"/>
  </si>
  <si>
    <t>コープ九州3月3回④</t>
    <phoneticPr fontId="5"/>
  </si>
  <si>
    <t>コープ九州３月３回④</t>
    <rPh sb="3" eb="5">
      <t>キュウシュウ</t>
    </rPh>
    <rPh sb="6" eb="7">
      <t>ガツ</t>
    </rPh>
    <rPh sb="8" eb="9">
      <t>カイ</t>
    </rPh>
    <phoneticPr fontId="11"/>
  </si>
  <si>
    <t>ベルーナ素敵な生活26夏号②</t>
    <rPh sb="4" eb="6">
      <t>ステキ</t>
    </rPh>
    <rPh sb="7" eb="9">
      <t>セイカツ</t>
    </rPh>
    <rPh sb="11" eb="13">
      <t>ナツゴウ</t>
    </rPh>
    <phoneticPr fontId="11"/>
  </si>
  <si>
    <t>ベルーナ素敵な生活26夏号①</t>
    <rPh sb="4" eb="6">
      <t>ステキ</t>
    </rPh>
    <rPh sb="7" eb="9">
      <t>セイカツ</t>
    </rPh>
    <rPh sb="11" eb="13">
      <t>ナツゴウ</t>
    </rPh>
    <phoneticPr fontId="5"/>
  </si>
  <si>
    <t>ベルーナ素敵な生活26夏号②</t>
    <rPh sb="4" eb="6">
      <t>ステキ</t>
    </rPh>
    <rPh sb="7" eb="9">
      <t>セイカツ</t>
    </rPh>
    <rPh sb="11" eb="13">
      <t>ナツゴウ</t>
    </rPh>
    <phoneticPr fontId="5"/>
  </si>
  <si>
    <t>2026/3/14数伝</t>
    <rPh sb="9" eb="11">
      <t>スウデン</t>
    </rPh>
    <phoneticPr fontId="5"/>
  </si>
  <si>
    <t>2026/3/14数伝</t>
    <rPh sb="9" eb="11">
      <t>スウデン</t>
    </rPh>
    <phoneticPr fontId="11"/>
  </si>
  <si>
    <t>JOD168</t>
  </si>
  <si>
    <t>コープきんき3月4回②</t>
    <rPh sb="7" eb="8">
      <t>ガツ</t>
    </rPh>
    <rPh sb="9" eb="10">
      <t>カイ</t>
    </rPh>
    <phoneticPr fontId="11"/>
  </si>
  <si>
    <t>追加</t>
    <rPh sb="0" eb="2">
      <t>ツイカ</t>
    </rPh>
    <phoneticPr fontId="5"/>
  </si>
  <si>
    <t>JOD169</t>
    <phoneticPr fontId="5"/>
  </si>
  <si>
    <t>パル　きなり流　4月3回①</t>
    <rPh sb="6" eb="7">
      <t>リュウ</t>
    </rPh>
    <rPh sb="9" eb="10">
      <t>ガツ</t>
    </rPh>
    <rPh sb="11" eb="12">
      <t>カイ</t>
    </rPh>
    <phoneticPr fontId="5"/>
  </si>
  <si>
    <t>5/9～8/31</t>
    <phoneticPr fontId="5"/>
  </si>
  <si>
    <t>ＩＥＩヴィヴァン5月号差分予測</t>
    <rPh sb="9" eb="11">
      <t>ガツゴウ</t>
    </rPh>
    <rPh sb="11" eb="15">
      <t>サブンヨソク</t>
    </rPh>
    <phoneticPr fontId="5"/>
  </si>
  <si>
    <t>ＩＥＩヴィヴァン5月号</t>
    <rPh sb="9" eb="11">
      <t>ガツゴウ</t>
    </rPh>
    <phoneticPr fontId="5"/>
  </si>
  <si>
    <t>JOD137</t>
    <phoneticPr fontId="11"/>
  </si>
  <si>
    <t>JOD170</t>
  </si>
  <si>
    <t>コープきんき3月4回③</t>
    <rPh sb="7" eb="8">
      <t>ガツ</t>
    </rPh>
    <rPh sb="9" eb="10">
      <t>カイ</t>
    </rPh>
    <phoneticPr fontId="11"/>
  </si>
  <si>
    <t>JODメルシー0507</t>
    <phoneticPr fontId="5"/>
  </si>
  <si>
    <t>5/7～</t>
    <phoneticPr fontId="5"/>
  </si>
  <si>
    <t>JOD171</t>
    <phoneticPr fontId="5"/>
  </si>
  <si>
    <t>日生協カタログすこやかびと冊子26夏号①</t>
    <rPh sb="0" eb="3">
      <t>ニッセイキョウ</t>
    </rPh>
    <rPh sb="13" eb="15">
      <t>サッシ</t>
    </rPh>
    <rPh sb="17" eb="19">
      <t>ナツゴウ</t>
    </rPh>
    <phoneticPr fontId="11"/>
  </si>
  <si>
    <t>はぴねすくらぶ12月号⑥</t>
    <phoneticPr fontId="11"/>
  </si>
  <si>
    <t>ＩＥＩ使ってヨカッタ3月号②</t>
    <rPh sb="3" eb="4">
      <t>ツカ</t>
    </rPh>
    <rPh sb="11" eb="13">
      <t>ガツゴウ</t>
    </rPh>
    <phoneticPr fontId="5"/>
  </si>
  <si>
    <t>JOD172</t>
  </si>
  <si>
    <t>IEI交換</t>
    <rPh sb="3" eb="5">
      <t>コウカン</t>
    </rPh>
    <phoneticPr fontId="5"/>
  </si>
  <si>
    <t>ゆめはん</t>
    <phoneticPr fontId="5"/>
  </si>
  <si>
    <t>追加</t>
    <rPh sb="0" eb="2">
      <t>ツイカ</t>
    </rPh>
    <phoneticPr fontId="11"/>
  </si>
  <si>
    <t>ゆめはん</t>
    <phoneticPr fontId="11"/>
  </si>
  <si>
    <t>JOD138</t>
    <phoneticPr fontId="11"/>
  </si>
  <si>
    <t>JOD173</t>
    <phoneticPr fontId="5"/>
  </si>
  <si>
    <t>JOD返品</t>
    <rPh sb="3" eb="5">
      <t>ヘンピン</t>
    </rPh>
    <phoneticPr fontId="11"/>
  </si>
  <si>
    <t>6/3～6/5</t>
    <phoneticPr fontId="5"/>
  </si>
  <si>
    <t>6/3～6/5</t>
    <phoneticPr fontId="11"/>
  </si>
  <si>
    <t>ネット交換</t>
    <rPh sb="3" eb="5">
      <t>コウカン</t>
    </rPh>
    <phoneticPr fontId="11"/>
  </si>
  <si>
    <t>JOD174</t>
    <phoneticPr fontId="5"/>
  </si>
  <si>
    <t>JOD175</t>
    <phoneticPr fontId="5"/>
  </si>
  <si>
    <t>JOD139</t>
    <phoneticPr fontId="11"/>
  </si>
  <si>
    <t>JOD176</t>
  </si>
  <si>
    <t>JOD177</t>
    <phoneticPr fontId="5"/>
  </si>
  <si>
    <t>追加３　過剰入荷分</t>
    <rPh sb="0" eb="2">
      <t>ツイカ</t>
    </rPh>
    <rPh sb="4" eb="6">
      <t>カジョウ</t>
    </rPh>
    <rPh sb="6" eb="8">
      <t>ニュウカ</t>
    </rPh>
    <rPh sb="8" eb="9">
      <t>ブン</t>
    </rPh>
    <phoneticPr fontId="2"/>
  </si>
  <si>
    <t>追加２（過剰入荷分）</t>
    <rPh sb="0" eb="2">
      <t>ツイカ</t>
    </rPh>
    <rPh sb="4" eb="6">
      <t>カジョウ</t>
    </rPh>
    <rPh sb="6" eb="8">
      <t>ニュウカ</t>
    </rPh>
    <rPh sb="8" eb="9">
      <t>ブン</t>
    </rPh>
    <phoneticPr fontId="2"/>
  </si>
  <si>
    <t>コープこうべ7月3回差分予測</t>
    <rPh sb="7" eb="8">
      <t>ガツ</t>
    </rPh>
    <rPh sb="9" eb="10">
      <t>カイ</t>
    </rPh>
    <rPh sb="10" eb="14">
      <t>サブンヨソク</t>
    </rPh>
    <phoneticPr fontId="5"/>
  </si>
  <si>
    <t>コープこうべ7月3回差分予測</t>
    <rPh sb="10" eb="14">
      <t>サブンヨソク</t>
    </rPh>
    <phoneticPr fontId="11"/>
  </si>
  <si>
    <t>コープ九州7月2回　￥5480</t>
    <rPh sb="3" eb="5">
      <t>キュウシュウ</t>
    </rPh>
    <rPh sb="6" eb="7">
      <t>ガツ</t>
    </rPh>
    <rPh sb="8" eb="9">
      <t>カイ</t>
    </rPh>
    <phoneticPr fontId="11"/>
  </si>
  <si>
    <t>コープ九州7月2回差分予測　￥5480</t>
    <rPh sb="3" eb="5">
      <t>キュウシュウ</t>
    </rPh>
    <rPh sb="6" eb="7">
      <t>ガツ</t>
    </rPh>
    <rPh sb="8" eb="9">
      <t>カイ</t>
    </rPh>
    <rPh sb="9" eb="13">
      <t>サブンヨソク</t>
    </rPh>
    <phoneticPr fontId="11"/>
  </si>
  <si>
    <t>コープ九州7月2回　￥5480</t>
    <rPh sb="3" eb="5">
      <t>キュウシュウ</t>
    </rPh>
    <rPh sb="6" eb="7">
      <t>ガツ</t>
    </rPh>
    <rPh sb="8" eb="9">
      <t>カイ</t>
    </rPh>
    <phoneticPr fontId="5"/>
  </si>
  <si>
    <t>コープ九州7月2回　￥5480　差分予測</t>
    <rPh sb="3" eb="5">
      <t>キュウシュウ</t>
    </rPh>
    <rPh sb="6" eb="7">
      <t>ガツ</t>
    </rPh>
    <rPh sb="8" eb="9">
      <t>カイ</t>
    </rPh>
    <rPh sb="16" eb="20">
      <t>サブンヨソク</t>
    </rPh>
    <phoneticPr fontId="5"/>
  </si>
  <si>
    <t>ベルーナ素敵な生活26夏号③</t>
    <rPh sb="4" eb="6">
      <t>ステキ</t>
    </rPh>
    <rPh sb="7" eb="9">
      <t>セイカツ</t>
    </rPh>
    <rPh sb="11" eb="13">
      <t>ナツゴウ</t>
    </rPh>
    <phoneticPr fontId="11"/>
  </si>
  <si>
    <t>ベルーナ素敵な生活26夏号③</t>
    <rPh sb="4" eb="6">
      <t>ステキ</t>
    </rPh>
    <rPh sb="7" eb="9">
      <t>セイカツ</t>
    </rPh>
    <rPh sb="11" eb="13">
      <t>ナツゴウ</t>
    </rPh>
    <phoneticPr fontId="5"/>
  </si>
  <si>
    <t>JOD140</t>
    <phoneticPr fontId="11"/>
  </si>
  <si>
    <t>JOD178</t>
    <phoneticPr fontId="5"/>
  </si>
  <si>
    <t>JOD179</t>
  </si>
  <si>
    <t>ハルメクアルファ　⑰</t>
    <phoneticPr fontId="11"/>
  </si>
  <si>
    <t>ハルメクアルファ⑲</t>
    <phoneticPr fontId="5"/>
  </si>
  <si>
    <t>日生協カタログすこやかびと冊子26夏号②</t>
    <rPh sb="0" eb="3">
      <t>ニッセイキョウ</t>
    </rPh>
    <rPh sb="13" eb="15">
      <t>サッシ</t>
    </rPh>
    <rPh sb="17" eb="19">
      <t>ナツゴウ</t>
    </rPh>
    <phoneticPr fontId="11"/>
  </si>
  <si>
    <t>ベルーナ素敵な生活26夏号④</t>
    <rPh sb="4" eb="6">
      <t>ステキ</t>
    </rPh>
    <rPh sb="7" eb="9">
      <t>セイカツ</t>
    </rPh>
    <rPh sb="11" eb="13">
      <t>ナツゴウ</t>
    </rPh>
    <phoneticPr fontId="11"/>
  </si>
  <si>
    <t>6/24～7/8</t>
    <phoneticPr fontId="5"/>
  </si>
  <si>
    <t>6/24～7/8</t>
    <phoneticPr fontId="11"/>
  </si>
  <si>
    <t>学校生協2026年5月初夏号①</t>
    <rPh sb="0" eb="4">
      <t>ガッコウセイキョウ</t>
    </rPh>
    <rPh sb="8" eb="9">
      <t>ネン</t>
    </rPh>
    <rPh sb="10" eb="11">
      <t>ガツ</t>
    </rPh>
    <rPh sb="11" eb="13">
      <t>ショカ</t>
    </rPh>
    <rPh sb="13" eb="14">
      <t>ゴウ</t>
    </rPh>
    <phoneticPr fontId="5"/>
  </si>
  <si>
    <t>追加２ 1-1</t>
    <rPh sb="0" eb="2">
      <t>ツイカ</t>
    </rPh>
    <phoneticPr fontId="2"/>
  </si>
  <si>
    <t>アバウト</t>
    <phoneticPr fontId="5"/>
  </si>
  <si>
    <t>パル　きなり流　4月3回②</t>
    <rPh sb="6" eb="7">
      <t>リュウ</t>
    </rPh>
    <rPh sb="9" eb="10">
      <t>ガツ</t>
    </rPh>
    <rPh sb="11" eb="12">
      <t>カイ</t>
    </rPh>
    <phoneticPr fontId="5"/>
  </si>
  <si>
    <t>ネット返品交換</t>
    <rPh sb="3" eb="7">
      <t>ヘンピンコウカン</t>
    </rPh>
    <phoneticPr fontId="11"/>
  </si>
  <si>
    <t>JOD返品</t>
    <rPh sb="3" eb="5">
      <t>ヘンピン</t>
    </rPh>
    <phoneticPr fontId="5"/>
  </si>
  <si>
    <t>ゆめはん</t>
    <phoneticPr fontId="11"/>
  </si>
  <si>
    <t>ベルーナ素敵な生活26夏号⑤</t>
    <rPh sb="4" eb="6">
      <t>ステキ</t>
    </rPh>
    <rPh sb="7" eb="9">
      <t>セイカツ</t>
    </rPh>
    <rPh sb="11" eb="13">
      <t>ナツゴウ</t>
    </rPh>
    <phoneticPr fontId="11"/>
  </si>
  <si>
    <t>ベルーナ素敵な生活26夏号④</t>
    <rPh sb="4" eb="6">
      <t>ステキ</t>
    </rPh>
    <rPh sb="7" eb="9">
      <t>セイカツ</t>
    </rPh>
    <rPh sb="11" eb="13">
      <t>ナツゴウ</t>
    </rPh>
    <phoneticPr fontId="5"/>
  </si>
  <si>
    <t>JOD141</t>
    <phoneticPr fontId="11"/>
  </si>
  <si>
    <t>JOD180</t>
    <phoneticPr fontId="5"/>
  </si>
  <si>
    <t>パル　きなり流　4月3回③</t>
    <rPh sb="6" eb="7">
      <t>リュウ</t>
    </rPh>
    <rPh sb="9" eb="10">
      <t>ガツ</t>
    </rPh>
    <rPh sb="11" eb="12">
      <t>カイ</t>
    </rPh>
    <phoneticPr fontId="5"/>
  </si>
  <si>
    <t>JOD181</t>
    <phoneticPr fontId="5"/>
  </si>
  <si>
    <t>ＩＥＩ使ってヨカッタ3月号③</t>
    <rPh sb="3" eb="4">
      <t>ツカ</t>
    </rPh>
    <rPh sb="11" eb="13">
      <t>ガツゴウ</t>
    </rPh>
    <phoneticPr fontId="5"/>
  </si>
  <si>
    <t>JOD182</t>
  </si>
  <si>
    <t>ベルーナ素敵な生活26夏号⑥</t>
    <rPh sb="4" eb="6">
      <t>ステキ</t>
    </rPh>
    <rPh sb="7" eb="9">
      <t>セイカツ</t>
    </rPh>
    <rPh sb="11" eb="13">
      <t>ナツゴウ</t>
    </rPh>
    <phoneticPr fontId="11"/>
  </si>
  <si>
    <t>ベルーナ素敵な生活26夏号⑤</t>
    <rPh sb="4" eb="6">
      <t>ステキ</t>
    </rPh>
    <rPh sb="7" eb="9">
      <t>セイカツ</t>
    </rPh>
    <rPh sb="11" eb="13">
      <t>ナツゴウ</t>
    </rPh>
    <phoneticPr fontId="5"/>
  </si>
  <si>
    <t>JOD183</t>
  </si>
  <si>
    <t>JOD143</t>
  </si>
  <si>
    <t>2026/4/16数伝</t>
    <rPh sb="9" eb="11">
      <t>スウデン</t>
    </rPh>
    <phoneticPr fontId="5"/>
  </si>
  <si>
    <t>2026/4/16数伝</t>
    <rPh sb="9" eb="11">
      <t>スウデン</t>
    </rPh>
    <phoneticPr fontId="11"/>
  </si>
  <si>
    <t>コープ東北サンネット7月4回</t>
    <rPh sb="3" eb="5">
      <t>トウホク</t>
    </rPh>
    <rPh sb="11" eb="12">
      <t>ガツ</t>
    </rPh>
    <rPh sb="13" eb="14">
      <t>カイ</t>
    </rPh>
    <phoneticPr fontId="5"/>
  </si>
  <si>
    <t>コープ東北サンネット7月4回差分予測</t>
    <rPh sb="3" eb="5">
      <t>トウホク</t>
    </rPh>
    <rPh sb="11" eb="12">
      <t>ガツ</t>
    </rPh>
    <rPh sb="13" eb="14">
      <t>カイ</t>
    </rPh>
    <rPh sb="14" eb="18">
      <t>サブンヨソク</t>
    </rPh>
    <phoneticPr fontId="5"/>
  </si>
  <si>
    <t>コープ東北サンネット7月4回</t>
    <rPh sb="3" eb="5">
      <t>トウホク</t>
    </rPh>
    <rPh sb="11" eb="12">
      <t>ガツ</t>
    </rPh>
    <rPh sb="13" eb="14">
      <t>カイ</t>
    </rPh>
    <phoneticPr fontId="11"/>
  </si>
  <si>
    <t>コープ東北サンネット7月4回差分予測</t>
    <rPh sb="14" eb="18">
      <t>サブンヨソク</t>
    </rPh>
    <phoneticPr fontId="11"/>
  </si>
  <si>
    <t>KPORT</t>
    <phoneticPr fontId="5"/>
  </si>
  <si>
    <t>KPORT</t>
    <phoneticPr fontId="11"/>
  </si>
  <si>
    <t>JOD184</t>
    <phoneticPr fontId="5"/>
  </si>
  <si>
    <t>7/15～7/30</t>
    <phoneticPr fontId="5"/>
  </si>
  <si>
    <t>コープこうべ7月3回　特価￥5480</t>
    <rPh sb="7" eb="8">
      <t>ガツ</t>
    </rPh>
    <rPh sb="9" eb="10">
      <t>カイ</t>
    </rPh>
    <rPh sb="11" eb="13">
      <t>トッカ</t>
    </rPh>
    <phoneticPr fontId="5"/>
  </si>
  <si>
    <t>コープこうべ7月3回　特価￥5480</t>
    <rPh sb="7" eb="8">
      <t>ガツ</t>
    </rPh>
    <rPh sb="9" eb="10">
      <t>カイ</t>
    </rPh>
    <rPh sb="11" eb="13">
      <t>トッカ</t>
    </rPh>
    <phoneticPr fontId="11"/>
  </si>
  <si>
    <t>JOD185</t>
  </si>
  <si>
    <t>はぴねす返品</t>
    <rPh sb="4" eb="6">
      <t>ヘンピン</t>
    </rPh>
    <phoneticPr fontId="11"/>
  </si>
  <si>
    <t>IEI返品</t>
    <rPh sb="3" eb="5">
      <t>ヘンピン</t>
    </rPh>
    <phoneticPr fontId="5"/>
  </si>
  <si>
    <t>JOD返品</t>
    <rPh sb="3" eb="5">
      <t>ヘンピン</t>
    </rPh>
    <phoneticPr fontId="5"/>
  </si>
  <si>
    <t>コープこうべ4月2回①</t>
    <rPh sb="7" eb="8">
      <t>ガツ</t>
    </rPh>
    <rPh sb="9" eb="10">
      <t>カイ</t>
    </rPh>
    <phoneticPr fontId="5"/>
  </si>
  <si>
    <t>ネット</t>
    <phoneticPr fontId="5"/>
  </si>
  <si>
    <t>JOD186</t>
    <phoneticPr fontId="5"/>
  </si>
  <si>
    <t>ベルーナ素敵な生活26夏号⑥</t>
    <rPh sb="4" eb="6">
      <t>ステキ</t>
    </rPh>
    <rPh sb="7" eb="9">
      <t>セイカツ</t>
    </rPh>
    <rPh sb="11" eb="13">
      <t>ナツゴウ</t>
    </rPh>
    <phoneticPr fontId="5"/>
  </si>
  <si>
    <t>JOD187</t>
    <phoneticPr fontId="5"/>
  </si>
  <si>
    <t>コープこうべ4月2回①</t>
    <rPh sb="7" eb="8">
      <t>ガツ</t>
    </rPh>
    <rPh sb="9" eb="10">
      <t>カイ</t>
    </rPh>
    <phoneticPr fontId="11"/>
  </si>
  <si>
    <t>コープこうべ4月2回②</t>
    <rPh sb="7" eb="8">
      <t>ガツ</t>
    </rPh>
    <rPh sb="9" eb="10">
      <t>カイ</t>
    </rPh>
    <phoneticPr fontId="5"/>
  </si>
  <si>
    <t>7/9～22</t>
    <phoneticPr fontId="5"/>
  </si>
  <si>
    <t>グリーンコープ16号差分予測</t>
    <rPh sb="9" eb="10">
      <t>ゴウ</t>
    </rPh>
    <rPh sb="10" eb="14">
      <t>サブンヨソク</t>
    </rPh>
    <phoneticPr fontId="5"/>
  </si>
  <si>
    <t>グリーンコープ16号（別チラシ）</t>
    <rPh sb="9" eb="10">
      <t>ゴウ</t>
    </rPh>
    <rPh sb="11" eb="12">
      <t>ベツ</t>
    </rPh>
    <phoneticPr fontId="5"/>
  </si>
  <si>
    <t>7/1～9</t>
    <phoneticPr fontId="5"/>
  </si>
  <si>
    <t>JOD188</t>
    <phoneticPr fontId="5"/>
  </si>
  <si>
    <t>ベルーナ素敵な生活26夏号⑦</t>
    <rPh sb="4" eb="6">
      <t>ステキ</t>
    </rPh>
    <rPh sb="7" eb="9">
      <t>セイカツ</t>
    </rPh>
    <rPh sb="11" eb="13">
      <t>ナツゴウ</t>
    </rPh>
    <phoneticPr fontId="5"/>
  </si>
  <si>
    <t>JOD特別号9566</t>
    <rPh sb="3" eb="6">
      <t>トクベツゴウ</t>
    </rPh>
    <phoneticPr fontId="5"/>
  </si>
  <si>
    <t>6/9～</t>
    <phoneticPr fontId="5"/>
  </si>
  <si>
    <t>JOD189</t>
    <phoneticPr fontId="5"/>
  </si>
  <si>
    <t>ゆめはん</t>
    <phoneticPr fontId="11"/>
  </si>
  <si>
    <t>2026/5/1数伝</t>
    <rPh sb="8" eb="10">
      <t>スウデン</t>
    </rPh>
    <phoneticPr fontId="5"/>
  </si>
  <si>
    <t>2025/5/1数伝</t>
    <rPh sb="8" eb="10">
      <t>スウデン</t>
    </rPh>
    <phoneticPr fontId="11"/>
  </si>
  <si>
    <t>2026/5/1数伝</t>
    <rPh sb="8" eb="10">
      <t>スウデン</t>
    </rPh>
    <phoneticPr fontId="11"/>
  </si>
  <si>
    <t>2026/5/1数伝</t>
    <rPh sb="8" eb="10">
      <t>スウデン</t>
    </rPh>
    <phoneticPr fontId="11"/>
  </si>
  <si>
    <t>JODメルシースポーツ0603</t>
    <phoneticPr fontId="5"/>
  </si>
  <si>
    <t>6/3～</t>
    <phoneticPr fontId="5"/>
  </si>
  <si>
    <t>JOD144</t>
    <phoneticPr fontId="11"/>
  </si>
  <si>
    <t>JOD190</t>
  </si>
  <si>
    <t>コープさっぽろ5月2回①</t>
    <rPh sb="8" eb="9">
      <t>ガツ</t>
    </rPh>
    <rPh sb="10" eb="11">
      <t>カイ</t>
    </rPh>
    <phoneticPr fontId="5"/>
  </si>
  <si>
    <t>学校生協2026年5月初夏号②</t>
    <rPh sb="0" eb="4">
      <t>ガッコウセイキョウ</t>
    </rPh>
    <rPh sb="8" eb="9">
      <t>ネン</t>
    </rPh>
    <rPh sb="10" eb="11">
      <t>ガツ</t>
    </rPh>
    <rPh sb="11" eb="13">
      <t>ショカ</t>
    </rPh>
    <rPh sb="13" eb="14">
      <t>ゴウ</t>
    </rPh>
    <phoneticPr fontId="5"/>
  </si>
  <si>
    <t>JOD145</t>
    <phoneticPr fontId="11"/>
  </si>
  <si>
    <t>JOD191</t>
    <phoneticPr fontId="5"/>
  </si>
  <si>
    <t>8/3～</t>
    <phoneticPr fontId="5"/>
  </si>
  <si>
    <t>コープCSネット8月3回 特価￥4990</t>
    <rPh sb="9" eb="10">
      <t>ガツ</t>
    </rPh>
    <rPh sb="11" eb="12">
      <t>カイ</t>
    </rPh>
    <rPh sb="13" eb="15">
      <t>トッカ</t>
    </rPh>
    <phoneticPr fontId="11"/>
  </si>
  <si>
    <t>コープCSネット8月3回 特価￥4990</t>
    <rPh sb="9" eb="10">
      <t>ガツ</t>
    </rPh>
    <rPh sb="11" eb="12">
      <t>カイ</t>
    </rPh>
    <rPh sb="13" eb="15">
      <t>トッカ</t>
    </rPh>
    <phoneticPr fontId="5"/>
  </si>
  <si>
    <t>コープCSネット8月3回差分予測　特価￥4990</t>
    <rPh sb="9" eb="10">
      <t>ガツ</t>
    </rPh>
    <rPh sb="11" eb="12">
      <t>カイ</t>
    </rPh>
    <rPh sb="12" eb="16">
      <t>サブンヨソク</t>
    </rPh>
    <rPh sb="17" eb="19">
      <t>トッカ</t>
    </rPh>
    <phoneticPr fontId="5"/>
  </si>
  <si>
    <t>追加</t>
    <rPh sb="0" eb="2">
      <t>ツイカ</t>
    </rPh>
    <phoneticPr fontId="5"/>
  </si>
  <si>
    <t>ゆめはん</t>
    <phoneticPr fontId="11"/>
  </si>
  <si>
    <t>コープCSネット8月3回差分予測　特価￥4990</t>
    <phoneticPr fontId="11"/>
  </si>
  <si>
    <t>JOD146</t>
    <phoneticPr fontId="11"/>
  </si>
  <si>
    <t>2026/9/1→８/１へ変更依頼</t>
    <rPh sb="13" eb="15">
      <t>ヘンコウ</t>
    </rPh>
    <rPh sb="15" eb="17">
      <t>イライ</t>
    </rPh>
    <phoneticPr fontId="5"/>
  </si>
  <si>
    <t xml:space="preserve">追加２ </t>
    <rPh sb="0" eb="2">
      <t>ツイカ</t>
    </rPh>
    <phoneticPr fontId="2"/>
  </si>
  <si>
    <t xml:space="preserve">追加２  </t>
    <rPh sb="0" eb="2">
      <t>ツイカ</t>
    </rPh>
    <phoneticPr fontId="2"/>
  </si>
  <si>
    <t>コープさっぽろ5月2回②</t>
    <rPh sb="8" eb="9">
      <t>ガツ</t>
    </rPh>
    <rPh sb="10" eb="11">
      <t>カイ</t>
    </rPh>
    <phoneticPr fontId="5"/>
  </si>
  <si>
    <t>日生協カタログすこやかびと冊子26夏号③</t>
    <rPh sb="0" eb="3">
      <t>ニッセイキョウ</t>
    </rPh>
    <rPh sb="13" eb="15">
      <t>サッシ</t>
    </rPh>
    <rPh sb="17" eb="19">
      <t>ナツゴウ</t>
    </rPh>
    <phoneticPr fontId="11"/>
  </si>
  <si>
    <t>2026/10/1→8/1へ依頼へ</t>
    <rPh sb="14" eb="16">
      <t>イライ</t>
    </rPh>
    <phoneticPr fontId="11"/>
  </si>
  <si>
    <t>2026/8/1→7/1</t>
    <phoneticPr fontId="5"/>
  </si>
  <si>
    <t>JOD147</t>
    <phoneticPr fontId="11"/>
  </si>
  <si>
    <t>JOD192</t>
    <phoneticPr fontId="5"/>
  </si>
  <si>
    <t>2026/8/17～12/12（展開開始3週間前に計画数の30％納品）</t>
    <phoneticPr fontId="5"/>
  </si>
  <si>
    <t>追加３ 2-1</t>
    <rPh sb="0" eb="2">
      <t>ツイカ</t>
    </rPh>
    <phoneticPr fontId="2"/>
  </si>
  <si>
    <t>追加４  2-2</t>
    <rPh sb="0" eb="2">
      <t>ツイカ</t>
    </rPh>
    <phoneticPr fontId="2"/>
  </si>
  <si>
    <t>コープ東北サンネット8月1回差分予測</t>
    <rPh sb="3" eb="5">
      <t>トウホク</t>
    </rPh>
    <rPh sb="11" eb="12">
      <t>ガツ</t>
    </rPh>
    <rPh sb="13" eb="14">
      <t>カイ</t>
    </rPh>
    <rPh sb="14" eb="18">
      <t>サブンヨソク</t>
    </rPh>
    <phoneticPr fontId="5"/>
  </si>
  <si>
    <t>コープ東北サンネット8月1回</t>
    <rPh sb="3" eb="5">
      <t>トウホク</t>
    </rPh>
    <rPh sb="11" eb="12">
      <t>ガツ</t>
    </rPh>
    <rPh sb="13" eb="14">
      <t>カイ</t>
    </rPh>
    <phoneticPr fontId="5"/>
  </si>
  <si>
    <t>7/23～8/5</t>
    <phoneticPr fontId="5"/>
  </si>
  <si>
    <t>コープ東北サンネット8月1回差分予測</t>
    <rPh sb="14" eb="18">
      <t>サブンヨソク</t>
    </rPh>
    <phoneticPr fontId="11"/>
  </si>
  <si>
    <t>コープ東北サンネット8月1回</t>
    <rPh sb="3" eb="5">
      <t>トウホク</t>
    </rPh>
    <rPh sb="11" eb="12">
      <t>ガツ</t>
    </rPh>
    <rPh sb="13" eb="14">
      <t>カイ</t>
    </rPh>
    <phoneticPr fontId="11"/>
  </si>
  <si>
    <t>JOD148</t>
  </si>
  <si>
    <t>JOD193</t>
  </si>
  <si>
    <t>くらし返品</t>
    <rPh sb="3" eb="5">
      <t>ヘンピン</t>
    </rPh>
    <phoneticPr fontId="5"/>
  </si>
  <si>
    <t>5/23ship</t>
    <phoneticPr fontId="11"/>
  </si>
  <si>
    <t>過不足　5/15</t>
    <rPh sb="0" eb="3">
      <t>カブソク</t>
    </rPh>
    <phoneticPr fontId="2"/>
  </si>
  <si>
    <t>5/23ship分</t>
    <rPh sb="8" eb="9">
      <t>ブン</t>
    </rPh>
    <phoneticPr fontId="5"/>
  </si>
  <si>
    <t>KPORT</t>
    <phoneticPr fontId="11"/>
  </si>
  <si>
    <t>夢販移動</t>
    <rPh sb="0" eb="4">
      <t>ユメハンイドウ</t>
    </rPh>
    <phoneticPr fontId="11"/>
  </si>
  <si>
    <t>KPORT</t>
    <phoneticPr fontId="5"/>
  </si>
  <si>
    <t>JOD149</t>
    <phoneticPr fontId="11"/>
  </si>
  <si>
    <t>JOD194</t>
    <phoneticPr fontId="5"/>
  </si>
  <si>
    <t>追加３ 1-1</t>
    <rPh sb="0" eb="2">
      <t>ツイカ</t>
    </rPh>
    <phoneticPr fontId="2"/>
  </si>
  <si>
    <t>日生協カタログすこやかびと冊子26夏号④</t>
    <rPh sb="0" eb="3">
      <t>ニッセイキョウ</t>
    </rPh>
    <rPh sb="13" eb="15">
      <t>サッシ</t>
    </rPh>
    <rPh sb="17" eb="19">
      <t>ナツゴウ</t>
    </rPh>
    <phoneticPr fontId="11"/>
  </si>
  <si>
    <t>JOD150</t>
    <phoneticPr fontId="11"/>
  </si>
  <si>
    <t>JOD195</t>
    <phoneticPr fontId="5"/>
  </si>
  <si>
    <t>サクラマチ返品</t>
    <rPh sb="5" eb="7">
      <t>ヘンピン</t>
    </rPh>
    <phoneticPr fontId="11"/>
  </si>
  <si>
    <t>JOD196</t>
    <phoneticPr fontId="5"/>
  </si>
  <si>
    <t>ネット</t>
    <phoneticPr fontId="11"/>
  </si>
  <si>
    <t>JOD151</t>
    <phoneticPr fontId="11"/>
  </si>
  <si>
    <t>JOD197</t>
  </si>
  <si>
    <t>ベルーナ26年夏号（継続）元気とキレイの秘訣①</t>
    <rPh sb="6" eb="7">
      <t>ネン</t>
    </rPh>
    <rPh sb="7" eb="8">
      <t>ナツ</t>
    </rPh>
    <rPh sb="8" eb="9">
      <t>ゴウ</t>
    </rPh>
    <rPh sb="10" eb="12">
      <t>ケイゾク</t>
    </rPh>
    <rPh sb="13" eb="15">
      <t>ゲンキ</t>
    </rPh>
    <rPh sb="20" eb="22">
      <t>ヒケツ</t>
    </rPh>
    <phoneticPr fontId="5"/>
  </si>
  <si>
    <t>ベルーナ26年夏号（継続）元気とキレイの秘訣②</t>
    <rPh sb="6" eb="7">
      <t>ネン</t>
    </rPh>
    <rPh sb="7" eb="8">
      <t>ナツ</t>
    </rPh>
    <rPh sb="8" eb="9">
      <t>ゴウ</t>
    </rPh>
    <rPh sb="10" eb="12">
      <t>ケイゾク</t>
    </rPh>
    <rPh sb="13" eb="15">
      <t>ゲンキ</t>
    </rPh>
    <rPh sb="20" eb="22">
      <t>ヒケツ</t>
    </rPh>
    <phoneticPr fontId="5"/>
  </si>
  <si>
    <t>ベルーナ26年夏号（継続）元気とキレイの秘訣③</t>
    <rPh sb="6" eb="7">
      <t>ネン</t>
    </rPh>
    <rPh sb="7" eb="8">
      <t>ナツ</t>
    </rPh>
    <rPh sb="8" eb="9">
      <t>ゴウ</t>
    </rPh>
    <rPh sb="10" eb="12">
      <t>ケイゾク</t>
    </rPh>
    <rPh sb="13" eb="15">
      <t>ゲンキ</t>
    </rPh>
    <rPh sb="20" eb="22">
      <t>ヒケツ</t>
    </rPh>
    <phoneticPr fontId="5"/>
  </si>
  <si>
    <t>ベルーナ素敵な生活26夏号⑧</t>
    <rPh sb="4" eb="6">
      <t>ステキ</t>
    </rPh>
    <rPh sb="7" eb="9">
      <t>セイカツ</t>
    </rPh>
    <rPh sb="11" eb="13">
      <t>ナツゴウ</t>
    </rPh>
    <phoneticPr fontId="5"/>
  </si>
  <si>
    <t>JOD特別版0604</t>
    <rPh sb="3" eb="6">
      <t>トクベツバン</t>
    </rPh>
    <phoneticPr fontId="11"/>
  </si>
  <si>
    <t>6/3～</t>
    <phoneticPr fontId="11"/>
  </si>
  <si>
    <t>JOD198</t>
    <phoneticPr fontId="5"/>
  </si>
  <si>
    <t>日生協カタログすこやかびと冊子26夏号⑤</t>
    <rPh sb="0" eb="3">
      <t>ニッセイキョウ</t>
    </rPh>
    <rPh sb="13" eb="15">
      <t>サッシ</t>
    </rPh>
    <rPh sb="17" eb="19">
      <t>ナツゴウ</t>
    </rPh>
    <phoneticPr fontId="11"/>
  </si>
  <si>
    <t>JODアクセス7018</t>
    <phoneticPr fontId="5"/>
  </si>
  <si>
    <t>7/11～</t>
    <phoneticPr fontId="5"/>
  </si>
  <si>
    <t>JOD199</t>
    <phoneticPr fontId="5"/>
  </si>
  <si>
    <t>東都生協　７月５回</t>
    <rPh sb="0" eb="2">
      <t>トウト</t>
    </rPh>
    <rPh sb="2" eb="4">
      <t>セイキョウ</t>
    </rPh>
    <rPh sb="6" eb="7">
      <t>ガツ</t>
    </rPh>
    <rPh sb="8" eb="9">
      <t>カイ</t>
    </rPh>
    <phoneticPr fontId="5"/>
  </si>
  <si>
    <t>東都生協　７月５回　差分予定</t>
    <rPh sb="0" eb="2">
      <t>トウト</t>
    </rPh>
    <rPh sb="2" eb="4">
      <t>セイキョウ</t>
    </rPh>
    <rPh sb="6" eb="7">
      <t>ガツ</t>
    </rPh>
    <rPh sb="8" eb="9">
      <t>カイ</t>
    </rPh>
    <rPh sb="10" eb="14">
      <t>サブンヨテイ</t>
    </rPh>
    <phoneticPr fontId="5"/>
  </si>
  <si>
    <t>7/15～7/29</t>
    <phoneticPr fontId="5"/>
  </si>
  <si>
    <t>追加４ シンエイ在庫　CSネット</t>
    <rPh sb="0" eb="2">
      <t>ツイカ</t>
    </rPh>
    <rPh sb="8" eb="10">
      <t>ザイコ</t>
    </rPh>
    <phoneticPr fontId="2"/>
  </si>
  <si>
    <t>追加4 シンエイ在庫　CSネット</t>
    <rPh sb="0" eb="2">
      <t>ツイカ</t>
    </rPh>
    <rPh sb="8" eb="10">
      <t>ザイコ</t>
    </rPh>
    <phoneticPr fontId="2"/>
  </si>
  <si>
    <t>JOD152</t>
    <phoneticPr fontId="11"/>
  </si>
  <si>
    <t>JOD200</t>
    <phoneticPr fontId="5"/>
  </si>
  <si>
    <t>過不足分</t>
    <rPh sb="0" eb="4">
      <t>カブソクブン</t>
    </rPh>
    <phoneticPr fontId="2"/>
  </si>
  <si>
    <t>JOD153</t>
  </si>
  <si>
    <t>JOD201</t>
  </si>
  <si>
    <t>追加</t>
    <rPh sb="0" eb="2">
      <t>ツイカ</t>
    </rPh>
    <phoneticPr fontId="5"/>
  </si>
  <si>
    <t>ゆめはん</t>
    <phoneticPr fontId="5"/>
  </si>
  <si>
    <t>日生協カタログすこやかびと冊子26夏号⑥</t>
    <rPh sb="0" eb="3">
      <t>ニッセイキョウ</t>
    </rPh>
    <rPh sb="13" eb="15">
      <t>サッシ</t>
    </rPh>
    <rPh sb="17" eb="19">
      <t>ナツゴウ</t>
    </rPh>
    <phoneticPr fontId="11"/>
  </si>
  <si>
    <t>ベルーナ26年夏号（継続）元気とキレイの秘訣④</t>
    <rPh sb="6" eb="7">
      <t>ネン</t>
    </rPh>
    <rPh sb="7" eb="8">
      <t>ナツ</t>
    </rPh>
    <rPh sb="8" eb="9">
      <t>ゴウ</t>
    </rPh>
    <rPh sb="10" eb="12">
      <t>ケイゾク</t>
    </rPh>
    <rPh sb="13" eb="15">
      <t>ゲンキ</t>
    </rPh>
    <rPh sb="20" eb="22">
      <t>ヒケツ</t>
    </rPh>
    <phoneticPr fontId="5"/>
  </si>
  <si>
    <t>ベルーナ素敵な生活26夏号⑨</t>
    <rPh sb="4" eb="6">
      <t>ステキ</t>
    </rPh>
    <rPh sb="7" eb="9">
      <t>セイカツ</t>
    </rPh>
    <rPh sb="11" eb="13">
      <t>ナツゴウ</t>
    </rPh>
    <phoneticPr fontId="5"/>
  </si>
  <si>
    <t>JOD202</t>
    <phoneticPr fontId="5"/>
  </si>
  <si>
    <t>ＩＥＩ使ってヨカッタ7月号</t>
    <rPh sb="3" eb="4">
      <t>ツカ</t>
    </rPh>
    <rPh sb="11" eb="13">
      <t>ガツゴウ</t>
    </rPh>
    <phoneticPr fontId="5"/>
  </si>
  <si>
    <t>ＩＥＩ使ってヨカッタ7月号差分予測</t>
    <rPh sb="3" eb="4">
      <t>ツカ</t>
    </rPh>
    <rPh sb="11" eb="13">
      <t>ガツゴウ</t>
    </rPh>
    <rPh sb="13" eb="17">
      <t>サブンヨソク</t>
    </rPh>
    <phoneticPr fontId="5"/>
  </si>
  <si>
    <t>7/4～10/31</t>
    <phoneticPr fontId="5"/>
  </si>
  <si>
    <t>JODダイエット7477</t>
    <phoneticPr fontId="5"/>
  </si>
  <si>
    <t>ハルメクアルファ　⑱</t>
    <phoneticPr fontId="11"/>
  </si>
  <si>
    <t>JOD203</t>
    <phoneticPr fontId="5"/>
  </si>
  <si>
    <t>追加</t>
    <rPh sb="0" eb="2">
      <t>ツイカ</t>
    </rPh>
    <phoneticPr fontId="5"/>
  </si>
  <si>
    <t>ネット</t>
    <phoneticPr fontId="11"/>
  </si>
  <si>
    <t>2026/6/3数伝</t>
    <rPh sb="8" eb="10">
      <t>スウデン</t>
    </rPh>
    <phoneticPr fontId="11"/>
  </si>
  <si>
    <t>2026/6/4数伝</t>
    <rPh sb="8" eb="10">
      <t>スウデン</t>
    </rPh>
    <phoneticPr fontId="11"/>
  </si>
  <si>
    <t>JOD204</t>
    <phoneticPr fontId="5"/>
  </si>
  <si>
    <t>2026/6/1????</t>
    <phoneticPr fontId="5"/>
  </si>
  <si>
    <t>ベルーナ26年夏号（継続）元気とキレイの秘訣⑤</t>
    <rPh sb="6" eb="7">
      <t>ネン</t>
    </rPh>
    <rPh sb="7" eb="8">
      <t>ナツ</t>
    </rPh>
    <rPh sb="8" eb="9">
      <t>ゴウ</t>
    </rPh>
    <rPh sb="10" eb="12">
      <t>ケイゾク</t>
    </rPh>
    <rPh sb="13" eb="15">
      <t>ゲンキ</t>
    </rPh>
    <rPh sb="20" eb="22">
      <t>ヒケツ</t>
    </rPh>
    <phoneticPr fontId="5"/>
  </si>
  <si>
    <t>ベルーナ素敵な生活26夏号⑩</t>
    <rPh sb="4" eb="6">
      <t>ステキ</t>
    </rPh>
    <rPh sb="7" eb="9">
      <t>セイカツ</t>
    </rPh>
    <rPh sb="11" eb="13">
      <t>ナツゴウ</t>
    </rPh>
    <phoneticPr fontId="5"/>
  </si>
  <si>
    <t>JOD154</t>
    <phoneticPr fontId="11"/>
  </si>
  <si>
    <t>JOD返品</t>
    <rPh sb="3" eb="5">
      <t>ヘンピン</t>
    </rPh>
    <phoneticPr fontId="5"/>
  </si>
  <si>
    <t>JOD205</t>
    <phoneticPr fontId="5"/>
  </si>
  <si>
    <t>JOD155</t>
    <phoneticPr fontId="11"/>
  </si>
  <si>
    <t>ベルーナ返品</t>
    <rPh sb="4" eb="6">
      <t>ヘンピン</t>
    </rPh>
    <phoneticPr fontId="2"/>
  </si>
  <si>
    <t>JOD206</t>
    <phoneticPr fontId="5"/>
  </si>
  <si>
    <t>JOD156</t>
    <phoneticPr fontId="11"/>
  </si>
  <si>
    <t>JOD207</t>
  </si>
  <si>
    <t>JOD157</t>
    <phoneticPr fontId="11"/>
  </si>
  <si>
    <t>JOD208</t>
    <phoneticPr fontId="5"/>
  </si>
  <si>
    <t>6/？？？</t>
    <phoneticPr fontId="11"/>
  </si>
  <si>
    <t>6/？？？？</t>
    <phoneticPr fontId="5"/>
  </si>
  <si>
    <t>JOD209</t>
    <phoneticPr fontId="5"/>
  </si>
  <si>
    <t>ネット交換</t>
    <rPh sb="3" eb="5">
      <t>コウカン</t>
    </rPh>
    <phoneticPr fontId="11"/>
  </si>
  <si>
    <t>JOD159</t>
    <phoneticPr fontId="11"/>
  </si>
  <si>
    <t>JOD210</t>
    <phoneticPr fontId="5"/>
  </si>
  <si>
    <t>ネット</t>
    <phoneticPr fontId="11"/>
  </si>
  <si>
    <t>サクラマチ返品</t>
    <rPh sb="0" eb="7">
      <t>s</t>
    </rPh>
    <phoneticPr fontId="11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</si>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</sst>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29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B0F0"/>
      <name val="ＭＳ Ｐゴシック"/>
      <family val="3"/>
      <charset val="128"/>
      <scheme val="minor"/>
    </font>
    <font>
      <b/>
      <sz val="11"/>
      <color rgb="FF00B0F0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rgb="FFEE0000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theme="3" tint="0.3999755851924192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38" fontId="24" fillId="0" borderId="0" applyFont="0" applyFill="0" applyBorder="0" applyAlignment="0" applyProtection="0">
      <alignment vertical="center"/>
    </xf>
  </cellStyleXfs>
  <cellXfs count="334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2" borderId="7" xfId="1" applyFill="1" applyBorder="1"/>
    <xf numFmtId="0" fontId="1" fillId="2" borderId="8" xfId="1" applyFill="1" applyBorder="1"/>
    <xf numFmtId="0" fontId="1" fillId="0" borderId="7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14" xfId="1" applyBorder="1"/>
    <xf numFmtId="0" fontId="1" fillId="0" borderId="15" xfId="1" applyBorder="1" applyAlignment="1">
      <alignment horizontal="center" vertical="center"/>
    </xf>
    <xf numFmtId="0" fontId="1" fillId="0" borderId="17" xfId="1" applyBorder="1" applyAlignment="1">
      <alignment horizontal="center"/>
    </xf>
    <xf numFmtId="0" fontId="1" fillId="2" borderId="3" xfId="1" applyFill="1" applyBorder="1"/>
    <xf numFmtId="0" fontId="1" fillId="0" borderId="19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21" xfId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22" xfId="1" applyFont="1" applyBorder="1" applyAlignment="1">
      <alignment horizontal="center"/>
    </xf>
    <xf numFmtId="0" fontId="1" fillId="0" borderId="23" xfId="1" applyBorder="1" applyAlignment="1">
      <alignment horizontal="center" vertical="center"/>
    </xf>
    <xf numFmtId="0" fontId="1" fillId="0" borderId="14" xfId="1" applyBorder="1" applyAlignment="1">
      <alignment horizontal="center"/>
    </xf>
    <xf numFmtId="0" fontId="1" fillId="0" borderId="24" xfId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9" xfId="1" applyBorder="1" applyAlignment="1">
      <alignment horizontal="center" vertical="center"/>
    </xf>
    <xf numFmtId="56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7" fillId="3" borderId="23" xfId="1" applyFont="1" applyFill="1" applyBorder="1"/>
    <xf numFmtId="0" fontId="1" fillId="0" borderId="25" xfId="1" applyBorder="1" applyAlignment="1">
      <alignment horizontal="center"/>
    </xf>
    <xf numFmtId="0" fontId="1" fillId="0" borderId="26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0" fontId="1" fillId="0" borderId="29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32" xfId="1" applyBorder="1" applyAlignment="1">
      <alignment horizontal="center"/>
    </xf>
    <xf numFmtId="0" fontId="1" fillId="2" borderId="33" xfId="1" applyFill="1" applyBorder="1"/>
    <xf numFmtId="0" fontId="1" fillId="2" borderId="34" xfId="1" applyFill="1" applyBorder="1"/>
    <xf numFmtId="0" fontId="1" fillId="0" borderId="16" xfId="1" applyBorder="1" applyAlignment="1">
      <alignment horizontal="center" vertical="center"/>
    </xf>
    <xf numFmtId="0" fontId="1" fillId="2" borderId="13" xfId="1" applyFill="1" applyBorder="1"/>
    <xf numFmtId="0" fontId="7" fillId="0" borderId="13" xfId="1" applyFont="1" applyBorder="1" applyAlignment="1">
      <alignment horizontal="center" vertical="center"/>
    </xf>
    <xf numFmtId="0" fontId="6" fillId="0" borderId="0" xfId="0" applyFont="1">
      <alignment vertical="center"/>
    </xf>
    <xf numFmtId="0" fontId="1" fillId="0" borderId="29" xfId="1" applyBorder="1"/>
    <xf numFmtId="0" fontId="1" fillId="0" borderId="30" xfId="1" applyBorder="1"/>
    <xf numFmtId="0" fontId="1" fillId="0" borderId="31" xfId="1" applyBorder="1"/>
    <xf numFmtId="0" fontId="1" fillId="0" borderId="35" xfId="1" applyBorder="1"/>
    <xf numFmtId="176" fontId="0" fillId="0" borderId="0" xfId="0" applyNumberFormat="1">
      <alignment vertical="center"/>
    </xf>
    <xf numFmtId="56" fontId="8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" fillId="0" borderId="35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2" borderId="9" xfId="1" applyFill="1" applyBorder="1"/>
    <xf numFmtId="0" fontId="7" fillId="0" borderId="1" xfId="1" applyFont="1" applyBorder="1"/>
    <xf numFmtId="0" fontId="7" fillId="0" borderId="23" xfId="1" applyFont="1" applyBorder="1"/>
    <xf numFmtId="0" fontId="7" fillId="0" borderId="2" xfId="1" applyFont="1" applyBorder="1"/>
    <xf numFmtId="0" fontId="7" fillId="0" borderId="12" xfId="1" applyFont="1" applyBorder="1"/>
    <xf numFmtId="0" fontId="7" fillId="2" borderId="3" xfId="1" applyFont="1" applyFill="1" applyBorder="1"/>
    <xf numFmtId="0" fontId="7" fillId="0" borderId="12" xfId="1" applyFont="1" applyBorder="1" applyAlignment="1">
      <alignment horizontal="center"/>
    </xf>
    <xf numFmtId="0" fontId="7" fillId="2" borderId="3" xfId="1" applyFont="1" applyFill="1" applyBorder="1" applyAlignment="1">
      <alignment horizontal="right"/>
    </xf>
    <xf numFmtId="0" fontId="10" fillId="0" borderId="0" xfId="1" applyFont="1" applyAlignment="1">
      <alignment horizontal="center" vertical="center"/>
    </xf>
    <xf numFmtId="0" fontId="1" fillId="2" borderId="39" xfId="1" applyFill="1" applyBorder="1"/>
    <xf numFmtId="176" fontId="6" fillId="0" borderId="0" xfId="0" applyNumberFormat="1" applyFont="1">
      <alignment vertical="center"/>
    </xf>
    <xf numFmtId="0" fontId="4" fillId="0" borderId="7" xfId="1" applyFont="1" applyBorder="1" applyAlignment="1">
      <alignment horizontal="center" vertical="center"/>
    </xf>
    <xf numFmtId="0" fontId="1" fillId="0" borderId="42" xfId="1" applyBorder="1" applyAlignment="1">
      <alignment horizontal="center"/>
    </xf>
    <xf numFmtId="0" fontId="1" fillId="0" borderId="43" xfId="1" applyBorder="1" applyAlignment="1">
      <alignment horizontal="center"/>
    </xf>
    <xf numFmtId="0" fontId="1" fillId="0" borderId="44" xfId="1" applyBorder="1" applyAlignment="1">
      <alignment horizontal="center" vertical="center"/>
    </xf>
    <xf numFmtId="0" fontId="1" fillId="0" borderId="45" xfId="1" applyBorder="1" applyAlignment="1">
      <alignment horizontal="center"/>
    </xf>
    <xf numFmtId="0" fontId="7" fillId="3" borderId="3" xfId="1" applyFont="1" applyFill="1" applyBorder="1"/>
    <xf numFmtId="0" fontId="7" fillId="0" borderId="44" xfId="1" applyFont="1" applyBorder="1" applyAlignment="1">
      <alignment horizontal="center" vertical="center"/>
    </xf>
    <xf numFmtId="0" fontId="7" fillId="0" borderId="42" xfId="1" applyFont="1" applyBorder="1" applyAlignment="1">
      <alignment horizontal="center"/>
    </xf>
    <xf numFmtId="0" fontId="7" fillId="0" borderId="43" xfId="1" applyFont="1" applyBorder="1" applyAlignment="1">
      <alignment horizontal="center"/>
    </xf>
    <xf numFmtId="0" fontId="7" fillId="0" borderId="45" xfId="1" applyFont="1" applyBorder="1" applyAlignment="1">
      <alignment horizontal="center"/>
    </xf>
    <xf numFmtId="0" fontId="7" fillId="2" borderId="46" xfId="1" applyFont="1" applyFill="1" applyBorder="1"/>
    <xf numFmtId="0" fontId="7" fillId="3" borderId="37" xfId="1" applyFont="1" applyFill="1" applyBorder="1"/>
    <xf numFmtId="0" fontId="12" fillId="0" borderId="0" xfId="1" applyFont="1"/>
    <xf numFmtId="0" fontId="7" fillId="0" borderId="25" xfId="1" applyFont="1" applyBorder="1" applyAlignment="1">
      <alignment horizontal="center"/>
    </xf>
    <xf numFmtId="0" fontId="7" fillId="0" borderId="26" xfId="1" applyFont="1" applyBorder="1" applyAlignment="1">
      <alignment horizontal="center"/>
    </xf>
    <xf numFmtId="0" fontId="7" fillId="0" borderId="27" xfId="1" applyFont="1" applyBorder="1" applyAlignment="1">
      <alignment horizontal="center"/>
    </xf>
    <xf numFmtId="0" fontId="7" fillId="0" borderId="40" xfId="1" applyFont="1" applyBorder="1" applyAlignment="1">
      <alignment horizontal="center"/>
    </xf>
    <xf numFmtId="0" fontId="7" fillId="2" borderId="8" xfId="1" applyFont="1" applyFill="1" applyBorder="1"/>
    <xf numFmtId="0" fontId="7" fillId="0" borderId="10" xfId="1" applyFont="1" applyBorder="1" applyAlignment="1">
      <alignment horizontal="center" vertical="center"/>
    </xf>
    <xf numFmtId="0" fontId="7" fillId="0" borderId="4" xfId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7" fillId="0" borderId="17" xfId="1" applyFont="1" applyBorder="1" applyAlignment="1">
      <alignment horizontal="center"/>
    </xf>
    <xf numFmtId="0" fontId="7" fillId="2" borderId="33" xfId="1" applyFont="1" applyFill="1" applyBorder="1"/>
    <xf numFmtId="0" fontId="7" fillId="0" borderId="6" xfId="1" applyFont="1" applyBorder="1" applyAlignment="1">
      <alignment horizontal="center"/>
    </xf>
    <xf numFmtId="0" fontId="7" fillId="2" borderId="7" xfId="1" applyFont="1" applyFill="1" applyBorder="1"/>
    <xf numFmtId="0" fontId="7" fillId="8" borderId="46" xfId="1" applyFont="1" applyFill="1" applyBorder="1"/>
    <xf numFmtId="0" fontId="1" fillId="8" borderId="39" xfId="1" applyFill="1" applyBorder="1"/>
    <xf numFmtId="0" fontId="1" fillId="8" borderId="33" xfId="1" applyFill="1" applyBorder="1"/>
    <xf numFmtId="0" fontId="1" fillId="8" borderId="8" xfId="1" applyFill="1" applyBorder="1"/>
    <xf numFmtId="0" fontId="7" fillId="8" borderId="3" xfId="1" applyFont="1" applyFill="1" applyBorder="1"/>
    <xf numFmtId="0" fontId="1" fillId="8" borderId="9" xfId="1" applyFill="1" applyBorder="1"/>
    <xf numFmtId="0" fontId="1" fillId="8" borderId="7" xfId="1" applyFill="1" applyBorder="1"/>
    <xf numFmtId="0" fontId="1" fillId="8" borderId="3" xfId="1" applyFill="1" applyBorder="1"/>
    <xf numFmtId="0" fontId="7" fillId="8" borderId="33" xfId="1" applyFont="1" applyFill="1" applyBorder="1"/>
    <xf numFmtId="0" fontId="7" fillId="8" borderId="7" xfId="1" applyFont="1" applyFill="1" applyBorder="1"/>
    <xf numFmtId="56" fontId="6" fillId="0" borderId="0" xfId="0" applyNumberFormat="1" applyFont="1">
      <alignment vertical="center"/>
    </xf>
    <xf numFmtId="0" fontId="7" fillId="7" borderId="25" xfId="1" applyFont="1" applyFill="1" applyBorder="1" applyAlignment="1">
      <alignment horizontal="center"/>
    </xf>
    <xf numFmtId="0" fontId="7" fillId="7" borderId="27" xfId="1" applyFont="1" applyFill="1" applyBorder="1" applyAlignment="1">
      <alignment horizontal="center"/>
    </xf>
    <xf numFmtId="0" fontId="7" fillId="7" borderId="26" xfId="1" applyFont="1" applyFill="1" applyBorder="1" applyAlignment="1">
      <alignment horizontal="center"/>
    </xf>
    <xf numFmtId="0" fontId="1" fillId="2" borderId="46" xfId="1" applyFill="1" applyBorder="1"/>
    <xf numFmtId="0" fontId="1" fillId="8" borderId="46" xfId="1" applyFill="1" applyBorder="1"/>
    <xf numFmtId="0" fontId="7" fillId="0" borderId="7" xfId="1" applyFont="1" applyBorder="1" applyAlignment="1">
      <alignment horizontal="center" vertical="center"/>
    </xf>
    <xf numFmtId="0" fontId="1" fillId="2" borderId="41" xfId="1" applyFill="1" applyBorder="1"/>
    <xf numFmtId="0" fontId="13" fillId="0" borderId="0" xfId="0" applyFont="1">
      <alignment vertical="center"/>
    </xf>
    <xf numFmtId="0" fontId="1" fillId="0" borderId="47" xfId="1" applyBorder="1" applyAlignment="1">
      <alignment horizontal="center"/>
    </xf>
    <xf numFmtId="0" fontId="1" fillId="0" borderId="48" xfId="1" applyBorder="1" applyAlignment="1">
      <alignment horizontal="center"/>
    </xf>
    <xf numFmtId="0" fontId="1" fillId="0" borderId="49" xfId="1" applyBorder="1" applyAlignment="1">
      <alignment horizontal="center"/>
    </xf>
    <xf numFmtId="0" fontId="1" fillId="0" borderId="50" xfId="1" applyBorder="1" applyAlignment="1">
      <alignment horizontal="center"/>
    </xf>
    <xf numFmtId="0" fontId="1" fillId="2" borderId="51" xfId="1" applyFill="1" applyBorder="1"/>
    <xf numFmtId="0" fontId="1" fillId="8" borderId="13" xfId="1" applyFill="1" applyBorder="1"/>
    <xf numFmtId="0" fontId="1" fillId="7" borderId="25" xfId="1" applyFill="1" applyBorder="1" applyAlignment="1">
      <alignment horizontal="center"/>
    </xf>
    <xf numFmtId="0" fontId="1" fillId="7" borderId="26" xfId="1" applyFill="1" applyBorder="1" applyAlignment="1">
      <alignment horizontal="center"/>
    </xf>
    <xf numFmtId="0" fontId="1" fillId="7" borderId="27" xfId="1" applyFill="1" applyBorder="1" applyAlignment="1">
      <alignment horizontal="center"/>
    </xf>
    <xf numFmtId="0" fontId="1" fillId="7" borderId="40" xfId="1" applyFill="1" applyBorder="1" applyAlignment="1">
      <alignment horizontal="center"/>
    </xf>
    <xf numFmtId="0" fontId="7" fillId="8" borderId="8" xfId="1" applyFont="1" applyFill="1" applyBorder="1"/>
    <xf numFmtId="0" fontId="1" fillId="0" borderId="8" xfId="1" applyBorder="1" applyAlignment="1">
      <alignment horizontal="center" vertical="center"/>
    </xf>
    <xf numFmtId="0" fontId="1" fillId="0" borderId="40" xfId="1" applyBorder="1" applyAlignment="1">
      <alignment horizontal="center"/>
    </xf>
    <xf numFmtId="0" fontId="7" fillId="7" borderId="40" xfId="1" applyFont="1" applyFill="1" applyBorder="1" applyAlignment="1">
      <alignment horizontal="center"/>
    </xf>
    <xf numFmtId="56" fontId="8" fillId="0" borderId="0" xfId="0" applyNumberFormat="1" applyFont="1" applyAlignment="1">
      <alignment horizontal="right" vertical="center"/>
    </xf>
    <xf numFmtId="0" fontId="4" fillId="0" borderId="41" xfId="1" applyFont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23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12" xfId="1" applyBorder="1" applyAlignment="1">
      <alignment horizontal="center"/>
    </xf>
    <xf numFmtId="0" fontId="4" fillId="0" borderId="9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4" fillId="0" borderId="29" xfId="1" applyFont="1" applyBorder="1" applyAlignment="1">
      <alignment horizontal="center"/>
    </xf>
    <xf numFmtId="0" fontId="14" fillId="0" borderId="3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14" fillId="0" borderId="35" xfId="1" applyFont="1" applyBorder="1" applyAlignment="1">
      <alignment horizontal="center"/>
    </xf>
    <xf numFmtId="0" fontId="14" fillId="2" borderId="9" xfId="1" applyFont="1" applyFill="1" applyBorder="1"/>
    <xf numFmtId="0" fontId="14" fillId="8" borderId="7" xfId="1" applyFont="1" applyFill="1" applyBorder="1"/>
    <xf numFmtId="0" fontId="14" fillId="0" borderId="4" xfId="1" applyFont="1" applyBorder="1" applyAlignment="1">
      <alignment horizontal="center"/>
    </xf>
    <xf numFmtId="0" fontId="14" fillId="0" borderId="14" xfId="1" applyFont="1" applyBorder="1" applyAlignment="1">
      <alignment horizontal="center"/>
    </xf>
    <xf numFmtId="0" fontId="14" fillId="0" borderId="5" xfId="1" applyFont="1" applyBorder="1" applyAlignment="1">
      <alignment horizontal="center"/>
    </xf>
    <xf numFmtId="0" fontId="14" fillId="0" borderId="6" xfId="1" applyFont="1" applyBorder="1" applyAlignment="1">
      <alignment horizontal="center"/>
    </xf>
    <xf numFmtId="176" fontId="13" fillId="0" borderId="0" xfId="0" applyNumberFormat="1" applyFont="1">
      <alignment vertical="center"/>
    </xf>
    <xf numFmtId="0" fontId="4" fillId="0" borderId="8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/>
    </xf>
    <xf numFmtId="0" fontId="4" fillId="0" borderId="26" xfId="1" applyFont="1" applyBorder="1" applyAlignment="1">
      <alignment horizontal="center"/>
    </xf>
    <xf numFmtId="0" fontId="4" fillId="0" borderId="27" xfId="1" applyFont="1" applyBorder="1" applyAlignment="1">
      <alignment horizontal="center"/>
    </xf>
    <xf numFmtId="0" fontId="4" fillId="0" borderId="40" xfId="1" applyFont="1" applyBorder="1" applyAlignment="1">
      <alignment horizontal="center"/>
    </xf>
    <xf numFmtId="0" fontId="4" fillId="2" borderId="8" xfId="1" applyFont="1" applyFill="1" applyBorder="1"/>
    <xf numFmtId="0" fontId="4" fillId="8" borderId="8" xfId="1" applyFont="1" applyFill="1" applyBorder="1"/>
    <xf numFmtId="0" fontId="8" fillId="0" borderId="0" xfId="0" applyFont="1" applyAlignment="1">
      <alignment horizontal="left" vertical="center"/>
    </xf>
    <xf numFmtId="0" fontId="1" fillId="0" borderId="41" xfId="1" applyBorder="1" applyAlignment="1">
      <alignment horizontal="center" vertical="center"/>
    </xf>
    <xf numFmtId="56" fontId="6" fillId="0" borderId="0" xfId="0" applyNumberFormat="1" applyFont="1" applyAlignment="1">
      <alignment horizontal="left" vertical="center"/>
    </xf>
    <xf numFmtId="0" fontId="4" fillId="0" borderId="5" xfId="1" applyFont="1" applyBorder="1" applyAlignment="1">
      <alignment horizontal="center"/>
    </xf>
    <xf numFmtId="0" fontId="4" fillId="7" borderId="4" xfId="1" applyFont="1" applyFill="1" applyBorder="1" applyAlignment="1">
      <alignment horizontal="center"/>
    </xf>
    <xf numFmtId="0" fontId="4" fillId="7" borderId="14" xfId="1" applyFont="1" applyFill="1" applyBorder="1" applyAlignment="1">
      <alignment horizontal="center"/>
    </xf>
    <xf numFmtId="0" fontId="4" fillId="7" borderId="5" xfId="1" applyFont="1" applyFill="1" applyBorder="1" applyAlignment="1">
      <alignment horizontal="center"/>
    </xf>
    <xf numFmtId="0" fontId="4" fillId="7" borderId="6" xfId="1" applyFont="1" applyFill="1" applyBorder="1" applyAlignment="1">
      <alignment horizontal="center"/>
    </xf>
    <xf numFmtId="0" fontId="4" fillId="2" borderId="7" xfId="1" applyFont="1" applyFill="1" applyBorder="1"/>
    <xf numFmtId="0" fontId="4" fillId="0" borderId="4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8" borderId="7" xfId="1" applyFont="1" applyFill="1" applyBorder="1"/>
    <xf numFmtId="0" fontId="1" fillId="0" borderId="13" xfId="1" applyBorder="1" applyAlignment="1">
      <alignment horizontal="center" vertical="center"/>
    </xf>
    <xf numFmtId="0" fontId="4" fillId="0" borderId="29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4" fillId="0" borderId="31" xfId="1" applyFont="1" applyBorder="1" applyAlignment="1">
      <alignment horizontal="center"/>
    </xf>
    <xf numFmtId="0" fontId="4" fillId="0" borderId="35" xfId="1" applyFont="1" applyBorder="1" applyAlignment="1">
      <alignment horizontal="center"/>
    </xf>
    <xf numFmtId="0" fontId="4" fillId="2" borderId="9" xfId="1" applyFont="1" applyFill="1" applyBorder="1"/>
    <xf numFmtId="0" fontId="1" fillId="8" borderId="52" xfId="1" applyFill="1" applyBorder="1"/>
    <xf numFmtId="0" fontId="7" fillId="0" borderId="8" xfId="1" applyFont="1" applyBorder="1" applyAlignment="1">
      <alignment horizontal="center" vertical="center"/>
    </xf>
    <xf numFmtId="0" fontId="1" fillId="0" borderId="53" xfId="1" applyBorder="1" applyAlignment="1">
      <alignment horizontal="center" vertical="center"/>
    </xf>
    <xf numFmtId="0" fontId="4" fillId="0" borderId="17" xfId="1" applyFont="1" applyBorder="1" applyAlignment="1">
      <alignment horizontal="center"/>
    </xf>
    <xf numFmtId="1" fontId="6" fillId="0" borderId="0" xfId="0" applyNumberFormat="1" applyFont="1">
      <alignment vertical="center"/>
    </xf>
    <xf numFmtId="0" fontId="4" fillId="0" borderId="49" xfId="1" applyFont="1" applyBorder="1" applyAlignment="1">
      <alignment horizontal="center"/>
    </xf>
    <xf numFmtId="0" fontId="4" fillId="0" borderId="50" xfId="1" applyFont="1" applyBorder="1" applyAlignment="1">
      <alignment horizontal="center"/>
    </xf>
    <xf numFmtId="0" fontId="7" fillId="0" borderId="9" xfId="1" applyFont="1" applyBorder="1" applyAlignment="1">
      <alignment horizontal="center" vertical="center"/>
    </xf>
    <xf numFmtId="0" fontId="4" fillId="2" borderId="33" xfId="1" applyFont="1" applyFill="1" applyBorder="1"/>
    <xf numFmtId="0" fontId="4" fillId="8" borderId="33" xfId="1" applyFont="1" applyFill="1" applyBorder="1"/>
    <xf numFmtId="0" fontId="4" fillId="0" borderId="10" xfId="1" applyFont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right" vertical="center"/>
    </xf>
    <xf numFmtId="176" fontId="18" fillId="0" borderId="0" xfId="0" applyNumberFormat="1" applyFont="1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0" fontId="20" fillId="0" borderId="7" xfId="1" applyFont="1" applyBorder="1" applyAlignment="1">
      <alignment horizontal="center" vertical="center"/>
    </xf>
    <xf numFmtId="56" fontId="0" fillId="0" borderId="0" xfId="0" applyNumberFormat="1">
      <alignment vertical="center"/>
    </xf>
    <xf numFmtId="0" fontId="7" fillId="7" borderId="47" xfId="1" applyFont="1" applyFill="1" applyBorder="1" applyAlignment="1">
      <alignment horizontal="center"/>
    </xf>
    <xf numFmtId="0" fontId="7" fillId="7" borderId="48" xfId="1" applyFont="1" applyFill="1" applyBorder="1" applyAlignment="1">
      <alignment horizontal="center"/>
    </xf>
    <xf numFmtId="0" fontId="7" fillId="7" borderId="49" xfId="1" applyFont="1" applyFill="1" applyBorder="1" applyAlignment="1">
      <alignment horizontal="center"/>
    </xf>
    <xf numFmtId="0" fontId="7" fillId="7" borderId="54" xfId="1" applyFont="1" applyFill="1" applyBorder="1" applyAlignment="1">
      <alignment horizontal="center"/>
    </xf>
    <xf numFmtId="0" fontId="1" fillId="7" borderId="38" xfId="1" applyFill="1" applyBorder="1" applyAlignment="1">
      <alignment horizontal="center"/>
    </xf>
    <xf numFmtId="0" fontId="4" fillId="7" borderId="29" xfId="1" applyFont="1" applyFill="1" applyBorder="1" applyAlignment="1">
      <alignment horizontal="center"/>
    </xf>
    <xf numFmtId="0" fontId="4" fillId="7" borderId="30" xfId="1" applyFont="1" applyFill="1" applyBorder="1" applyAlignment="1">
      <alignment horizontal="center"/>
    </xf>
    <xf numFmtId="0" fontId="4" fillId="7" borderId="31" xfId="1" applyFont="1" applyFill="1" applyBorder="1" applyAlignment="1">
      <alignment horizontal="center"/>
    </xf>
    <xf numFmtId="0" fontId="4" fillId="7" borderId="35" xfId="1" applyFont="1" applyFill="1" applyBorder="1" applyAlignment="1">
      <alignment horizontal="center"/>
    </xf>
    <xf numFmtId="0" fontId="4" fillId="8" borderId="9" xfId="1" applyFont="1" applyFill="1" applyBorder="1"/>
    <xf numFmtId="0" fontId="1" fillId="7" borderId="4" xfId="1" applyFill="1" applyBorder="1" applyAlignment="1">
      <alignment horizontal="center"/>
    </xf>
    <xf numFmtId="0" fontId="1" fillId="7" borderId="14" xfId="1" applyFill="1" applyBorder="1" applyAlignment="1">
      <alignment horizontal="center"/>
    </xf>
    <xf numFmtId="0" fontId="1" fillId="7" borderId="5" xfId="1" applyFill="1" applyBorder="1" applyAlignment="1">
      <alignment horizontal="center"/>
    </xf>
    <xf numFmtId="0" fontId="1" fillId="7" borderId="6" xfId="1" applyFill="1" applyBorder="1" applyAlignment="1">
      <alignment horizontal="center"/>
    </xf>
    <xf numFmtId="0" fontId="21" fillId="0" borderId="0" xfId="0" applyFont="1">
      <alignment vertical="center"/>
    </xf>
    <xf numFmtId="0" fontId="7" fillId="7" borderId="4" xfId="1" applyFont="1" applyFill="1" applyBorder="1" applyAlignment="1">
      <alignment horizontal="center"/>
    </xf>
    <xf numFmtId="0" fontId="7" fillId="7" borderId="14" xfId="1" applyFont="1" applyFill="1" applyBorder="1" applyAlignment="1">
      <alignment horizontal="center"/>
    </xf>
    <xf numFmtId="0" fontId="7" fillId="7" borderId="5" xfId="1" applyFont="1" applyFill="1" applyBorder="1" applyAlignment="1">
      <alignment horizontal="center"/>
    </xf>
    <xf numFmtId="0" fontId="7" fillId="7" borderId="17" xfId="1" applyFont="1" applyFill="1" applyBorder="1" applyAlignment="1">
      <alignment horizontal="center"/>
    </xf>
    <xf numFmtId="0" fontId="14" fillId="2" borderId="7" xfId="1" applyFont="1" applyFill="1" applyBorder="1"/>
    <xf numFmtId="0" fontId="4" fillId="10" borderId="29" xfId="1" applyFont="1" applyFill="1" applyBorder="1" applyAlignment="1">
      <alignment horizontal="center"/>
    </xf>
    <xf numFmtId="0" fontId="4" fillId="10" borderId="30" xfId="1" applyFont="1" applyFill="1" applyBorder="1" applyAlignment="1">
      <alignment horizontal="center"/>
    </xf>
    <xf numFmtId="0" fontId="4" fillId="10" borderId="31" xfId="1" applyFont="1" applyFill="1" applyBorder="1" applyAlignment="1">
      <alignment horizontal="center"/>
    </xf>
    <xf numFmtId="0" fontId="4" fillId="10" borderId="35" xfId="1" applyFont="1" applyFill="1" applyBorder="1" applyAlignment="1">
      <alignment horizontal="center"/>
    </xf>
    <xf numFmtId="0" fontId="1" fillId="10" borderId="25" xfId="1" applyFill="1" applyBorder="1" applyAlignment="1">
      <alignment horizontal="center"/>
    </xf>
    <xf numFmtId="0" fontId="1" fillId="10" borderId="26" xfId="1" applyFill="1" applyBorder="1" applyAlignment="1">
      <alignment horizontal="center"/>
    </xf>
    <xf numFmtId="0" fontId="1" fillId="10" borderId="27" xfId="1" applyFill="1" applyBorder="1" applyAlignment="1">
      <alignment horizontal="center"/>
    </xf>
    <xf numFmtId="0" fontId="1" fillId="10" borderId="40" xfId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" fillId="7" borderId="47" xfId="1" applyFill="1" applyBorder="1" applyAlignment="1">
      <alignment horizontal="center"/>
    </xf>
    <xf numFmtId="0" fontId="1" fillId="7" borderId="48" xfId="1" applyFill="1" applyBorder="1" applyAlignment="1">
      <alignment horizontal="center"/>
    </xf>
    <xf numFmtId="0" fontId="1" fillId="7" borderId="49" xfId="1" applyFill="1" applyBorder="1" applyAlignment="1">
      <alignment horizontal="center"/>
    </xf>
    <xf numFmtId="0" fontId="1" fillId="7" borderId="54" xfId="1" applyFill="1" applyBorder="1" applyAlignment="1">
      <alignment horizontal="center"/>
    </xf>
    <xf numFmtId="0" fontId="1" fillId="0" borderId="54" xfId="1" applyBorder="1" applyAlignment="1">
      <alignment horizontal="center"/>
    </xf>
    <xf numFmtId="0" fontId="14" fillId="0" borderId="9" xfId="1" applyFont="1" applyBorder="1" applyAlignment="1">
      <alignment horizontal="center" vertical="center"/>
    </xf>
    <xf numFmtId="0" fontId="16" fillId="0" borderId="0" xfId="0" applyFont="1">
      <alignment vertical="center"/>
    </xf>
    <xf numFmtId="0" fontId="7" fillId="7" borderId="6" xfId="1" applyFont="1" applyFill="1" applyBorder="1" applyAlignment="1">
      <alignment horizontal="center"/>
    </xf>
    <xf numFmtId="0" fontId="1" fillId="0" borderId="0" xfId="1" applyAlignment="1">
      <alignment horizontal="center" vertical="center"/>
    </xf>
    <xf numFmtId="176" fontId="8" fillId="0" borderId="0" xfId="0" applyNumberFormat="1" applyFont="1">
      <alignment vertical="center"/>
    </xf>
    <xf numFmtId="1" fontId="8" fillId="0" borderId="0" xfId="0" applyNumberFormat="1" applyFont="1">
      <alignment vertical="center"/>
    </xf>
    <xf numFmtId="0" fontId="7" fillId="0" borderId="55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7" borderId="4" xfId="1" applyFont="1" applyFill="1" applyBorder="1" applyAlignment="1">
      <alignment horizontal="center"/>
    </xf>
    <xf numFmtId="0" fontId="14" fillId="7" borderId="14" xfId="1" applyFont="1" applyFill="1" applyBorder="1" applyAlignment="1">
      <alignment horizontal="center"/>
    </xf>
    <xf numFmtId="0" fontId="14" fillId="7" borderId="5" xfId="1" applyFont="1" applyFill="1" applyBorder="1" applyAlignment="1">
      <alignment horizontal="center"/>
    </xf>
    <xf numFmtId="177" fontId="22" fillId="0" borderId="0" xfId="0" applyNumberFormat="1" applyFont="1">
      <alignment vertical="center"/>
    </xf>
    <xf numFmtId="177" fontId="23" fillId="0" borderId="0" xfId="1" applyNumberFormat="1" applyFont="1"/>
    <xf numFmtId="0" fontId="14" fillId="7" borderId="6" xfId="1" applyFont="1" applyFill="1" applyBorder="1" applyAlignment="1">
      <alignment horizontal="center"/>
    </xf>
    <xf numFmtId="0" fontId="4" fillId="7" borderId="17" xfId="1" applyFont="1" applyFill="1" applyBorder="1" applyAlignment="1">
      <alignment horizontal="center"/>
    </xf>
    <xf numFmtId="0" fontId="1" fillId="7" borderId="17" xfId="1" applyFill="1" applyBorder="1" applyAlignment="1">
      <alignment horizontal="center"/>
    </xf>
    <xf numFmtId="0" fontId="1" fillId="7" borderId="29" xfId="1" applyFill="1" applyBorder="1" applyAlignment="1">
      <alignment horizontal="center"/>
    </xf>
    <xf numFmtId="0" fontId="1" fillId="7" borderId="30" xfId="1" applyFill="1" applyBorder="1" applyAlignment="1">
      <alignment horizontal="center"/>
    </xf>
    <xf numFmtId="0" fontId="1" fillId="7" borderId="31" xfId="1" applyFill="1" applyBorder="1" applyAlignment="1">
      <alignment horizontal="center"/>
    </xf>
    <xf numFmtId="0" fontId="1" fillId="7" borderId="35" xfId="1" applyFill="1" applyBorder="1" applyAlignment="1">
      <alignment horizontal="center"/>
    </xf>
    <xf numFmtId="0" fontId="25" fillId="0" borderId="16" xfId="1" applyFont="1" applyBorder="1" applyAlignment="1">
      <alignment horizontal="center" vertical="center"/>
    </xf>
    <xf numFmtId="0" fontId="25" fillId="0" borderId="4" xfId="1" applyFont="1" applyBorder="1" applyAlignment="1">
      <alignment horizontal="center"/>
    </xf>
    <xf numFmtId="0" fontId="25" fillId="0" borderId="14" xfId="1" applyFont="1" applyBorder="1" applyAlignment="1">
      <alignment horizontal="center"/>
    </xf>
    <xf numFmtId="0" fontId="25" fillId="0" borderId="5" xfId="1" applyFont="1" applyBorder="1" applyAlignment="1">
      <alignment horizontal="center"/>
    </xf>
    <xf numFmtId="0" fontId="25" fillId="0" borderId="17" xfId="1" applyFont="1" applyBorder="1" applyAlignment="1">
      <alignment horizontal="center"/>
    </xf>
    <xf numFmtId="0" fontId="25" fillId="2" borderId="33" xfId="1" applyFont="1" applyFill="1" applyBorder="1"/>
    <xf numFmtId="0" fontId="25" fillId="8" borderId="7" xfId="1" applyFont="1" applyFill="1" applyBorder="1"/>
    <xf numFmtId="56" fontId="24" fillId="0" borderId="0" xfId="0" applyNumberFormat="1" applyFont="1" applyAlignment="1">
      <alignment horizontal="left" vertical="center"/>
    </xf>
    <xf numFmtId="0" fontId="25" fillId="0" borderId="29" xfId="1" applyFont="1" applyBorder="1"/>
    <xf numFmtId="0" fontId="25" fillId="0" borderId="30" xfId="1" applyFont="1" applyBorder="1"/>
    <xf numFmtId="0" fontId="25" fillId="0" borderId="31" xfId="1" applyFont="1" applyBorder="1"/>
    <xf numFmtId="0" fontId="25" fillId="0" borderId="35" xfId="1" applyFont="1" applyBorder="1"/>
    <xf numFmtId="0" fontId="25" fillId="2" borderId="9" xfId="1" applyFont="1" applyFill="1" applyBorder="1"/>
    <xf numFmtId="0" fontId="25" fillId="8" borderId="39" xfId="1" applyFont="1" applyFill="1" applyBorder="1"/>
    <xf numFmtId="0" fontId="25" fillId="0" borderId="9" xfId="1" applyFont="1" applyBorder="1" applyAlignment="1">
      <alignment horizontal="center" vertical="center"/>
    </xf>
    <xf numFmtId="0" fontId="25" fillId="0" borderId="6" xfId="1" applyFont="1" applyBorder="1" applyAlignment="1">
      <alignment horizontal="center"/>
    </xf>
    <xf numFmtId="0" fontId="25" fillId="2" borderId="7" xfId="1" applyFont="1" applyFill="1" applyBorder="1"/>
    <xf numFmtId="0" fontId="1" fillId="7" borderId="8" xfId="1" applyFill="1" applyBorder="1"/>
    <xf numFmtId="176" fontId="26" fillId="0" borderId="0" xfId="0" applyNumberFormat="1" applyFont="1">
      <alignment vertical="center"/>
    </xf>
    <xf numFmtId="0" fontId="7" fillId="0" borderId="56" xfId="1" applyFont="1" applyBorder="1" applyAlignment="1">
      <alignment horizontal="center" vertical="center"/>
    </xf>
    <xf numFmtId="0" fontId="1" fillId="0" borderId="57" xfId="1" applyBorder="1" applyAlignment="1">
      <alignment horizontal="center"/>
    </xf>
    <xf numFmtId="0" fontId="1" fillId="0" borderId="58" xfId="1" applyBorder="1" applyAlignment="1">
      <alignment horizontal="center"/>
    </xf>
    <xf numFmtId="0" fontId="1" fillId="0" borderId="59" xfId="1" applyBorder="1" applyAlignment="1">
      <alignment horizontal="center"/>
    </xf>
    <xf numFmtId="0" fontId="1" fillId="7" borderId="60" xfId="1" applyFill="1" applyBorder="1" applyAlignment="1">
      <alignment horizontal="center"/>
    </xf>
    <xf numFmtId="0" fontId="7" fillId="0" borderId="47" xfId="1" applyFont="1" applyBorder="1" applyAlignment="1">
      <alignment horizontal="center"/>
    </xf>
    <xf numFmtId="0" fontId="7" fillId="0" borderId="48" xfId="1" applyFont="1" applyBorder="1" applyAlignment="1">
      <alignment horizontal="center"/>
    </xf>
    <xf numFmtId="0" fontId="7" fillId="0" borderId="49" xfId="1" applyFont="1" applyBorder="1" applyAlignment="1">
      <alignment horizontal="center"/>
    </xf>
    <xf numFmtId="0" fontId="7" fillId="0" borderId="50" xfId="1" applyFont="1" applyBorder="1" applyAlignment="1">
      <alignment horizontal="center"/>
    </xf>
    <xf numFmtId="0" fontId="1" fillId="0" borderId="22" xfId="1" applyBorder="1" applyAlignment="1">
      <alignment horizontal="center"/>
    </xf>
    <xf numFmtId="0" fontId="25" fillId="0" borderId="10" xfId="1" applyFont="1" applyBorder="1" applyAlignment="1">
      <alignment horizontal="center" vertical="center"/>
    </xf>
    <xf numFmtId="0" fontId="25" fillId="0" borderId="4" xfId="1" applyFont="1" applyBorder="1"/>
    <xf numFmtId="0" fontId="25" fillId="0" borderId="14" xfId="1" applyFont="1" applyBorder="1"/>
    <xf numFmtId="0" fontId="25" fillId="0" borderId="5" xfId="1" applyFont="1" applyBorder="1"/>
    <xf numFmtId="0" fontId="25" fillId="0" borderId="6" xfId="1" applyFont="1" applyBorder="1"/>
    <xf numFmtId="0" fontId="25" fillId="8" borderId="33" xfId="1" applyFont="1" applyFill="1" applyBorder="1"/>
    <xf numFmtId="0" fontId="25" fillId="0" borderId="7" xfId="1" applyFont="1" applyBorder="1" applyAlignment="1">
      <alignment horizontal="center" vertical="center"/>
    </xf>
    <xf numFmtId="0" fontId="26" fillId="0" borderId="0" xfId="0" applyFont="1">
      <alignment vertical="center"/>
    </xf>
    <xf numFmtId="0" fontId="14" fillId="8" borderId="55" xfId="1" applyFont="1" applyFill="1" applyBorder="1"/>
    <xf numFmtId="0" fontId="24" fillId="0" borderId="0" xfId="0" applyFont="1">
      <alignment vertical="center"/>
    </xf>
    <xf numFmtId="0" fontId="14" fillId="7" borderId="29" xfId="1" applyFont="1" applyFill="1" applyBorder="1" applyAlignment="1">
      <alignment horizontal="center"/>
    </xf>
    <xf numFmtId="0" fontId="14" fillId="7" borderId="30" xfId="1" applyFont="1" applyFill="1" applyBorder="1" applyAlignment="1">
      <alignment horizontal="center"/>
    </xf>
    <xf numFmtId="0" fontId="14" fillId="7" borderId="31" xfId="1" applyFont="1" applyFill="1" applyBorder="1" applyAlignment="1">
      <alignment horizontal="center"/>
    </xf>
    <xf numFmtId="0" fontId="14" fillId="7" borderId="35" xfId="1" applyFont="1" applyFill="1" applyBorder="1" applyAlignment="1">
      <alignment horizontal="center"/>
    </xf>
    <xf numFmtId="0" fontId="25" fillId="8" borderId="9" xfId="1" applyFont="1" applyFill="1" applyBorder="1"/>
    <xf numFmtId="0" fontId="14" fillId="7" borderId="32" xfId="1" applyFont="1" applyFill="1" applyBorder="1" applyAlignment="1">
      <alignment horizontal="center"/>
    </xf>
    <xf numFmtId="0" fontId="14" fillId="8" borderId="9" xfId="1" applyFont="1" applyFill="1" applyBorder="1"/>
    <xf numFmtId="0" fontId="25" fillId="2" borderId="8" xfId="1" applyFont="1" applyFill="1" applyBorder="1"/>
    <xf numFmtId="0" fontId="25" fillId="8" borderId="8" xfId="1" applyFont="1" applyFill="1" applyBorder="1"/>
    <xf numFmtId="0" fontId="4" fillId="0" borderId="18" xfId="1" applyFont="1" applyBorder="1" applyAlignment="1">
      <alignment horizontal="center"/>
    </xf>
    <xf numFmtId="0" fontId="14" fillId="0" borderId="17" xfId="1" applyFont="1" applyBorder="1" applyAlignment="1">
      <alignment horizontal="center"/>
    </xf>
    <xf numFmtId="0" fontId="1" fillId="7" borderId="18" xfId="1" applyFill="1" applyBorder="1" applyAlignment="1">
      <alignment horizontal="center"/>
    </xf>
    <xf numFmtId="0" fontId="14" fillId="0" borderId="0" xfId="1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7" fillId="0" borderId="55" xfId="1" applyFont="1" applyBorder="1" applyAlignment="1">
      <alignment horizontal="right" vertical="center"/>
    </xf>
    <xf numFmtId="38" fontId="6" fillId="0" borderId="0" xfId="2" applyFont="1">
      <alignment vertical="center"/>
    </xf>
    <xf numFmtId="0" fontId="28" fillId="0" borderId="7" xfId="1" applyFont="1" applyBorder="1" applyAlignment="1">
      <alignment horizontal="center" vertical="center"/>
    </xf>
    <xf numFmtId="0" fontId="14" fillId="7" borderId="17" xfId="1" applyFont="1" applyFill="1" applyBorder="1" applyAlignment="1">
      <alignment horizontal="center"/>
    </xf>
    <xf numFmtId="0" fontId="7" fillId="0" borderId="28" xfId="1" applyFont="1" applyBorder="1" applyAlignment="1">
      <alignment horizontal="center"/>
    </xf>
    <xf numFmtId="0" fontId="4" fillId="0" borderId="15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7" borderId="32" xfId="1" applyFont="1" applyFill="1" applyBorder="1" applyAlignment="1">
      <alignment horizontal="center"/>
    </xf>
    <xf numFmtId="0" fontId="7" fillId="0" borderId="4" xfId="1" applyFont="1" applyBorder="1"/>
    <xf numFmtId="0" fontId="7" fillId="0" borderId="14" xfId="1" applyFont="1" applyBorder="1"/>
    <xf numFmtId="0" fontId="7" fillId="0" borderId="5" xfId="1" applyFont="1" applyBorder="1"/>
    <xf numFmtId="0" fontId="7" fillId="0" borderId="6" xfId="1" applyFont="1" applyBorder="1"/>
    <xf numFmtId="0" fontId="7" fillId="0" borderId="16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6" borderId="11" xfId="1" applyFont="1" applyFill="1" applyBorder="1" applyAlignment="1">
      <alignment horizontal="center" vertical="center"/>
    </xf>
    <xf numFmtId="0" fontId="4" fillId="6" borderId="36" xfId="1" applyFont="1" applyFill="1" applyBorder="1" applyAlignment="1">
      <alignment horizontal="center" vertical="center"/>
    </xf>
    <xf numFmtId="0" fontId="4" fillId="6" borderId="37" xfId="1" applyFont="1" applyFill="1" applyBorder="1" applyAlignment="1">
      <alignment horizontal="center" vertical="center"/>
    </xf>
    <xf numFmtId="0" fontId="4" fillId="9" borderId="11" xfId="1" applyFont="1" applyFill="1" applyBorder="1" applyAlignment="1">
      <alignment horizontal="center" vertical="center"/>
    </xf>
    <xf numFmtId="0" fontId="4" fillId="9" borderId="36" xfId="1" applyFont="1" applyFill="1" applyBorder="1" applyAlignment="1">
      <alignment horizontal="center" vertical="center"/>
    </xf>
    <xf numFmtId="0" fontId="4" fillId="9" borderId="37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36" xfId="1" applyFont="1" applyFill="1" applyBorder="1" applyAlignment="1">
      <alignment horizontal="center" vertical="center"/>
    </xf>
    <xf numFmtId="0" fontId="4" fillId="4" borderId="37" xfId="1" applyFont="1" applyFill="1" applyBorder="1" applyAlignment="1">
      <alignment horizontal="center" vertical="center"/>
    </xf>
    <xf numFmtId="0" fontId="4" fillId="5" borderId="11" xfId="1" applyFont="1" applyFill="1" applyBorder="1" applyAlignment="1">
      <alignment horizontal="center" vertical="center"/>
    </xf>
    <xf numFmtId="0" fontId="4" fillId="5" borderId="36" xfId="1" applyFont="1" applyFill="1" applyBorder="1" applyAlignment="1">
      <alignment horizontal="center" vertical="center"/>
    </xf>
    <xf numFmtId="0" fontId="4" fillId="5" borderId="37" xfId="1" applyFont="1" applyFill="1" applyBorder="1" applyAlignment="1">
      <alignment horizontal="center" vertical="center"/>
    </xf>
  </cellXfs>
  <cellStyles count="3">
    <cellStyle name="桁区切り" xfId="2" builtinId="6"/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AB836"/>
  <sheetViews>
    <sheetView tabSelected="1" topLeftCell="A683" zoomScaleNormal="100" workbookViewId="0">
      <selection activeCell="A703" sqref="A703"/>
    </sheetView>
  </sheetViews>
  <sheetFormatPr defaultRowHeight="13.5" x14ac:dyDescent="0.15"/>
  <cols>
    <col min="1" max="1" width="25.25" customWidth="1"/>
    <col min="2" max="12" width="7" customWidth="1"/>
    <col min="13" max="13" width="11.5" style="57" customWidth="1"/>
    <col min="14" max="14" width="49.625" customWidth="1"/>
    <col min="15" max="25" width="7.75" customWidth="1"/>
    <col min="26" max="26" width="9.25" style="57" bestFit="1" customWidth="1"/>
  </cols>
  <sheetData>
    <row r="1" spans="1:27" ht="19.5" thickBot="1" x14ac:dyDescent="0.25">
      <c r="A1" s="2" t="s">
        <v>16</v>
      </c>
      <c r="B1" s="2"/>
      <c r="C1" s="1"/>
      <c r="D1" s="1"/>
      <c r="E1" s="1"/>
      <c r="F1" s="84"/>
      <c r="G1" s="2"/>
      <c r="H1" s="1" t="s">
        <v>156</v>
      </c>
      <c r="I1" s="1"/>
      <c r="J1" s="1"/>
      <c r="K1" s="84" t="s">
        <v>13</v>
      </c>
      <c r="L1" s="84"/>
      <c r="N1" s="2" t="s">
        <v>17</v>
      </c>
      <c r="O1" s="71"/>
      <c r="P1" s="71"/>
      <c r="Q1" s="71"/>
      <c r="R1" s="71"/>
      <c r="T1" s="71"/>
      <c r="U1" s="1" t="s">
        <v>156</v>
      </c>
      <c r="V1" s="71"/>
      <c r="W1" s="71"/>
      <c r="X1" s="84" t="s">
        <v>13</v>
      </c>
      <c r="Y1" s="84"/>
    </row>
    <row r="2" spans="1:27" ht="14.25" thickBot="1" x14ac:dyDescent="0.2">
      <c r="A2" s="5" t="s">
        <v>0</v>
      </c>
      <c r="B2" s="328" t="s">
        <v>120</v>
      </c>
      <c r="C2" s="329"/>
      <c r="D2" s="329"/>
      <c r="E2" s="329"/>
      <c r="F2" s="330"/>
      <c r="G2" s="331" t="s">
        <v>14</v>
      </c>
      <c r="H2" s="332"/>
      <c r="I2" s="332"/>
      <c r="J2" s="332"/>
      <c r="K2" s="333"/>
      <c r="L2" s="320" t="s">
        <v>30</v>
      </c>
      <c r="N2" s="5" t="s">
        <v>0</v>
      </c>
      <c r="O2" s="328" t="s">
        <v>202</v>
      </c>
      <c r="P2" s="329"/>
      <c r="Q2" s="329"/>
      <c r="R2" s="329"/>
      <c r="S2" s="330"/>
      <c r="T2" s="331" t="s">
        <v>203</v>
      </c>
      <c r="U2" s="332"/>
      <c r="V2" s="332"/>
      <c r="W2" s="332"/>
      <c r="X2" s="333"/>
      <c r="Y2" s="320" t="s">
        <v>30</v>
      </c>
    </row>
    <row r="3" spans="1:27" ht="14.25" thickBot="1" x14ac:dyDescent="0.2">
      <c r="A3" s="5" t="s">
        <v>1</v>
      </c>
      <c r="B3" s="3" t="s">
        <v>22</v>
      </c>
      <c r="C3" s="28" t="s">
        <v>23</v>
      </c>
      <c r="D3" s="4" t="s">
        <v>24</v>
      </c>
      <c r="E3" s="15" t="s">
        <v>25</v>
      </c>
      <c r="F3" s="19" t="s">
        <v>2</v>
      </c>
      <c r="G3" s="3" t="s">
        <v>22</v>
      </c>
      <c r="H3" s="28" t="s">
        <v>23</v>
      </c>
      <c r="I3" s="4" t="s">
        <v>24</v>
      </c>
      <c r="J3" s="15" t="s">
        <v>25</v>
      </c>
      <c r="K3" s="19" t="s">
        <v>2</v>
      </c>
      <c r="L3" s="321"/>
      <c r="N3" s="5" t="s">
        <v>1</v>
      </c>
      <c r="O3" s="3" t="s">
        <v>22</v>
      </c>
      <c r="P3" s="28" t="s">
        <v>23</v>
      </c>
      <c r="Q3" s="4" t="s">
        <v>24</v>
      </c>
      <c r="R3" s="15" t="s">
        <v>25</v>
      </c>
      <c r="S3" s="19" t="s">
        <v>2</v>
      </c>
      <c r="T3" s="3" t="s">
        <v>22</v>
      </c>
      <c r="U3" s="28" t="s">
        <v>23</v>
      </c>
      <c r="V3" s="4" t="s">
        <v>24</v>
      </c>
      <c r="W3" s="15" t="s">
        <v>25</v>
      </c>
      <c r="X3" s="19" t="s">
        <v>2</v>
      </c>
      <c r="Y3" s="321"/>
    </row>
    <row r="4" spans="1:27" x14ac:dyDescent="0.15">
      <c r="A4" s="75" t="s">
        <v>15</v>
      </c>
      <c r="B4" s="73">
        <v>5</v>
      </c>
      <c r="C4" s="74">
        <v>5</v>
      </c>
      <c r="D4" s="74">
        <v>5</v>
      </c>
      <c r="E4" s="76">
        <v>5</v>
      </c>
      <c r="F4" s="112">
        <f>SUM(B4:E4)</f>
        <v>20</v>
      </c>
      <c r="G4" s="73">
        <v>5</v>
      </c>
      <c r="H4" s="74">
        <v>5</v>
      </c>
      <c r="I4" s="74">
        <v>5</v>
      </c>
      <c r="J4" s="76">
        <v>5</v>
      </c>
      <c r="K4" s="112">
        <f>SUM(G4:J4)</f>
        <v>20</v>
      </c>
      <c r="L4" s="113">
        <f>F4+K4</f>
        <v>40</v>
      </c>
      <c r="M4" s="56">
        <v>45604</v>
      </c>
      <c r="N4" s="75" t="s">
        <v>15</v>
      </c>
      <c r="O4" s="73">
        <v>30</v>
      </c>
      <c r="P4" s="74">
        <v>40</v>
      </c>
      <c r="Q4" s="74">
        <v>40</v>
      </c>
      <c r="R4" s="76">
        <v>30</v>
      </c>
      <c r="S4" s="112">
        <f>SUM(O4:R4)</f>
        <v>140</v>
      </c>
      <c r="T4" s="73">
        <v>30</v>
      </c>
      <c r="U4" s="74">
        <v>40</v>
      </c>
      <c r="V4" s="74">
        <v>40</v>
      </c>
      <c r="W4" s="76">
        <v>30</v>
      </c>
      <c r="X4" s="112">
        <f>SUM(T4:W4)</f>
        <v>140</v>
      </c>
      <c r="Y4" s="113">
        <f>S4+X4</f>
        <v>280</v>
      </c>
      <c r="Z4" s="56" t="s">
        <v>37</v>
      </c>
    </row>
    <row r="5" spans="1:27" x14ac:dyDescent="0.15">
      <c r="A5" s="47" t="s">
        <v>11</v>
      </c>
      <c r="B5" s="41"/>
      <c r="C5" s="42"/>
      <c r="D5" s="43"/>
      <c r="E5" s="44"/>
      <c r="F5" s="70">
        <f>SUM(B5:E5)</f>
        <v>0</v>
      </c>
      <c r="G5" s="41"/>
      <c r="H5" s="42"/>
      <c r="I5" s="43"/>
      <c r="J5" s="44">
        <v>3</v>
      </c>
      <c r="K5" s="70">
        <f>SUM(G5:J5)</f>
        <v>3</v>
      </c>
      <c r="L5" s="99">
        <f t="shared" ref="L5:L36" si="0">F5+K5</f>
        <v>3</v>
      </c>
      <c r="M5" s="56">
        <v>45672</v>
      </c>
      <c r="N5" s="47" t="s">
        <v>11</v>
      </c>
      <c r="O5" s="41"/>
      <c r="P5" s="42"/>
      <c r="Q5" s="43"/>
      <c r="R5" s="44"/>
      <c r="S5" s="70">
        <f>SUM(O5:R5)</f>
        <v>0</v>
      </c>
      <c r="T5" s="41"/>
      <c r="U5" s="42"/>
      <c r="V5" s="43"/>
      <c r="W5" s="44"/>
      <c r="X5" s="70">
        <f>SUM(T5:W5)</f>
        <v>0</v>
      </c>
      <c r="Y5" s="99">
        <f t="shared" ref="Y5:Y36" si="1">S5+X5</f>
        <v>0</v>
      </c>
      <c r="Z5" s="157"/>
    </row>
    <row r="6" spans="1:27" x14ac:dyDescent="0.15">
      <c r="A6" s="12" t="s">
        <v>3</v>
      </c>
      <c r="B6" s="16"/>
      <c r="C6" s="29"/>
      <c r="D6" s="17"/>
      <c r="E6" s="20">
        <v>2</v>
      </c>
      <c r="F6" s="45">
        <f>SUM(B6:E6)</f>
        <v>2</v>
      </c>
      <c r="G6" s="16">
        <v>2</v>
      </c>
      <c r="H6" s="29"/>
      <c r="I6" s="17">
        <v>2</v>
      </c>
      <c r="J6" s="20"/>
      <c r="K6" s="45">
        <f>SUM(G6:J6)</f>
        <v>4</v>
      </c>
      <c r="L6" s="100">
        <f t="shared" si="0"/>
        <v>6</v>
      </c>
      <c r="M6" s="56">
        <v>45681</v>
      </c>
      <c r="N6" s="12" t="s">
        <v>47</v>
      </c>
      <c r="O6" s="16">
        <v>6</v>
      </c>
      <c r="P6" s="29">
        <v>6</v>
      </c>
      <c r="Q6" s="17"/>
      <c r="R6" s="20">
        <v>3</v>
      </c>
      <c r="S6" s="45">
        <f>SUM(O6:R6)</f>
        <v>15</v>
      </c>
      <c r="T6" s="16">
        <v>1</v>
      </c>
      <c r="U6" s="29"/>
      <c r="V6" s="17"/>
      <c r="W6" s="20"/>
      <c r="X6" s="45">
        <f>SUM(T6:W6)</f>
        <v>1</v>
      </c>
      <c r="Y6" s="100">
        <f t="shared" ref="Y6" si="2">S6+X6</f>
        <v>16</v>
      </c>
      <c r="Z6" s="224"/>
    </row>
    <row r="7" spans="1:27" x14ac:dyDescent="0.15">
      <c r="A7" s="12" t="s">
        <v>118</v>
      </c>
      <c r="B7" s="16"/>
      <c r="C7" s="29"/>
      <c r="D7" s="17">
        <v>1</v>
      </c>
      <c r="E7" s="20"/>
      <c r="F7" s="45">
        <f>SUM(B7:E7)</f>
        <v>1</v>
      </c>
      <c r="G7" s="16"/>
      <c r="H7" s="29"/>
      <c r="I7" s="17"/>
      <c r="J7" s="20"/>
      <c r="K7" s="45">
        <f>SUM(G7:J7)</f>
        <v>0</v>
      </c>
      <c r="L7" s="100">
        <f t="shared" si="0"/>
        <v>1</v>
      </c>
      <c r="M7" s="56">
        <v>45687</v>
      </c>
      <c r="N7" s="12" t="s">
        <v>4</v>
      </c>
      <c r="O7" s="16">
        <v>40</v>
      </c>
      <c r="P7" s="29">
        <v>50</v>
      </c>
      <c r="Q7" s="17">
        <v>40</v>
      </c>
      <c r="R7" s="20">
        <v>30</v>
      </c>
      <c r="S7" s="45">
        <f>SUM(O7:R7)</f>
        <v>160</v>
      </c>
      <c r="T7" s="16">
        <v>40</v>
      </c>
      <c r="U7" s="29">
        <v>50</v>
      </c>
      <c r="V7" s="17">
        <v>40</v>
      </c>
      <c r="W7" s="20">
        <v>30</v>
      </c>
      <c r="X7" s="45">
        <f>SUM(T7:W7)</f>
        <v>160</v>
      </c>
      <c r="Y7" s="100">
        <f>S7+X7</f>
        <v>320</v>
      </c>
      <c r="Z7" s="56" t="s">
        <v>83</v>
      </c>
    </row>
    <row r="8" spans="1:27" ht="14.25" thickBot="1" x14ac:dyDescent="0.2">
      <c r="A8" s="12" t="s">
        <v>6</v>
      </c>
      <c r="B8" s="6">
        <v>-1</v>
      </c>
      <c r="C8" s="18">
        <v>3</v>
      </c>
      <c r="D8" s="7">
        <v>-2</v>
      </c>
      <c r="E8" s="8">
        <v>2</v>
      </c>
      <c r="F8" s="10">
        <f>SUM(B8:E8)</f>
        <v>2</v>
      </c>
      <c r="G8" s="6">
        <v>4</v>
      </c>
      <c r="H8" s="18">
        <v>1</v>
      </c>
      <c r="I8" s="7">
        <v>3</v>
      </c>
      <c r="J8" s="8"/>
      <c r="K8" s="10">
        <f>SUM(G8:J8)</f>
        <v>8</v>
      </c>
      <c r="L8" s="101">
        <f t="shared" si="0"/>
        <v>10</v>
      </c>
      <c r="M8" s="56">
        <v>45689</v>
      </c>
      <c r="N8" s="12" t="s">
        <v>5</v>
      </c>
      <c r="O8" s="117"/>
      <c r="P8" s="118"/>
      <c r="Q8" s="119"/>
      <c r="R8" s="120"/>
      <c r="S8" s="121">
        <f>SUM(O8:R8)</f>
        <v>0</v>
      </c>
      <c r="T8" s="117"/>
      <c r="U8" s="118"/>
      <c r="V8" s="119"/>
      <c r="W8" s="120"/>
      <c r="X8" s="121">
        <f>SUM(T8:W8)</f>
        <v>0</v>
      </c>
      <c r="Y8" s="122">
        <f t="shared" si="1"/>
        <v>0</v>
      </c>
    </row>
    <row r="9" spans="1:27" ht="14.25" thickBot="1" x14ac:dyDescent="0.2">
      <c r="A9" s="14" t="s">
        <v>7</v>
      </c>
      <c r="B9" s="25">
        <f t="shared" ref="B9:F9" si="3">SUM(B4:B8)</f>
        <v>4</v>
      </c>
      <c r="C9" s="31">
        <f t="shared" si="3"/>
        <v>8</v>
      </c>
      <c r="D9" s="26">
        <f t="shared" si="3"/>
        <v>4</v>
      </c>
      <c r="E9" s="67">
        <f t="shared" si="3"/>
        <v>9</v>
      </c>
      <c r="F9" s="66">
        <f t="shared" si="3"/>
        <v>25</v>
      </c>
      <c r="G9" s="25">
        <f t="shared" ref="G9:K9" si="4">SUM(G4:G8)</f>
        <v>11</v>
      </c>
      <c r="H9" s="31">
        <f t="shared" si="4"/>
        <v>6</v>
      </c>
      <c r="I9" s="26">
        <f t="shared" si="4"/>
        <v>10</v>
      </c>
      <c r="J9" s="67">
        <f t="shared" si="4"/>
        <v>8</v>
      </c>
      <c r="K9" s="66">
        <f t="shared" si="4"/>
        <v>35</v>
      </c>
      <c r="L9" s="102">
        <f t="shared" si="0"/>
        <v>60</v>
      </c>
      <c r="N9" s="13" t="s">
        <v>7</v>
      </c>
      <c r="O9" s="25">
        <f t="shared" ref="O9:S9" si="5">SUM(O4:O8)</f>
        <v>76</v>
      </c>
      <c r="P9" s="31">
        <f t="shared" si="5"/>
        <v>96</v>
      </c>
      <c r="Q9" s="26">
        <f t="shared" si="5"/>
        <v>80</v>
      </c>
      <c r="R9" s="67">
        <f t="shared" si="5"/>
        <v>63</v>
      </c>
      <c r="S9" s="68">
        <f t="shared" si="5"/>
        <v>315</v>
      </c>
      <c r="T9" s="25">
        <f t="shared" ref="T9:X9" si="6">SUM(T4:T8)</f>
        <v>71</v>
      </c>
      <c r="U9" s="31">
        <f t="shared" si="6"/>
        <v>90</v>
      </c>
      <c r="V9" s="26">
        <f t="shared" si="6"/>
        <v>80</v>
      </c>
      <c r="W9" s="67">
        <f t="shared" si="6"/>
        <v>60</v>
      </c>
      <c r="X9" s="68">
        <f t="shared" si="6"/>
        <v>301</v>
      </c>
      <c r="Y9" s="102">
        <f>S9+X9</f>
        <v>616</v>
      </c>
    </row>
    <row r="10" spans="1:27" x14ac:dyDescent="0.15">
      <c r="A10" s="47" t="s">
        <v>41</v>
      </c>
      <c r="B10" s="41"/>
      <c r="C10" s="42"/>
      <c r="D10" s="43"/>
      <c r="E10" s="44"/>
      <c r="F10" s="61">
        <f t="shared" ref="F10:F35" si="7">SUM(B10:E10)</f>
        <v>0</v>
      </c>
      <c r="G10" s="41"/>
      <c r="H10" s="42"/>
      <c r="I10" s="43">
        <v>1</v>
      </c>
      <c r="J10" s="44"/>
      <c r="K10" s="61">
        <f t="shared" ref="K10:K34" si="8">SUM(G10:J10)</f>
        <v>1</v>
      </c>
      <c r="L10" s="103">
        <f t="shared" si="0"/>
        <v>1</v>
      </c>
      <c r="M10" s="58">
        <v>45607</v>
      </c>
      <c r="N10" s="33" t="s">
        <v>40</v>
      </c>
      <c r="O10" s="16">
        <v>5</v>
      </c>
      <c r="P10" s="29">
        <v>5</v>
      </c>
      <c r="Q10" s="17">
        <v>5</v>
      </c>
      <c r="R10" s="32">
        <v>5</v>
      </c>
      <c r="S10" s="9">
        <f t="shared" ref="S10:S11" si="9">SUM(O10:R10)</f>
        <v>20</v>
      </c>
      <c r="T10" s="16">
        <v>5</v>
      </c>
      <c r="U10" s="29">
        <v>5</v>
      </c>
      <c r="V10" s="17">
        <v>5</v>
      </c>
      <c r="W10" s="32">
        <v>5</v>
      </c>
      <c r="X10" s="9">
        <f t="shared" ref="X10:X11" si="10">SUM(T10:W10)</f>
        <v>20</v>
      </c>
      <c r="Y10" s="103">
        <f t="shared" si="1"/>
        <v>40</v>
      </c>
      <c r="Z10" s="56">
        <v>45604</v>
      </c>
    </row>
    <row r="11" spans="1:27" x14ac:dyDescent="0.15">
      <c r="A11" s="47" t="s">
        <v>42</v>
      </c>
      <c r="B11" s="16"/>
      <c r="C11" s="29"/>
      <c r="D11" s="17"/>
      <c r="E11" s="20"/>
      <c r="F11" s="9">
        <f t="shared" si="7"/>
        <v>0</v>
      </c>
      <c r="G11" s="16">
        <v>1</v>
      </c>
      <c r="H11" s="29"/>
      <c r="I11" s="17"/>
      <c r="J11" s="20"/>
      <c r="K11" s="9">
        <f t="shared" si="8"/>
        <v>1</v>
      </c>
      <c r="L11" s="104">
        <f t="shared" si="0"/>
        <v>1</v>
      </c>
      <c r="M11" s="58">
        <v>45607</v>
      </c>
      <c r="N11" s="47" t="s">
        <v>60</v>
      </c>
      <c r="O11" s="16">
        <v>2</v>
      </c>
      <c r="P11" s="29">
        <v>2</v>
      </c>
      <c r="Q11" s="17">
        <v>1</v>
      </c>
      <c r="R11" s="20">
        <v>1</v>
      </c>
      <c r="S11" s="9">
        <f t="shared" si="9"/>
        <v>6</v>
      </c>
      <c r="T11" s="16">
        <v>1</v>
      </c>
      <c r="U11" s="29">
        <v>2</v>
      </c>
      <c r="V11" s="17">
        <v>1</v>
      </c>
      <c r="W11" s="20">
        <v>1</v>
      </c>
      <c r="X11" s="9">
        <f t="shared" si="10"/>
        <v>5</v>
      </c>
      <c r="Y11" s="104">
        <f t="shared" si="1"/>
        <v>11</v>
      </c>
      <c r="Z11" s="56">
        <v>45649</v>
      </c>
    </row>
    <row r="12" spans="1:27" x14ac:dyDescent="0.15">
      <c r="A12" s="47" t="s">
        <v>45</v>
      </c>
      <c r="B12" s="16"/>
      <c r="C12" s="29"/>
      <c r="D12" s="17"/>
      <c r="E12" s="20">
        <v>1</v>
      </c>
      <c r="F12" s="9">
        <f t="shared" si="7"/>
        <v>1</v>
      </c>
      <c r="G12" s="16"/>
      <c r="H12" s="29"/>
      <c r="I12" s="17"/>
      <c r="J12" s="20"/>
      <c r="K12" s="9">
        <f t="shared" si="8"/>
        <v>0</v>
      </c>
      <c r="L12" s="104">
        <f t="shared" si="0"/>
        <v>1</v>
      </c>
      <c r="M12" s="58">
        <v>45615</v>
      </c>
      <c r="N12" s="47" t="s">
        <v>85</v>
      </c>
      <c r="O12" s="16">
        <v>3</v>
      </c>
      <c r="P12" s="29">
        <v>4</v>
      </c>
      <c r="Q12" s="17">
        <v>6</v>
      </c>
      <c r="R12" s="32">
        <v>2</v>
      </c>
      <c r="S12" s="9">
        <f>SUM(O12:R12)</f>
        <v>15</v>
      </c>
      <c r="T12" s="16">
        <v>1</v>
      </c>
      <c r="U12" s="29">
        <v>1</v>
      </c>
      <c r="V12" s="17">
        <v>1</v>
      </c>
      <c r="W12" s="32">
        <v>4</v>
      </c>
      <c r="X12" s="9">
        <f>SUM(T12:W12)</f>
        <v>7</v>
      </c>
      <c r="Y12" s="104">
        <f t="shared" si="1"/>
        <v>22</v>
      </c>
      <c r="Z12" s="56">
        <v>45671</v>
      </c>
    </row>
    <row r="13" spans="1:27" x14ac:dyDescent="0.15">
      <c r="A13" s="47" t="s">
        <v>46</v>
      </c>
      <c r="B13" s="16">
        <v>1</v>
      </c>
      <c r="C13" s="29">
        <v>1</v>
      </c>
      <c r="D13" s="17">
        <v>1</v>
      </c>
      <c r="E13" s="20">
        <v>1</v>
      </c>
      <c r="F13" s="9">
        <f t="shared" si="7"/>
        <v>4</v>
      </c>
      <c r="G13" s="16">
        <v>1</v>
      </c>
      <c r="H13" s="29">
        <v>1</v>
      </c>
      <c r="I13" s="17">
        <v>1</v>
      </c>
      <c r="J13" s="20">
        <v>1</v>
      </c>
      <c r="K13" s="9">
        <f t="shared" si="8"/>
        <v>4</v>
      </c>
      <c r="L13" s="104">
        <f t="shared" si="0"/>
        <v>8</v>
      </c>
      <c r="M13" s="58">
        <v>45625</v>
      </c>
      <c r="N13" s="33" t="s">
        <v>40</v>
      </c>
      <c r="O13" s="16"/>
      <c r="P13" s="29"/>
      <c r="Q13" s="17"/>
      <c r="R13" s="32"/>
      <c r="S13" s="9">
        <f>SUM(O13:R13)</f>
        <v>0</v>
      </c>
      <c r="T13" s="16"/>
      <c r="U13" s="29"/>
      <c r="V13" s="17"/>
      <c r="W13" s="32">
        <v>3</v>
      </c>
      <c r="X13" s="9">
        <f>SUM(T13:W13)</f>
        <v>3</v>
      </c>
      <c r="Y13" s="104">
        <f t="shared" si="1"/>
        <v>3</v>
      </c>
      <c r="Z13" s="56">
        <v>45672</v>
      </c>
    </row>
    <row r="14" spans="1:27" x14ac:dyDescent="0.15">
      <c r="A14" s="47" t="s">
        <v>45</v>
      </c>
      <c r="B14" s="16"/>
      <c r="C14" s="29"/>
      <c r="D14" s="17"/>
      <c r="E14" s="20"/>
      <c r="F14" s="9">
        <f t="shared" si="7"/>
        <v>0</v>
      </c>
      <c r="G14" s="16"/>
      <c r="H14" s="29"/>
      <c r="I14" s="17"/>
      <c r="J14" s="20">
        <v>1</v>
      </c>
      <c r="K14" s="9">
        <f t="shared" si="8"/>
        <v>1</v>
      </c>
      <c r="L14" s="104">
        <f t="shared" si="0"/>
        <v>1</v>
      </c>
      <c r="M14" s="58">
        <v>45643</v>
      </c>
      <c r="N14" s="47" t="s">
        <v>92</v>
      </c>
      <c r="O14" s="16">
        <v>1</v>
      </c>
      <c r="P14" s="29">
        <v>5</v>
      </c>
      <c r="Q14" s="17"/>
      <c r="R14" s="32">
        <v>6</v>
      </c>
      <c r="S14" s="9">
        <f t="shared" ref="S14:S23" si="11">SUM(O14:R14)</f>
        <v>12</v>
      </c>
      <c r="T14" s="16">
        <v>1</v>
      </c>
      <c r="U14" s="29">
        <v>3</v>
      </c>
      <c r="V14" s="17">
        <v>6</v>
      </c>
      <c r="W14" s="32">
        <v>2</v>
      </c>
      <c r="X14" s="9">
        <f t="shared" ref="X14:X35" si="12">SUM(T14:W14)</f>
        <v>12</v>
      </c>
      <c r="Y14" s="104">
        <f t="shared" si="1"/>
        <v>24</v>
      </c>
      <c r="Z14" s="56">
        <v>45677</v>
      </c>
    </row>
    <row r="15" spans="1:27" x14ac:dyDescent="0.15">
      <c r="A15" s="47" t="s">
        <v>45</v>
      </c>
      <c r="B15" s="16"/>
      <c r="C15" s="29"/>
      <c r="D15" s="17"/>
      <c r="E15" s="20"/>
      <c r="F15" s="9">
        <f t="shared" ref="F15" si="13">SUM(B15:E15)</f>
        <v>0</v>
      </c>
      <c r="G15" s="16"/>
      <c r="H15" s="29"/>
      <c r="I15" s="17"/>
      <c r="J15" s="20">
        <v>1</v>
      </c>
      <c r="K15" s="9">
        <f t="shared" ref="K15" si="14">SUM(G15:J15)</f>
        <v>1</v>
      </c>
      <c r="L15" s="104">
        <f t="shared" ref="L15" si="15">F15+K15</f>
        <v>1</v>
      </c>
      <c r="M15" s="58">
        <v>45649</v>
      </c>
      <c r="N15" s="47" t="s">
        <v>106</v>
      </c>
      <c r="O15" s="16">
        <v>3</v>
      </c>
      <c r="P15" s="29">
        <v>10</v>
      </c>
      <c r="Q15" s="17">
        <v>7</v>
      </c>
      <c r="R15" s="32">
        <v>11</v>
      </c>
      <c r="S15" s="9">
        <f>SUM(O15:R15)</f>
        <v>31</v>
      </c>
      <c r="T15" s="16">
        <v>1</v>
      </c>
      <c r="U15" s="29">
        <v>6</v>
      </c>
      <c r="V15" s="17">
        <v>6</v>
      </c>
      <c r="W15" s="32">
        <v>3</v>
      </c>
      <c r="X15" s="9">
        <f>SUM(T15:W15)</f>
        <v>16</v>
      </c>
      <c r="Y15" s="104">
        <f t="shared" si="1"/>
        <v>47</v>
      </c>
      <c r="Z15" s="56">
        <v>45684</v>
      </c>
      <c r="AA15" s="35"/>
    </row>
    <row r="16" spans="1:27" x14ac:dyDescent="0.15">
      <c r="A16" s="47" t="s">
        <v>45</v>
      </c>
      <c r="B16" s="16"/>
      <c r="C16" s="29"/>
      <c r="D16" s="17"/>
      <c r="E16" s="20"/>
      <c r="F16" s="9">
        <f t="shared" si="7"/>
        <v>0</v>
      </c>
      <c r="G16" s="16"/>
      <c r="H16" s="29"/>
      <c r="I16" s="17">
        <v>1</v>
      </c>
      <c r="J16" s="20"/>
      <c r="K16" s="9">
        <f t="shared" si="8"/>
        <v>1</v>
      </c>
      <c r="L16" s="104">
        <f t="shared" si="0"/>
        <v>1</v>
      </c>
      <c r="M16" s="58">
        <v>45663</v>
      </c>
      <c r="N16" s="11" t="s">
        <v>107</v>
      </c>
      <c r="O16" s="16">
        <v>1</v>
      </c>
      <c r="P16" s="29">
        <v>2</v>
      </c>
      <c r="Q16" s="17">
        <v>1</v>
      </c>
      <c r="R16" s="32">
        <v>1</v>
      </c>
      <c r="S16" s="9">
        <f>SUM(O16:R16)</f>
        <v>5</v>
      </c>
      <c r="T16" s="16">
        <v>1</v>
      </c>
      <c r="U16" s="29">
        <v>2</v>
      </c>
      <c r="V16" s="17">
        <v>2</v>
      </c>
      <c r="W16" s="32">
        <v>1</v>
      </c>
      <c r="X16" s="9">
        <f>SUM(T16:W16)</f>
        <v>6</v>
      </c>
      <c r="Y16" s="104">
        <f t="shared" si="1"/>
        <v>11</v>
      </c>
      <c r="Z16" s="56">
        <v>45684</v>
      </c>
      <c r="AA16" s="35"/>
    </row>
    <row r="17" spans="1:27" x14ac:dyDescent="0.15">
      <c r="A17" s="47" t="s">
        <v>45</v>
      </c>
      <c r="B17" s="16"/>
      <c r="C17" s="29"/>
      <c r="D17" s="17"/>
      <c r="E17" s="20"/>
      <c r="F17" s="9">
        <f t="shared" si="7"/>
        <v>0</v>
      </c>
      <c r="G17" s="16"/>
      <c r="H17" s="29"/>
      <c r="I17" s="17"/>
      <c r="J17" s="20">
        <v>1</v>
      </c>
      <c r="K17" s="9">
        <f t="shared" si="8"/>
        <v>1</v>
      </c>
      <c r="L17" s="104">
        <f t="shared" si="0"/>
        <v>1</v>
      </c>
      <c r="M17" s="58">
        <v>45668</v>
      </c>
      <c r="N17" s="33" t="s">
        <v>40</v>
      </c>
      <c r="O17" s="16"/>
      <c r="P17" s="29"/>
      <c r="Q17" s="17"/>
      <c r="R17" s="32">
        <v>2</v>
      </c>
      <c r="S17" s="9">
        <f>SUM(O17:R17)</f>
        <v>2</v>
      </c>
      <c r="T17" s="16">
        <v>2</v>
      </c>
      <c r="U17" s="29"/>
      <c r="V17" s="17">
        <v>2</v>
      </c>
      <c r="W17" s="32"/>
      <c r="X17" s="9">
        <f>SUM(T17:W17)</f>
        <v>4</v>
      </c>
      <c r="Y17" s="104">
        <f t="shared" si="1"/>
        <v>6</v>
      </c>
      <c r="Z17" s="56">
        <v>45681</v>
      </c>
      <c r="AA17" s="35"/>
    </row>
    <row r="18" spans="1:27" x14ac:dyDescent="0.15">
      <c r="A18" s="47" t="s">
        <v>95</v>
      </c>
      <c r="B18" s="16"/>
      <c r="C18" s="29"/>
      <c r="D18" s="17"/>
      <c r="E18" s="20"/>
      <c r="F18" s="9">
        <f t="shared" si="7"/>
        <v>0</v>
      </c>
      <c r="G18" s="16">
        <v>1</v>
      </c>
      <c r="H18" s="29">
        <v>1</v>
      </c>
      <c r="I18" s="17">
        <v>1</v>
      </c>
      <c r="J18" s="20"/>
      <c r="K18" s="9">
        <f t="shared" si="8"/>
        <v>3</v>
      </c>
      <c r="L18" s="104">
        <f t="shared" si="0"/>
        <v>3</v>
      </c>
      <c r="M18" s="58">
        <v>45677</v>
      </c>
      <c r="N18" s="33" t="s">
        <v>40</v>
      </c>
      <c r="O18" s="16"/>
      <c r="P18" s="29">
        <v>3</v>
      </c>
      <c r="Q18" s="17"/>
      <c r="R18" s="32"/>
      <c r="S18" s="9">
        <f>SUM(O18:R18)</f>
        <v>3</v>
      </c>
      <c r="T18" s="16">
        <v>3</v>
      </c>
      <c r="U18" s="29">
        <v>3</v>
      </c>
      <c r="V18" s="17">
        <v>3</v>
      </c>
      <c r="W18" s="32"/>
      <c r="X18" s="9">
        <f>SUM(T18:W18)</f>
        <v>9</v>
      </c>
      <c r="Y18" s="104">
        <f t="shared" si="1"/>
        <v>12</v>
      </c>
      <c r="Z18" s="56">
        <v>45689</v>
      </c>
      <c r="AA18" s="35"/>
    </row>
    <row r="19" spans="1:27" x14ac:dyDescent="0.15">
      <c r="A19" s="47" t="s">
        <v>45</v>
      </c>
      <c r="B19" s="16"/>
      <c r="C19" s="29"/>
      <c r="D19" s="17">
        <v>1</v>
      </c>
      <c r="E19" s="20">
        <v>1</v>
      </c>
      <c r="F19" s="9">
        <f t="shared" si="7"/>
        <v>2</v>
      </c>
      <c r="G19" s="16"/>
      <c r="H19" s="29"/>
      <c r="I19" s="17"/>
      <c r="J19" s="20"/>
      <c r="K19" s="9">
        <f t="shared" si="8"/>
        <v>0</v>
      </c>
      <c r="L19" s="104">
        <f t="shared" si="0"/>
        <v>2</v>
      </c>
      <c r="M19" s="56">
        <v>45680</v>
      </c>
      <c r="N19" s="47" t="s">
        <v>142</v>
      </c>
      <c r="O19" s="16">
        <v>2</v>
      </c>
      <c r="P19" s="29"/>
      <c r="Q19" s="17"/>
      <c r="R19" s="32">
        <v>5</v>
      </c>
      <c r="S19" s="9">
        <f t="shared" si="11"/>
        <v>7</v>
      </c>
      <c r="T19" s="16">
        <v>4</v>
      </c>
      <c r="U19" s="29"/>
      <c r="V19" s="17"/>
      <c r="W19" s="32"/>
      <c r="X19" s="9">
        <f t="shared" si="12"/>
        <v>4</v>
      </c>
      <c r="Y19" s="104">
        <f t="shared" si="1"/>
        <v>11</v>
      </c>
      <c r="Z19" s="56">
        <v>45705</v>
      </c>
      <c r="AA19" s="35"/>
    </row>
    <row r="20" spans="1:27" x14ac:dyDescent="0.15">
      <c r="A20" s="47" t="s">
        <v>45</v>
      </c>
      <c r="B20" s="16"/>
      <c r="C20" s="29">
        <v>1</v>
      </c>
      <c r="D20" s="17"/>
      <c r="E20" s="20"/>
      <c r="F20" s="9">
        <f t="shared" si="7"/>
        <v>1</v>
      </c>
      <c r="G20" s="16">
        <v>1</v>
      </c>
      <c r="H20" s="29"/>
      <c r="I20" s="17">
        <v>1</v>
      </c>
      <c r="J20" s="20"/>
      <c r="K20" s="9">
        <f t="shared" si="8"/>
        <v>2</v>
      </c>
      <c r="L20" s="104">
        <f t="shared" si="0"/>
        <v>3</v>
      </c>
      <c r="M20" s="56">
        <v>45684</v>
      </c>
      <c r="N20" s="33" t="s">
        <v>40</v>
      </c>
      <c r="O20" s="16">
        <v>2</v>
      </c>
      <c r="P20" s="29"/>
      <c r="Q20" s="17">
        <v>2</v>
      </c>
      <c r="R20" s="32"/>
      <c r="S20" s="9">
        <f t="shared" si="11"/>
        <v>4</v>
      </c>
      <c r="T20" s="16"/>
      <c r="U20" s="29"/>
      <c r="V20" s="17"/>
      <c r="W20" s="32"/>
      <c r="X20" s="9">
        <f t="shared" si="12"/>
        <v>0</v>
      </c>
      <c r="Y20" s="104">
        <f t="shared" si="1"/>
        <v>4</v>
      </c>
      <c r="Z20" s="56">
        <v>45706</v>
      </c>
      <c r="AA20" s="35"/>
    </row>
    <row r="21" spans="1:27" x14ac:dyDescent="0.15">
      <c r="A21" s="47" t="s">
        <v>126</v>
      </c>
      <c r="B21" s="16">
        <v>1</v>
      </c>
      <c r="C21" s="29"/>
      <c r="D21" s="17"/>
      <c r="E21" s="20"/>
      <c r="F21" s="9">
        <f t="shared" si="7"/>
        <v>1</v>
      </c>
      <c r="G21" s="16">
        <v>1</v>
      </c>
      <c r="H21" s="29"/>
      <c r="I21" s="17"/>
      <c r="J21" s="20"/>
      <c r="K21" s="9">
        <f t="shared" si="8"/>
        <v>1</v>
      </c>
      <c r="L21" s="104">
        <f t="shared" si="0"/>
        <v>2</v>
      </c>
      <c r="M21" s="56">
        <v>45692</v>
      </c>
      <c r="N21" s="47" t="s">
        <v>158</v>
      </c>
      <c r="O21" s="16">
        <v>3</v>
      </c>
      <c r="P21" s="29">
        <v>2</v>
      </c>
      <c r="Q21" s="17"/>
      <c r="R21" s="32">
        <v>2</v>
      </c>
      <c r="S21" s="9">
        <f t="shared" si="11"/>
        <v>7</v>
      </c>
      <c r="T21" s="16">
        <v>4</v>
      </c>
      <c r="U21" s="29">
        <v>3</v>
      </c>
      <c r="V21" s="17"/>
      <c r="W21" s="32">
        <v>2</v>
      </c>
      <c r="X21" s="9">
        <f t="shared" si="12"/>
        <v>9</v>
      </c>
      <c r="Y21" s="104">
        <f t="shared" si="1"/>
        <v>16</v>
      </c>
      <c r="Z21" s="56">
        <v>45714</v>
      </c>
      <c r="AA21" s="35"/>
    </row>
    <row r="22" spans="1:27" x14ac:dyDescent="0.15">
      <c r="A22" s="47" t="s">
        <v>45</v>
      </c>
      <c r="B22" s="16"/>
      <c r="C22" s="29"/>
      <c r="D22" s="17">
        <v>1</v>
      </c>
      <c r="E22" s="20"/>
      <c r="F22" s="9">
        <f t="shared" si="7"/>
        <v>1</v>
      </c>
      <c r="G22" s="16"/>
      <c r="H22" s="29"/>
      <c r="I22" s="17"/>
      <c r="J22" s="20"/>
      <c r="K22" s="9">
        <f t="shared" si="8"/>
        <v>0</v>
      </c>
      <c r="L22" s="104">
        <f t="shared" si="0"/>
        <v>1</v>
      </c>
      <c r="M22" s="56">
        <v>45705</v>
      </c>
      <c r="N22" s="33" t="s">
        <v>40</v>
      </c>
      <c r="O22" s="16"/>
      <c r="P22" s="29"/>
      <c r="Q22" s="17"/>
      <c r="R22" s="32">
        <v>5</v>
      </c>
      <c r="S22" s="9">
        <f t="shared" si="11"/>
        <v>5</v>
      </c>
      <c r="T22" s="16"/>
      <c r="U22" s="29"/>
      <c r="V22" s="17"/>
      <c r="W22" s="32"/>
      <c r="X22" s="9">
        <f t="shared" si="12"/>
        <v>0</v>
      </c>
      <c r="Y22" s="104">
        <f t="shared" si="1"/>
        <v>5</v>
      </c>
      <c r="Z22" s="56">
        <v>45714</v>
      </c>
      <c r="AA22" s="35"/>
    </row>
    <row r="23" spans="1:27" x14ac:dyDescent="0.15">
      <c r="A23" s="47" t="s">
        <v>150</v>
      </c>
      <c r="B23" s="16">
        <v>-2</v>
      </c>
      <c r="C23" s="29"/>
      <c r="D23" s="17">
        <v>-2</v>
      </c>
      <c r="E23" s="20"/>
      <c r="F23" s="9">
        <f t="shared" si="7"/>
        <v>-4</v>
      </c>
      <c r="G23" s="16"/>
      <c r="H23" s="29"/>
      <c r="I23" s="17"/>
      <c r="J23" s="20"/>
      <c r="K23" s="9">
        <f t="shared" si="8"/>
        <v>0</v>
      </c>
      <c r="L23" s="104">
        <f t="shared" si="0"/>
        <v>-4</v>
      </c>
      <c r="M23" s="56">
        <v>45706</v>
      </c>
      <c r="N23" s="33"/>
      <c r="O23" s="16"/>
      <c r="P23" s="29"/>
      <c r="Q23" s="17"/>
      <c r="R23" s="32"/>
      <c r="S23" s="9">
        <f t="shared" si="11"/>
        <v>0</v>
      </c>
      <c r="T23" s="16"/>
      <c r="U23" s="29"/>
      <c r="V23" s="17"/>
      <c r="W23" s="32"/>
      <c r="X23" s="9">
        <f t="shared" si="12"/>
        <v>0</v>
      </c>
      <c r="Y23" s="104">
        <f t="shared" si="1"/>
        <v>0</v>
      </c>
      <c r="Z23" s="56"/>
      <c r="AA23" s="35"/>
    </row>
    <row r="24" spans="1:27" x14ac:dyDescent="0.15">
      <c r="A24" s="47" t="s">
        <v>45</v>
      </c>
      <c r="B24" s="16"/>
      <c r="C24" s="29"/>
      <c r="D24" s="17">
        <v>1</v>
      </c>
      <c r="E24" s="20"/>
      <c r="F24" s="9">
        <f t="shared" si="7"/>
        <v>1</v>
      </c>
      <c r="G24" s="16"/>
      <c r="H24" s="29"/>
      <c r="I24" s="17"/>
      <c r="J24" s="20"/>
      <c r="K24" s="9">
        <f t="shared" si="8"/>
        <v>0</v>
      </c>
      <c r="L24" s="104">
        <f t="shared" si="0"/>
        <v>1</v>
      </c>
      <c r="M24" s="56">
        <v>45707</v>
      </c>
      <c r="N24" s="33"/>
      <c r="O24" s="16"/>
      <c r="P24" s="29"/>
      <c r="Q24" s="17"/>
      <c r="R24" s="32"/>
      <c r="S24" s="9">
        <f t="shared" ref="S24:S35" si="16">SUM(O24:R24)</f>
        <v>0</v>
      </c>
      <c r="T24" s="16"/>
      <c r="U24" s="29"/>
      <c r="V24" s="17"/>
      <c r="W24" s="32"/>
      <c r="X24" s="9">
        <f t="shared" si="12"/>
        <v>0</v>
      </c>
      <c r="Y24" s="104">
        <f t="shared" si="1"/>
        <v>0</v>
      </c>
      <c r="Z24" s="56"/>
    </row>
    <row r="25" spans="1:27" x14ac:dyDescent="0.15">
      <c r="A25" s="47" t="s">
        <v>45</v>
      </c>
      <c r="B25" s="16"/>
      <c r="C25" s="29"/>
      <c r="D25" s="17"/>
      <c r="E25" s="20">
        <v>2</v>
      </c>
      <c r="F25" s="9">
        <f t="shared" si="7"/>
        <v>2</v>
      </c>
      <c r="G25" s="16"/>
      <c r="H25" s="29"/>
      <c r="I25" s="17"/>
      <c r="J25" s="20"/>
      <c r="K25" s="9">
        <f t="shared" si="8"/>
        <v>0</v>
      </c>
      <c r="L25" s="104">
        <f t="shared" si="0"/>
        <v>2</v>
      </c>
      <c r="M25" s="56">
        <v>45708</v>
      </c>
      <c r="N25" s="33"/>
      <c r="O25" s="16"/>
      <c r="P25" s="29"/>
      <c r="Q25" s="17"/>
      <c r="R25" s="32"/>
      <c r="S25" s="9">
        <f t="shared" si="16"/>
        <v>0</v>
      </c>
      <c r="T25" s="16"/>
      <c r="U25" s="29"/>
      <c r="V25" s="17"/>
      <c r="W25" s="32"/>
      <c r="X25" s="9">
        <f t="shared" si="12"/>
        <v>0</v>
      </c>
      <c r="Y25" s="104">
        <f t="shared" si="1"/>
        <v>0</v>
      </c>
      <c r="Z25" s="56"/>
    </row>
    <row r="26" spans="1:27" x14ac:dyDescent="0.15">
      <c r="A26" s="47" t="s">
        <v>45</v>
      </c>
      <c r="B26" s="16">
        <v>1</v>
      </c>
      <c r="C26" s="29"/>
      <c r="D26" s="17"/>
      <c r="E26" s="20">
        <v>1</v>
      </c>
      <c r="F26" s="9">
        <f t="shared" si="7"/>
        <v>2</v>
      </c>
      <c r="G26" s="16"/>
      <c r="H26" s="29"/>
      <c r="I26" s="17"/>
      <c r="J26" s="20"/>
      <c r="K26" s="9">
        <f t="shared" si="8"/>
        <v>0</v>
      </c>
      <c r="L26" s="104">
        <f t="shared" si="0"/>
        <v>2</v>
      </c>
      <c r="M26" s="56">
        <v>45713</v>
      </c>
      <c r="N26" s="33"/>
      <c r="O26" s="16"/>
      <c r="P26" s="29"/>
      <c r="Q26" s="17"/>
      <c r="R26" s="32"/>
      <c r="S26" s="9">
        <f>SUM(O26:R26)</f>
        <v>0</v>
      </c>
      <c r="T26" s="16"/>
      <c r="U26" s="29"/>
      <c r="V26" s="17"/>
      <c r="W26" s="32"/>
      <c r="X26" s="9">
        <f>SUM(T26:W26)</f>
        <v>0</v>
      </c>
      <c r="Y26" s="104">
        <f t="shared" si="1"/>
        <v>0</v>
      </c>
      <c r="Z26" s="56"/>
    </row>
    <row r="27" spans="1:27" x14ac:dyDescent="0.15">
      <c r="A27" s="47" t="s">
        <v>150</v>
      </c>
      <c r="B27" s="16"/>
      <c r="C27" s="29"/>
      <c r="D27" s="17"/>
      <c r="E27" s="20">
        <v>-5</v>
      </c>
      <c r="F27" s="9">
        <f t="shared" si="7"/>
        <v>-5</v>
      </c>
      <c r="G27" s="16"/>
      <c r="H27" s="29"/>
      <c r="I27" s="17"/>
      <c r="J27" s="20"/>
      <c r="K27" s="9">
        <f t="shared" si="8"/>
        <v>0</v>
      </c>
      <c r="L27" s="104">
        <f t="shared" si="0"/>
        <v>-5</v>
      </c>
      <c r="M27" s="56">
        <v>45714</v>
      </c>
      <c r="N27" s="33"/>
      <c r="O27" s="16"/>
      <c r="P27" s="29"/>
      <c r="Q27" s="17"/>
      <c r="R27" s="32"/>
      <c r="S27" s="9">
        <f t="shared" ref="S27:S29" si="17">SUM(O27:R27)</f>
        <v>0</v>
      </c>
      <c r="T27" s="16"/>
      <c r="U27" s="29"/>
      <c r="V27" s="17"/>
      <c r="W27" s="32"/>
      <c r="X27" s="9">
        <f t="shared" ref="X27:X30" si="18">SUM(T27:W27)</f>
        <v>0</v>
      </c>
      <c r="Y27" s="104">
        <f t="shared" si="1"/>
        <v>0</v>
      </c>
      <c r="Z27" s="56"/>
    </row>
    <row r="28" spans="1:27" x14ac:dyDescent="0.15">
      <c r="A28" s="47" t="s">
        <v>162</v>
      </c>
      <c r="B28" s="16"/>
      <c r="C28" s="29">
        <v>-1</v>
      </c>
      <c r="D28" s="17"/>
      <c r="E28" s="20"/>
      <c r="F28" s="9">
        <f t="shared" si="7"/>
        <v>-1</v>
      </c>
      <c r="G28" s="16"/>
      <c r="H28" s="29"/>
      <c r="I28" s="17"/>
      <c r="J28" s="20"/>
      <c r="K28" s="9">
        <f t="shared" si="8"/>
        <v>0</v>
      </c>
      <c r="L28" s="104">
        <f t="shared" si="0"/>
        <v>-1</v>
      </c>
      <c r="M28" s="56">
        <v>45715</v>
      </c>
      <c r="N28" s="33"/>
      <c r="O28" s="16"/>
      <c r="P28" s="29"/>
      <c r="Q28" s="17"/>
      <c r="R28" s="32"/>
      <c r="S28" s="9">
        <f t="shared" si="17"/>
        <v>0</v>
      </c>
      <c r="T28" s="16"/>
      <c r="U28" s="29"/>
      <c r="V28" s="17"/>
      <c r="W28" s="32"/>
      <c r="X28" s="9">
        <f t="shared" si="18"/>
        <v>0</v>
      </c>
      <c r="Y28" s="104">
        <f t="shared" si="1"/>
        <v>0</v>
      </c>
      <c r="Z28" s="56"/>
    </row>
    <row r="29" spans="1:27" x14ac:dyDescent="0.15">
      <c r="A29" s="47" t="s">
        <v>45</v>
      </c>
      <c r="B29" s="16"/>
      <c r="C29" s="29"/>
      <c r="D29" s="17"/>
      <c r="E29" s="20">
        <v>1</v>
      </c>
      <c r="F29" s="9">
        <f t="shared" si="7"/>
        <v>1</v>
      </c>
      <c r="G29" s="16"/>
      <c r="H29" s="29"/>
      <c r="I29" s="17"/>
      <c r="J29" s="20"/>
      <c r="K29" s="9">
        <f t="shared" si="8"/>
        <v>0</v>
      </c>
      <c r="L29" s="104">
        <f t="shared" si="0"/>
        <v>1</v>
      </c>
      <c r="M29" s="56">
        <v>45717</v>
      </c>
      <c r="N29" s="33"/>
      <c r="O29" s="16"/>
      <c r="P29" s="29"/>
      <c r="Q29" s="17"/>
      <c r="R29" s="32"/>
      <c r="S29" s="9">
        <f t="shared" si="17"/>
        <v>0</v>
      </c>
      <c r="T29" s="16"/>
      <c r="U29" s="29"/>
      <c r="V29" s="17"/>
      <c r="W29" s="32"/>
      <c r="X29" s="9">
        <f t="shared" si="18"/>
        <v>0</v>
      </c>
      <c r="Y29" s="104">
        <f t="shared" si="1"/>
        <v>0</v>
      </c>
      <c r="Z29" s="56"/>
    </row>
    <row r="30" spans="1:27" x14ac:dyDescent="0.15">
      <c r="A30" s="47" t="s">
        <v>45</v>
      </c>
      <c r="B30" s="16"/>
      <c r="C30" s="29"/>
      <c r="D30" s="17"/>
      <c r="E30" s="20"/>
      <c r="F30" s="9">
        <f t="shared" si="7"/>
        <v>0</v>
      </c>
      <c r="G30" s="16">
        <v>1</v>
      </c>
      <c r="H30" s="29"/>
      <c r="I30" s="17"/>
      <c r="J30" s="20"/>
      <c r="K30" s="9">
        <f t="shared" si="8"/>
        <v>1</v>
      </c>
      <c r="L30" s="104">
        <f t="shared" si="0"/>
        <v>1</v>
      </c>
      <c r="M30" s="58">
        <v>45719</v>
      </c>
      <c r="N30" s="33"/>
      <c r="O30" s="16"/>
      <c r="P30" s="29"/>
      <c r="Q30" s="17"/>
      <c r="R30" s="32"/>
      <c r="S30" s="9">
        <f t="shared" ref="S30" si="19">SUM(O30:R30)</f>
        <v>0</v>
      </c>
      <c r="T30" s="16"/>
      <c r="U30" s="29"/>
      <c r="V30" s="17"/>
      <c r="W30" s="32"/>
      <c r="X30" s="9">
        <f t="shared" si="18"/>
        <v>0</v>
      </c>
      <c r="Y30" s="104">
        <f t="shared" si="1"/>
        <v>0</v>
      </c>
    </row>
    <row r="31" spans="1:27" x14ac:dyDescent="0.15">
      <c r="A31" s="47" t="s">
        <v>45</v>
      </c>
      <c r="B31" s="16"/>
      <c r="C31" s="29"/>
      <c r="D31" s="17"/>
      <c r="E31" s="20">
        <v>1</v>
      </c>
      <c r="F31" s="9">
        <f t="shared" si="7"/>
        <v>1</v>
      </c>
      <c r="G31" s="16"/>
      <c r="H31" s="29"/>
      <c r="I31" s="17"/>
      <c r="J31" s="20"/>
      <c r="K31" s="9">
        <f t="shared" si="8"/>
        <v>0</v>
      </c>
      <c r="L31" s="104">
        <f t="shared" si="0"/>
        <v>1</v>
      </c>
      <c r="M31" s="58">
        <v>45721</v>
      </c>
      <c r="N31" s="33"/>
      <c r="O31" s="16"/>
      <c r="P31" s="29"/>
      <c r="Q31" s="17"/>
      <c r="R31" s="32"/>
      <c r="S31" s="9">
        <f t="shared" ref="S31:S34" si="20">SUM(O31:R31)</f>
        <v>0</v>
      </c>
      <c r="T31" s="16"/>
      <c r="U31" s="29"/>
      <c r="V31" s="17"/>
      <c r="W31" s="32"/>
      <c r="X31" s="9">
        <f t="shared" ref="X31:X34" si="21">SUM(T31:W31)</f>
        <v>0</v>
      </c>
      <c r="Y31" s="104">
        <f t="shared" ref="Y31" si="22">S31+X31</f>
        <v>0</v>
      </c>
    </row>
    <row r="32" spans="1:27" x14ac:dyDescent="0.15">
      <c r="A32" s="47" t="s">
        <v>45</v>
      </c>
      <c r="B32" s="16"/>
      <c r="C32" s="29">
        <v>1</v>
      </c>
      <c r="D32" s="17"/>
      <c r="E32" s="20"/>
      <c r="F32" s="9">
        <f t="shared" si="7"/>
        <v>1</v>
      </c>
      <c r="G32" s="16"/>
      <c r="H32" s="29"/>
      <c r="I32" s="17"/>
      <c r="J32" s="20"/>
      <c r="K32" s="9">
        <f t="shared" si="8"/>
        <v>0</v>
      </c>
      <c r="L32" s="104">
        <f t="shared" si="0"/>
        <v>1</v>
      </c>
      <c r="M32" s="58">
        <v>45726</v>
      </c>
      <c r="N32" s="33" t="s">
        <v>28</v>
      </c>
      <c r="O32" s="16"/>
      <c r="P32" s="29"/>
      <c r="Q32" s="17"/>
      <c r="R32" s="32"/>
      <c r="S32" s="9">
        <f t="shared" si="20"/>
        <v>0</v>
      </c>
      <c r="T32" s="16"/>
      <c r="U32" s="29"/>
      <c r="V32" s="17"/>
      <c r="W32" s="32"/>
      <c r="X32" s="9">
        <f t="shared" si="21"/>
        <v>0</v>
      </c>
      <c r="Y32" s="104">
        <f>S32+X32</f>
        <v>0</v>
      </c>
      <c r="Z32" s="157" t="s">
        <v>29</v>
      </c>
    </row>
    <row r="33" spans="1:27" x14ac:dyDescent="0.15">
      <c r="A33" s="47" t="s">
        <v>162</v>
      </c>
      <c r="B33" s="16"/>
      <c r="C33" s="29">
        <v>-1</v>
      </c>
      <c r="D33" s="17"/>
      <c r="E33" s="20"/>
      <c r="F33" s="9">
        <f t="shared" si="7"/>
        <v>-1</v>
      </c>
      <c r="G33" s="16"/>
      <c r="H33" s="29"/>
      <c r="I33" s="17"/>
      <c r="J33" s="20"/>
      <c r="K33" s="9">
        <f t="shared" si="8"/>
        <v>0</v>
      </c>
      <c r="L33" s="104">
        <f t="shared" si="0"/>
        <v>-1</v>
      </c>
      <c r="M33" s="58">
        <v>45726</v>
      </c>
      <c r="N33" s="11" t="s">
        <v>20</v>
      </c>
      <c r="O33" s="16"/>
      <c r="P33" s="29"/>
      <c r="Q33" s="17"/>
      <c r="R33" s="32"/>
      <c r="S33" s="9">
        <f t="shared" si="20"/>
        <v>0</v>
      </c>
      <c r="T33" s="16"/>
      <c r="U33" s="29"/>
      <c r="V33" s="17"/>
      <c r="W33" s="32"/>
      <c r="X33" s="9">
        <f t="shared" si="21"/>
        <v>0</v>
      </c>
      <c r="Y33" s="104">
        <f t="shared" ref="Y33" si="23">S33+X33</f>
        <v>0</v>
      </c>
      <c r="Z33" s="157" t="s">
        <v>21</v>
      </c>
    </row>
    <row r="34" spans="1:27" ht="14.25" thickBot="1" x14ac:dyDescent="0.2">
      <c r="A34" s="47" t="s">
        <v>45</v>
      </c>
      <c r="B34" s="37">
        <v>1</v>
      </c>
      <c r="C34" s="38">
        <v>1</v>
      </c>
      <c r="D34" s="39"/>
      <c r="E34" s="40"/>
      <c r="F34" s="9">
        <f t="shared" si="7"/>
        <v>2</v>
      </c>
      <c r="G34" s="37"/>
      <c r="H34" s="38"/>
      <c r="I34" s="39"/>
      <c r="J34" s="40"/>
      <c r="K34" s="9">
        <f t="shared" si="8"/>
        <v>0</v>
      </c>
      <c r="L34" s="104">
        <f t="shared" si="0"/>
        <v>2</v>
      </c>
      <c r="M34" s="58">
        <v>45727</v>
      </c>
      <c r="N34" s="128" t="s">
        <v>89</v>
      </c>
      <c r="O34" s="37"/>
      <c r="P34" s="38"/>
      <c r="Q34" s="39"/>
      <c r="R34" s="129"/>
      <c r="S34" s="10">
        <f t="shared" si="20"/>
        <v>0</v>
      </c>
      <c r="T34" s="37"/>
      <c r="U34" s="38"/>
      <c r="V34" s="39"/>
      <c r="W34" s="129"/>
      <c r="X34" s="10">
        <f t="shared" si="21"/>
        <v>0</v>
      </c>
      <c r="Y34" s="101">
        <f>S34+X34</f>
        <v>0</v>
      </c>
      <c r="Z34" s="56" t="s">
        <v>90</v>
      </c>
    </row>
    <row r="35" spans="1:27" ht="14.25" thickBot="1" x14ac:dyDescent="0.2">
      <c r="A35" s="13" t="s">
        <v>8</v>
      </c>
      <c r="B35" s="22">
        <f>SUM(B10:B34)</f>
        <v>2</v>
      </c>
      <c r="C35" s="30">
        <f>SUM(C10:C34)</f>
        <v>2</v>
      </c>
      <c r="D35" s="23">
        <f>SUM(D10:D34)</f>
        <v>2</v>
      </c>
      <c r="E35" s="24">
        <f>SUM(E10:E34)</f>
        <v>3</v>
      </c>
      <c r="F35" s="21">
        <f t="shared" si="7"/>
        <v>9</v>
      </c>
      <c r="G35" s="22">
        <f>SUM(G10:G34)</f>
        <v>6</v>
      </c>
      <c r="H35" s="30">
        <f>SUM(H10:H34)</f>
        <v>2</v>
      </c>
      <c r="I35" s="23">
        <f>SUM(I10:I34)</f>
        <v>5</v>
      </c>
      <c r="J35" s="24">
        <f>SUM(J10:J34)</f>
        <v>4</v>
      </c>
      <c r="K35" s="21">
        <f>SUM(G35:J35)</f>
        <v>17</v>
      </c>
      <c r="L35" s="105">
        <f t="shared" si="0"/>
        <v>26</v>
      </c>
      <c r="N35" s="49" t="s">
        <v>8</v>
      </c>
      <c r="O35" s="22">
        <f>SUM(O10:O34)</f>
        <v>22</v>
      </c>
      <c r="P35" s="30">
        <f>SUM(P10:P34)</f>
        <v>33</v>
      </c>
      <c r="Q35" s="23">
        <f>SUM(Q10:Q34)</f>
        <v>22</v>
      </c>
      <c r="R35" s="24">
        <f>SUM(R10:R34)</f>
        <v>40</v>
      </c>
      <c r="S35" s="48">
        <f t="shared" si="16"/>
        <v>117</v>
      </c>
      <c r="T35" s="22">
        <f>SUM(T10:T34)</f>
        <v>23</v>
      </c>
      <c r="U35" s="30">
        <f>SUM(U10:U34)</f>
        <v>25</v>
      </c>
      <c r="V35" s="23">
        <f>SUM(V10:V34)</f>
        <v>26</v>
      </c>
      <c r="W35" s="24">
        <f>SUM(W10:W34)</f>
        <v>21</v>
      </c>
      <c r="X35" s="48">
        <f t="shared" si="12"/>
        <v>95</v>
      </c>
      <c r="Y35" s="122">
        <f t="shared" si="1"/>
        <v>212</v>
      </c>
    </row>
    <row r="36" spans="1:27" ht="14.25" thickBot="1" x14ac:dyDescent="0.2">
      <c r="A36" s="14" t="s">
        <v>9</v>
      </c>
      <c r="B36" s="25">
        <f t="shared" ref="B36:F36" si="24">B9-B35</f>
        <v>2</v>
      </c>
      <c r="C36" s="31">
        <f t="shared" si="24"/>
        <v>6</v>
      </c>
      <c r="D36" s="26">
        <f t="shared" si="24"/>
        <v>2</v>
      </c>
      <c r="E36" s="27">
        <f t="shared" si="24"/>
        <v>6</v>
      </c>
      <c r="F36" s="77">
        <f t="shared" si="24"/>
        <v>16</v>
      </c>
      <c r="G36" s="25">
        <f t="shared" ref="G36:K36" si="25">G9-G35</f>
        <v>5</v>
      </c>
      <c r="H36" s="31">
        <f t="shared" si="25"/>
        <v>4</v>
      </c>
      <c r="I36" s="26">
        <f t="shared" si="25"/>
        <v>5</v>
      </c>
      <c r="J36" s="27">
        <f t="shared" si="25"/>
        <v>4</v>
      </c>
      <c r="K36" s="77">
        <f t="shared" si="25"/>
        <v>18</v>
      </c>
      <c r="L36" s="102">
        <f t="shared" si="0"/>
        <v>34</v>
      </c>
      <c r="N36" s="13" t="s">
        <v>9</v>
      </c>
      <c r="O36" s="25">
        <f t="shared" ref="O36:S36" si="26">O9-O35</f>
        <v>54</v>
      </c>
      <c r="P36" s="31">
        <f t="shared" si="26"/>
        <v>63</v>
      </c>
      <c r="Q36" s="26">
        <f t="shared" si="26"/>
        <v>58</v>
      </c>
      <c r="R36" s="27">
        <f t="shared" si="26"/>
        <v>23</v>
      </c>
      <c r="S36" s="36">
        <f t="shared" si="26"/>
        <v>198</v>
      </c>
      <c r="T36" s="25">
        <f t="shared" ref="T36:X36" si="27">T9-T35</f>
        <v>48</v>
      </c>
      <c r="U36" s="31">
        <f t="shared" si="27"/>
        <v>65</v>
      </c>
      <c r="V36" s="26">
        <f t="shared" si="27"/>
        <v>54</v>
      </c>
      <c r="W36" s="27">
        <f t="shared" si="27"/>
        <v>39</v>
      </c>
      <c r="X36" s="36">
        <f t="shared" si="27"/>
        <v>206</v>
      </c>
      <c r="Y36" s="102">
        <f t="shared" si="1"/>
        <v>404</v>
      </c>
    </row>
    <row r="37" spans="1:27" x14ac:dyDescent="0.15">
      <c r="O37" s="55"/>
      <c r="P37" s="55"/>
      <c r="Q37" s="55"/>
      <c r="R37" s="55"/>
      <c r="S37" s="55"/>
      <c r="T37" s="55"/>
      <c r="U37" s="55"/>
      <c r="V37" s="55"/>
      <c r="W37" s="55"/>
      <c r="X37" s="55"/>
    </row>
    <row r="38" spans="1:27" x14ac:dyDescent="0.15">
      <c r="O38" s="55"/>
      <c r="P38" s="55"/>
      <c r="Q38" s="55"/>
      <c r="R38" s="55"/>
      <c r="S38" s="55"/>
      <c r="T38" s="55"/>
      <c r="U38" s="55"/>
      <c r="V38" s="55"/>
      <c r="W38" s="55"/>
      <c r="X38" s="55"/>
    </row>
    <row r="39" spans="1:27" ht="19.5" thickBot="1" x14ac:dyDescent="0.25">
      <c r="A39" s="2" t="s">
        <v>16</v>
      </c>
      <c r="B39" s="2"/>
      <c r="C39" s="1"/>
      <c r="D39" s="1"/>
      <c r="E39" s="1"/>
      <c r="F39" s="84"/>
      <c r="G39" s="2"/>
      <c r="H39" s="1" t="s">
        <v>156</v>
      </c>
      <c r="I39" s="1"/>
      <c r="J39" s="1"/>
      <c r="K39" s="84" t="s">
        <v>13</v>
      </c>
      <c r="L39" s="84"/>
      <c r="N39" s="2" t="s">
        <v>17</v>
      </c>
      <c r="O39" s="71"/>
      <c r="P39" s="71"/>
      <c r="Q39" s="71"/>
      <c r="R39" s="71"/>
      <c r="T39" s="71"/>
      <c r="U39" s="1" t="s">
        <v>156</v>
      </c>
      <c r="V39" s="71"/>
      <c r="W39" s="71"/>
      <c r="X39" s="84" t="s">
        <v>13</v>
      </c>
      <c r="Y39" s="84"/>
    </row>
    <row r="40" spans="1:27" ht="14.25" thickBot="1" x14ac:dyDescent="0.2">
      <c r="A40" s="5" t="s">
        <v>0</v>
      </c>
      <c r="B40" s="328" t="s">
        <v>120</v>
      </c>
      <c r="C40" s="329"/>
      <c r="D40" s="329"/>
      <c r="E40" s="329"/>
      <c r="F40" s="330"/>
      <c r="G40" s="331" t="s">
        <v>14</v>
      </c>
      <c r="H40" s="332"/>
      <c r="I40" s="332"/>
      <c r="J40" s="332"/>
      <c r="K40" s="333"/>
      <c r="L40" s="320" t="s">
        <v>30</v>
      </c>
      <c r="N40" s="5" t="s">
        <v>0</v>
      </c>
      <c r="O40" s="328" t="s">
        <v>202</v>
      </c>
      <c r="P40" s="329"/>
      <c r="Q40" s="329"/>
      <c r="R40" s="329"/>
      <c r="S40" s="330"/>
      <c r="T40" s="331" t="s">
        <v>203</v>
      </c>
      <c r="U40" s="332"/>
      <c r="V40" s="332"/>
      <c r="W40" s="332"/>
      <c r="X40" s="333"/>
      <c r="Y40" s="320" t="s">
        <v>30</v>
      </c>
    </row>
    <row r="41" spans="1:27" ht="14.25" thickBot="1" x14ac:dyDescent="0.2">
      <c r="A41" s="5" t="s">
        <v>1</v>
      </c>
      <c r="B41" s="3" t="s">
        <v>22</v>
      </c>
      <c r="C41" s="28" t="s">
        <v>23</v>
      </c>
      <c r="D41" s="4" t="s">
        <v>24</v>
      </c>
      <c r="E41" s="15" t="s">
        <v>25</v>
      </c>
      <c r="F41" s="19" t="s">
        <v>2</v>
      </c>
      <c r="G41" s="3" t="s">
        <v>22</v>
      </c>
      <c r="H41" s="28" t="s">
        <v>23</v>
      </c>
      <c r="I41" s="4" t="s">
        <v>24</v>
      </c>
      <c r="J41" s="15" t="s">
        <v>25</v>
      </c>
      <c r="K41" s="19" t="s">
        <v>2</v>
      </c>
      <c r="L41" s="321"/>
      <c r="N41" s="5" t="s">
        <v>1</v>
      </c>
      <c r="O41" s="3" t="s">
        <v>22</v>
      </c>
      <c r="P41" s="28" t="s">
        <v>23</v>
      </c>
      <c r="Q41" s="4" t="s">
        <v>24</v>
      </c>
      <c r="R41" s="15" t="s">
        <v>25</v>
      </c>
      <c r="S41" s="19" t="s">
        <v>2</v>
      </c>
      <c r="T41" s="3" t="s">
        <v>22</v>
      </c>
      <c r="U41" s="28" t="s">
        <v>23</v>
      </c>
      <c r="V41" s="4" t="s">
        <v>24</v>
      </c>
      <c r="W41" s="15" t="s">
        <v>25</v>
      </c>
      <c r="X41" s="19" t="s">
        <v>2</v>
      </c>
      <c r="Y41" s="321"/>
    </row>
    <row r="42" spans="1:27" x14ac:dyDescent="0.15">
      <c r="A42" s="78" t="s">
        <v>10</v>
      </c>
      <c r="B42" s="79">
        <f>B36</f>
        <v>2</v>
      </c>
      <c r="C42" s="80">
        <f>C36</f>
        <v>6</v>
      </c>
      <c r="D42" s="80">
        <f>D36</f>
        <v>2</v>
      </c>
      <c r="E42" s="81">
        <f>E36</f>
        <v>6</v>
      </c>
      <c r="F42" s="82">
        <f>SUM(B42:E42)</f>
        <v>16</v>
      </c>
      <c r="G42" s="79">
        <f>G36</f>
        <v>5</v>
      </c>
      <c r="H42" s="80">
        <f>H36</f>
        <v>4</v>
      </c>
      <c r="I42" s="80">
        <f>I36</f>
        <v>5</v>
      </c>
      <c r="J42" s="81">
        <f>J36</f>
        <v>4</v>
      </c>
      <c r="K42" s="82">
        <f>SUM(G42:J42)</f>
        <v>18</v>
      </c>
      <c r="L42" s="98">
        <f>F42+K42</f>
        <v>34</v>
      </c>
      <c r="N42" s="78" t="s">
        <v>10</v>
      </c>
      <c r="O42" s="79">
        <f>O36</f>
        <v>54</v>
      </c>
      <c r="P42" s="80">
        <f>P36</f>
        <v>63</v>
      </c>
      <c r="Q42" s="80">
        <f>Q36</f>
        <v>58</v>
      </c>
      <c r="R42" s="81">
        <f>R36</f>
        <v>23</v>
      </c>
      <c r="S42" s="82">
        <f>SUM(O42:R42)</f>
        <v>198</v>
      </c>
      <c r="T42" s="79">
        <f>T36</f>
        <v>48</v>
      </c>
      <c r="U42" s="80">
        <f>U36</f>
        <v>65</v>
      </c>
      <c r="V42" s="80">
        <f>V36</f>
        <v>54</v>
      </c>
      <c r="W42" s="81">
        <f>W36</f>
        <v>39</v>
      </c>
      <c r="X42" s="82">
        <f>SUM(T42:W42)</f>
        <v>206</v>
      </c>
      <c r="Y42" s="98">
        <f>S42+X42</f>
        <v>404</v>
      </c>
    </row>
    <row r="43" spans="1:27" x14ac:dyDescent="0.15">
      <c r="A43" s="12" t="s">
        <v>118</v>
      </c>
      <c r="B43" s="51"/>
      <c r="C43" s="52"/>
      <c r="D43" s="53">
        <v>1</v>
      </c>
      <c r="E43" s="54"/>
      <c r="F43" s="61">
        <f>SUM(B43:E43)</f>
        <v>1</v>
      </c>
      <c r="G43" s="51">
        <v>1</v>
      </c>
      <c r="H43" s="52"/>
      <c r="I43" s="53"/>
      <c r="J43" s="54"/>
      <c r="K43" s="61">
        <f>SUM(G43:J43)</f>
        <v>1</v>
      </c>
      <c r="L43" s="99">
        <f t="shared" ref="L43:L74" si="28">F43+K43</f>
        <v>2</v>
      </c>
      <c r="M43" s="56">
        <v>45737</v>
      </c>
      <c r="N43" s="47" t="s">
        <v>33</v>
      </c>
      <c r="O43" s="41">
        <v>30</v>
      </c>
      <c r="P43" s="42">
        <v>40</v>
      </c>
      <c r="Q43" s="43">
        <v>30</v>
      </c>
      <c r="R43" s="44">
        <v>40</v>
      </c>
      <c r="S43" s="70">
        <f>SUM(O43:R43)</f>
        <v>140</v>
      </c>
      <c r="T43" s="41">
        <v>30</v>
      </c>
      <c r="U43" s="42">
        <v>40</v>
      </c>
      <c r="V43" s="43">
        <v>30</v>
      </c>
      <c r="W43" s="44">
        <v>40</v>
      </c>
      <c r="X43" s="70">
        <f>SUM(T43:W43)</f>
        <v>140</v>
      </c>
      <c r="Y43" s="99">
        <f t="shared" ref="Y43" si="29">S43+X43</f>
        <v>280</v>
      </c>
      <c r="Z43" s="56" t="s">
        <v>188</v>
      </c>
    </row>
    <row r="44" spans="1:27" x14ac:dyDescent="0.15">
      <c r="A44" s="12" t="s">
        <v>169</v>
      </c>
      <c r="B44" s="16"/>
      <c r="C44" s="29"/>
      <c r="D44" s="17"/>
      <c r="E44" s="20"/>
      <c r="F44" s="45">
        <f>SUM(B44:E44)</f>
        <v>0</v>
      </c>
      <c r="G44" s="16"/>
      <c r="H44" s="29"/>
      <c r="I44" s="160">
        <v>35</v>
      </c>
      <c r="J44" s="179">
        <v>30</v>
      </c>
      <c r="K44" s="45">
        <f>SUM(G44:J44)</f>
        <v>65</v>
      </c>
      <c r="L44" s="100">
        <f t="shared" si="28"/>
        <v>65</v>
      </c>
      <c r="M44" s="56" t="s">
        <v>209</v>
      </c>
      <c r="N44" s="12" t="s">
        <v>35</v>
      </c>
      <c r="O44" s="16">
        <v>40</v>
      </c>
      <c r="P44" s="29">
        <v>50</v>
      </c>
      <c r="Q44" s="17">
        <v>30</v>
      </c>
      <c r="R44" s="20">
        <v>40</v>
      </c>
      <c r="S44" s="45">
        <f>SUM(O44:R44)</f>
        <v>160</v>
      </c>
      <c r="T44" s="16">
        <v>40</v>
      </c>
      <c r="U44" s="29">
        <v>50</v>
      </c>
      <c r="V44" s="17">
        <v>30</v>
      </c>
      <c r="W44" s="20">
        <v>40</v>
      </c>
      <c r="X44" s="45">
        <f>SUM(T44:W44)</f>
        <v>160</v>
      </c>
      <c r="Y44" s="100">
        <f t="shared" ref="Y44:Y46" si="30">S44+X44</f>
        <v>320</v>
      </c>
      <c r="Z44" s="56" t="s">
        <v>188</v>
      </c>
    </row>
    <row r="45" spans="1:27" x14ac:dyDescent="0.15">
      <c r="A45" s="12" t="s">
        <v>5</v>
      </c>
      <c r="B45" s="6">
        <v>3</v>
      </c>
      <c r="C45" s="18"/>
      <c r="D45" s="7"/>
      <c r="E45" s="8">
        <v>3</v>
      </c>
      <c r="F45" s="9">
        <f>SUM(B45:E45)</f>
        <v>6</v>
      </c>
      <c r="G45" s="6"/>
      <c r="H45" s="18"/>
      <c r="I45" s="7"/>
      <c r="J45" s="8"/>
      <c r="K45" s="9">
        <f>SUM(G45:J45)</f>
        <v>0</v>
      </c>
      <c r="L45" s="100">
        <f t="shared" si="28"/>
        <v>6</v>
      </c>
      <c r="M45" s="56">
        <v>45741</v>
      </c>
      <c r="N45" s="12" t="s">
        <v>47</v>
      </c>
      <c r="O45" s="16">
        <v>1</v>
      </c>
      <c r="P45" s="29"/>
      <c r="Q45" s="17"/>
      <c r="R45" s="20">
        <v>3</v>
      </c>
      <c r="S45" s="45">
        <f>SUM(O45:R45)</f>
        <v>4</v>
      </c>
      <c r="T45" s="16"/>
      <c r="U45" s="29">
        <v>2</v>
      </c>
      <c r="V45" s="17">
        <v>1</v>
      </c>
      <c r="W45" s="20">
        <v>2</v>
      </c>
      <c r="X45" s="45">
        <f>SUM(T45:W45)</f>
        <v>5</v>
      </c>
      <c r="Y45" s="104">
        <f t="shared" si="30"/>
        <v>9</v>
      </c>
      <c r="Z45" s="157"/>
    </row>
    <row r="46" spans="1:27" ht="14.25" thickBot="1" x14ac:dyDescent="0.2">
      <c r="A46" s="12" t="s">
        <v>6</v>
      </c>
      <c r="B46" s="6">
        <v>3</v>
      </c>
      <c r="C46" s="18">
        <v>3</v>
      </c>
      <c r="D46" s="7">
        <v>5</v>
      </c>
      <c r="E46" s="8"/>
      <c r="F46" s="10">
        <f>SUM(B46:E46)</f>
        <v>11</v>
      </c>
      <c r="G46" s="6"/>
      <c r="H46" s="18">
        <v>3</v>
      </c>
      <c r="I46" s="7"/>
      <c r="J46" s="8"/>
      <c r="K46" s="10">
        <f>SUM(G46:J46)</f>
        <v>3</v>
      </c>
      <c r="L46" s="101">
        <f t="shared" si="28"/>
        <v>14</v>
      </c>
      <c r="M46" s="56">
        <v>45744</v>
      </c>
      <c r="N46" s="12" t="s">
        <v>225</v>
      </c>
      <c r="O46" s="117"/>
      <c r="P46" s="118"/>
      <c r="Q46" s="119"/>
      <c r="R46" s="120"/>
      <c r="S46" s="70">
        <f t="shared" ref="S46" si="31">SUM(O46:R46)</f>
        <v>0</v>
      </c>
      <c r="T46" s="117"/>
      <c r="U46" s="118"/>
      <c r="V46" s="181">
        <v>26</v>
      </c>
      <c r="W46" s="182">
        <v>25</v>
      </c>
      <c r="X46" s="70">
        <f t="shared" ref="X46" si="32">SUM(T46:W46)</f>
        <v>51</v>
      </c>
      <c r="Y46" s="103">
        <f t="shared" si="30"/>
        <v>51</v>
      </c>
      <c r="Z46" s="56">
        <v>45745</v>
      </c>
    </row>
    <row r="47" spans="1:27" ht="14.25" thickBot="1" x14ac:dyDescent="0.2">
      <c r="A47" s="14" t="s">
        <v>7</v>
      </c>
      <c r="B47" s="62">
        <f t="shared" ref="B47:F47" si="33">SUM(B42:B46)</f>
        <v>8</v>
      </c>
      <c r="C47" s="63">
        <f t="shared" si="33"/>
        <v>9</v>
      </c>
      <c r="D47" s="64">
        <f t="shared" si="33"/>
        <v>8</v>
      </c>
      <c r="E47" s="65">
        <f t="shared" si="33"/>
        <v>9</v>
      </c>
      <c r="F47" s="66">
        <f t="shared" si="33"/>
        <v>34</v>
      </c>
      <c r="G47" s="62">
        <f t="shared" ref="G47:K47" si="34">SUM(G42:G46)</f>
        <v>6</v>
      </c>
      <c r="H47" s="63">
        <f t="shared" si="34"/>
        <v>7</v>
      </c>
      <c r="I47" s="64">
        <f t="shared" si="34"/>
        <v>40</v>
      </c>
      <c r="J47" s="65">
        <f t="shared" si="34"/>
        <v>34</v>
      </c>
      <c r="K47" s="66">
        <f t="shared" si="34"/>
        <v>87</v>
      </c>
      <c r="L47" s="102">
        <f t="shared" si="28"/>
        <v>121</v>
      </c>
      <c r="N47" s="13" t="s">
        <v>7</v>
      </c>
      <c r="O47" s="25">
        <f t="shared" ref="O47:S47" si="35">SUM(O42:O46)</f>
        <v>125</v>
      </c>
      <c r="P47" s="31">
        <f t="shared" si="35"/>
        <v>153</v>
      </c>
      <c r="Q47" s="26">
        <f t="shared" si="35"/>
        <v>118</v>
      </c>
      <c r="R47" s="67">
        <f t="shared" si="35"/>
        <v>106</v>
      </c>
      <c r="S47" s="68">
        <f t="shared" si="35"/>
        <v>502</v>
      </c>
      <c r="T47" s="25">
        <f t="shared" ref="T47:X47" si="36">SUM(T42:T46)</f>
        <v>118</v>
      </c>
      <c r="U47" s="31">
        <f t="shared" si="36"/>
        <v>157</v>
      </c>
      <c r="V47" s="26">
        <f t="shared" si="36"/>
        <v>141</v>
      </c>
      <c r="W47" s="67">
        <f t="shared" si="36"/>
        <v>146</v>
      </c>
      <c r="X47" s="68">
        <f t="shared" si="36"/>
        <v>562</v>
      </c>
      <c r="Y47" s="102">
        <f t="shared" ref="Y47:Y74" si="37">S47+X47</f>
        <v>1064</v>
      </c>
    </row>
    <row r="48" spans="1:27" x14ac:dyDescent="0.15">
      <c r="A48" s="47" t="s">
        <v>45</v>
      </c>
      <c r="B48" s="41"/>
      <c r="C48" s="42"/>
      <c r="D48" s="43"/>
      <c r="E48" s="44">
        <v>1</v>
      </c>
      <c r="F48" s="70">
        <f t="shared" ref="F48:F73" si="38">SUM(B48:E48)</f>
        <v>1</v>
      </c>
      <c r="G48" s="41"/>
      <c r="H48" s="42"/>
      <c r="I48" s="43"/>
      <c r="J48" s="44"/>
      <c r="K48" s="70">
        <f t="shared" ref="K48:K72" si="39">SUM(G48:J48)</f>
        <v>0</v>
      </c>
      <c r="L48" s="103">
        <f t="shared" si="28"/>
        <v>1</v>
      </c>
      <c r="M48" s="58">
        <v>45728</v>
      </c>
      <c r="N48" s="158" t="s">
        <v>82</v>
      </c>
      <c r="O48" s="16"/>
      <c r="P48" s="29"/>
      <c r="Q48" s="17"/>
      <c r="R48" s="32"/>
      <c r="S48" s="9">
        <f t="shared" ref="S48" si="40">SUM(O48:R48)</f>
        <v>0</v>
      </c>
      <c r="T48" s="16">
        <v>19</v>
      </c>
      <c r="U48" s="29">
        <v>25</v>
      </c>
      <c r="V48" s="17">
        <v>25</v>
      </c>
      <c r="W48" s="32">
        <v>25</v>
      </c>
      <c r="X48" s="9">
        <f t="shared" ref="X48" si="41">SUM(T48:W48)</f>
        <v>94</v>
      </c>
      <c r="Y48" s="103">
        <f t="shared" si="37"/>
        <v>94</v>
      </c>
      <c r="Z48" s="56">
        <v>45722</v>
      </c>
      <c r="AA48" s="35"/>
    </row>
    <row r="49" spans="1:28" x14ac:dyDescent="0.15">
      <c r="A49" s="47" t="s">
        <v>45</v>
      </c>
      <c r="B49" s="16">
        <v>1</v>
      </c>
      <c r="C49" s="29">
        <v>1</v>
      </c>
      <c r="D49" s="17"/>
      <c r="E49" s="20"/>
      <c r="F49" s="45">
        <f t="shared" si="38"/>
        <v>2</v>
      </c>
      <c r="G49" s="16"/>
      <c r="H49" s="29"/>
      <c r="I49" s="17"/>
      <c r="J49" s="20"/>
      <c r="K49" s="45">
        <f t="shared" si="39"/>
        <v>0</v>
      </c>
      <c r="L49" s="104">
        <f t="shared" si="28"/>
        <v>2</v>
      </c>
      <c r="M49" s="58">
        <v>45733</v>
      </c>
      <c r="N49" s="11" t="s">
        <v>163</v>
      </c>
      <c r="O49" s="16">
        <v>10</v>
      </c>
      <c r="P49" s="29">
        <v>15</v>
      </c>
      <c r="Q49" s="17">
        <v>10</v>
      </c>
      <c r="R49" s="32">
        <v>10</v>
      </c>
      <c r="S49" s="9">
        <f t="shared" ref="S49:S53" si="42">SUM(O49:R49)</f>
        <v>45</v>
      </c>
      <c r="T49" s="16">
        <v>10</v>
      </c>
      <c r="U49" s="29">
        <v>15</v>
      </c>
      <c r="V49" s="17">
        <v>15</v>
      </c>
      <c r="W49" s="32">
        <v>10</v>
      </c>
      <c r="X49" s="9">
        <f t="shared" ref="X49:X53" si="43">SUM(T49:W49)</f>
        <v>50</v>
      </c>
      <c r="Y49" s="104">
        <f t="shared" si="37"/>
        <v>95</v>
      </c>
      <c r="Z49" s="56">
        <v>45722</v>
      </c>
    </row>
    <row r="50" spans="1:28" x14ac:dyDescent="0.15">
      <c r="A50" s="47" t="s">
        <v>45</v>
      </c>
      <c r="B50" s="16"/>
      <c r="C50" s="29"/>
      <c r="D50" s="17"/>
      <c r="E50" s="20">
        <v>1</v>
      </c>
      <c r="F50" s="45">
        <f t="shared" si="38"/>
        <v>1</v>
      </c>
      <c r="G50" s="16"/>
      <c r="H50" s="29"/>
      <c r="I50" s="17"/>
      <c r="J50" s="20"/>
      <c r="K50" s="45">
        <f t="shared" si="39"/>
        <v>0</v>
      </c>
      <c r="L50" s="104">
        <f t="shared" si="28"/>
        <v>1</v>
      </c>
      <c r="M50" s="58">
        <v>45737</v>
      </c>
      <c r="N50" s="11" t="s">
        <v>178</v>
      </c>
      <c r="O50" s="16"/>
      <c r="P50" s="29"/>
      <c r="Q50" s="17"/>
      <c r="R50" s="32"/>
      <c r="S50" s="9">
        <f t="shared" si="42"/>
        <v>0</v>
      </c>
      <c r="T50" s="16">
        <v>10</v>
      </c>
      <c r="U50" s="29">
        <v>15</v>
      </c>
      <c r="V50" s="17">
        <v>5</v>
      </c>
      <c r="W50" s="32">
        <v>3</v>
      </c>
      <c r="X50" s="9">
        <f t="shared" si="43"/>
        <v>33</v>
      </c>
      <c r="Y50" s="104">
        <f t="shared" si="37"/>
        <v>33</v>
      </c>
      <c r="Z50" s="56">
        <v>45726</v>
      </c>
      <c r="AA50" s="35"/>
    </row>
    <row r="51" spans="1:28" x14ac:dyDescent="0.15">
      <c r="A51" s="47" t="s">
        <v>213</v>
      </c>
      <c r="B51" s="16">
        <v>1</v>
      </c>
      <c r="C51" s="29">
        <v>1</v>
      </c>
      <c r="D51" s="17">
        <v>1</v>
      </c>
      <c r="E51" s="20">
        <v>1</v>
      </c>
      <c r="F51" s="45">
        <f t="shared" si="38"/>
        <v>4</v>
      </c>
      <c r="G51" s="16">
        <v>1</v>
      </c>
      <c r="H51" s="29">
        <v>1</v>
      </c>
      <c r="I51" s="17">
        <v>1</v>
      </c>
      <c r="J51" s="20">
        <v>1</v>
      </c>
      <c r="K51" s="45">
        <f t="shared" si="39"/>
        <v>4</v>
      </c>
      <c r="L51" s="104">
        <f t="shared" si="28"/>
        <v>8</v>
      </c>
      <c r="M51" s="56">
        <v>45742</v>
      </c>
      <c r="N51" s="11" t="s">
        <v>179</v>
      </c>
      <c r="O51" s="16"/>
      <c r="P51" s="29"/>
      <c r="Q51" s="17"/>
      <c r="R51" s="32"/>
      <c r="S51" s="9">
        <f t="shared" si="42"/>
        <v>0</v>
      </c>
      <c r="T51" s="16">
        <v>15</v>
      </c>
      <c r="U51" s="29">
        <v>10</v>
      </c>
      <c r="V51" s="17">
        <v>20</v>
      </c>
      <c r="W51" s="32">
        <v>22</v>
      </c>
      <c r="X51" s="9">
        <f t="shared" si="43"/>
        <v>67</v>
      </c>
      <c r="Y51" s="104">
        <f t="shared" si="37"/>
        <v>67</v>
      </c>
      <c r="Z51" s="56">
        <v>45727</v>
      </c>
    </row>
    <row r="52" spans="1:28" x14ac:dyDescent="0.15">
      <c r="A52" s="47" t="s">
        <v>45</v>
      </c>
      <c r="B52" s="16"/>
      <c r="C52" s="29"/>
      <c r="D52" s="17">
        <v>1</v>
      </c>
      <c r="E52" s="20"/>
      <c r="F52" s="45">
        <f t="shared" si="38"/>
        <v>1</v>
      </c>
      <c r="G52" s="16"/>
      <c r="H52" s="29"/>
      <c r="I52" s="17"/>
      <c r="J52" s="20">
        <v>1</v>
      </c>
      <c r="K52" s="45">
        <f t="shared" si="39"/>
        <v>1</v>
      </c>
      <c r="L52" s="104">
        <f t="shared" si="28"/>
        <v>2</v>
      </c>
      <c r="M52" s="56">
        <v>45740</v>
      </c>
      <c r="N52" s="11" t="s">
        <v>180</v>
      </c>
      <c r="O52" s="16">
        <v>10</v>
      </c>
      <c r="P52" s="29">
        <v>9</v>
      </c>
      <c r="Q52" s="17">
        <v>4</v>
      </c>
      <c r="R52" s="32">
        <v>10</v>
      </c>
      <c r="S52" s="9">
        <f t="shared" si="42"/>
        <v>33</v>
      </c>
      <c r="T52" s="16">
        <v>4</v>
      </c>
      <c r="U52" s="29">
        <v>3</v>
      </c>
      <c r="V52" s="160">
        <v>9</v>
      </c>
      <c r="W52" s="32">
        <v>6</v>
      </c>
      <c r="X52" s="9">
        <f t="shared" si="43"/>
        <v>22</v>
      </c>
      <c r="Y52" s="104">
        <f t="shared" si="37"/>
        <v>55</v>
      </c>
      <c r="Z52" s="56">
        <v>45727</v>
      </c>
      <c r="AA52" s="35"/>
      <c r="AB52" s="35"/>
    </row>
    <row r="53" spans="1:28" x14ac:dyDescent="0.15">
      <c r="A53" s="47" t="s">
        <v>45</v>
      </c>
      <c r="B53" s="16">
        <v>1</v>
      </c>
      <c r="C53" s="29"/>
      <c r="D53" s="17"/>
      <c r="E53" s="20"/>
      <c r="F53" s="45">
        <f t="shared" ref="F53:F54" si="44">SUM(B53:E53)</f>
        <v>1</v>
      </c>
      <c r="G53" s="16"/>
      <c r="H53" s="29"/>
      <c r="I53" s="17"/>
      <c r="J53" s="20"/>
      <c r="K53" s="45">
        <f t="shared" ref="K53:K54" si="45">SUM(G53:J53)</f>
        <v>0</v>
      </c>
      <c r="L53" s="104">
        <f t="shared" ref="L53:L54" si="46">F53+K53</f>
        <v>1</v>
      </c>
      <c r="M53" s="58">
        <v>45741</v>
      </c>
      <c r="N53" s="11" t="s">
        <v>183</v>
      </c>
      <c r="O53" s="16"/>
      <c r="P53" s="29"/>
      <c r="Q53" s="17"/>
      <c r="R53" s="32"/>
      <c r="S53" s="9">
        <f t="shared" si="42"/>
        <v>0</v>
      </c>
      <c r="T53" s="16"/>
      <c r="U53" s="29">
        <v>15</v>
      </c>
      <c r="V53" s="17">
        <v>5</v>
      </c>
      <c r="W53" s="32"/>
      <c r="X53" s="9">
        <f t="shared" si="43"/>
        <v>20</v>
      </c>
      <c r="Y53" s="104">
        <f t="shared" si="37"/>
        <v>20</v>
      </c>
      <c r="Z53" s="56">
        <v>45728</v>
      </c>
      <c r="AA53" s="35"/>
    </row>
    <row r="54" spans="1:28" x14ac:dyDescent="0.15">
      <c r="A54" s="47" t="s">
        <v>223</v>
      </c>
      <c r="B54" s="16"/>
      <c r="C54" s="29"/>
      <c r="D54" s="17">
        <v>1</v>
      </c>
      <c r="E54" s="20"/>
      <c r="F54" s="45">
        <f t="shared" si="44"/>
        <v>1</v>
      </c>
      <c r="G54" s="16"/>
      <c r="H54" s="29"/>
      <c r="I54" s="17">
        <v>8</v>
      </c>
      <c r="J54" s="20"/>
      <c r="K54" s="45">
        <f t="shared" si="45"/>
        <v>8</v>
      </c>
      <c r="L54" s="104">
        <f t="shared" si="46"/>
        <v>9</v>
      </c>
      <c r="M54" s="56">
        <v>45744</v>
      </c>
      <c r="N54" s="11" t="s">
        <v>189</v>
      </c>
      <c r="O54" s="16">
        <v>4</v>
      </c>
      <c r="P54" s="29">
        <v>4</v>
      </c>
      <c r="Q54" s="17"/>
      <c r="R54" s="32"/>
      <c r="S54" s="9">
        <f>SUM(O54:R54)</f>
        <v>8</v>
      </c>
      <c r="T54" s="16"/>
      <c r="U54" s="29"/>
      <c r="V54" s="17"/>
      <c r="W54" s="32"/>
      <c r="X54" s="9">
        <f>SUM(T54:W54)</f>
        <v>0</v>
      </c>
      <c r="Y54" s="104">
        <f t="shared" si="37"/>
        <v>8</v>
      </c>
      <c r="Z54" s="56">
        <v>45729</v>
      </c>
      <c r="AA54" s="35"/>
    </row>
    <row r="55" spans="1:28" x14ac:dyDescent="0.15">
      <c r="A55" s="47" t="s">
        <v>45</v>
      </c>
      <c r="B55" s="16"/>
      <c r="C55" s="29">
        <v>1</v>
      </c>
      <c r="D55" s="17"/>
      <c r="E55" s="20"/>
      <c r="F55" s="45">
        <f t="shared" si="38"/>
        <v>1</v>
      </c>
      <c r="G55" s="16"/>
      <c r="H55" s="29"/>
      <c r="I55" s="17"/>
      <c r="J55" s="20"/>
      <c r="K55" s="45">
        <f t="shared" si="39"/>
        <v>0</v>
      </c>
      <c r="L55" s="104">
        <f t="shared" si="28"/>
        <v>1</v>
      </c>
      <c r="M55" s="56">
        <v>45743</v>
      </c>
      <c r="N55" s="11" t="s">
        <v>199</v>
      </c>
      <c r="O55" s="16"/>
      <c r="P55" s="29">
        <v>20</v>
      </c>
      <c r="Q55" s="17">
        <v>5</v>
      </c>
      <c r="R55" s="32">
        <v>10</v>
      </c>
      <c r="S55" s="9">
        <f t="shared" ref="S55:S58" si="47">SUM(O55:R55)</f>
        <v>35</v>
      </c>
      <c r="T55" s="16">
        <v>10</v>
      </c>
      <c r="U55" s="29">
        <v>20</v>
      </c>
      <c r="V55" s="17">
        <v>10</v>
      </c>
      <c r="W55" s="32">
        <v>20</v>
      </c>
      <c r="X55" s="9">
        <f t="shared" ref="X55:X58" si="48">SUM(T55:W55)</f>
        <v>60</v>
      </c>
      <c r="Y55" s="104">
        <f t="shared" ref="Y55:Y61" si="49">S55+X55</f>
        <v>95</v>
      </c>
      <c r="Z55" s="56">
        <v>45736</v>
      </c>
      <c r="AA55" s="35"/>
    </row>
    <row r="56" spans="1:28" x14ac:dyDescent="0.15">
      <c r="A56" s="47" t="s">
        <v>224</v>
      </c>
      <c r="B56" s="16"/>
      <c r="C56" s="29"/>
      <c r="D56" s="17"/>
      <c r="E56" s="20"/>
      <c r="F56" s="45">
        <f t="shared" si="38"/>
        <v>0</v>
      </c>
      <c r="G56" s="16"/>
      <c r="H56" s="29"/>
      <c r="I56" s="160">
        <v>26</v>
      </c>
      <c r="J56" s="179">
        <v>25</v>
      </c>
      <c r="K56" s="45">
        <f t="shared" si="39"/>
        <v>51</v>
      </c>
      <c r="L56" s="104">
        <f t="shared" si="28"/>
        <v>51</v>
      </c>
      <c r="M56" s="56">
        <v>45745</v>
      </c>
      <c r="N56" s="11" t="s">
        <v>205</v>
      </c>
      <c r="O56" s="16"/>
      <c r="P56" s="29"/>
      <c r="Q56" s="17"/>
      <c r="R56" s="32"/>
      <c r="S56" s="9">
        <f t="shared" si="47"/>
        <v>0</v>
      </c>
      <c r="T56" s="16">
        <v>5</v>
      </c>
      <c r="U56" s="29"/>
      <c r="V56" s="17"/>
      <c r="W56" s="32"/>
      <c r="X56" s="9">
        <f t="shared" si="48"/>
        <v>5</v>
      </c>
      <c r="Y56" s="104">
        <f t="shared" si="49"/>
        <v>5</v>
      </c>
      <c r="Z56" s="56">
        <v>45736</v>
      </c>
    </row>
    <row r="57" spans="1:28" x14ac:dyDescent="0.15">
      <c r="A57" s="47" t="s">
        <v>228</v>
      </c>
      <c r="B57" s="16"/>
      <c r="C57" s="29">
        <v>2</v>
      </c>
      <c r="D57" s="17"/>
      <c r="E57" s="20"/>
      <c r="F57" s="45">
        <f t="shared" si="38"/>
        <v>2</v>
      </c>
      <c r="G57" s="16"/>
      <c r="H57" s="29"/>
      <c r="I57" s="17"/>
      <c r="J57" s="20">
        <v>2</v>
      </c>
      <c r="K57" s="45">
        <f t="shared" si="39"/>
        <v>2</v>
      </c>
      <c r="L57" s="104">
        <f t="shared" si="28"/>
        <v>4</v>
      </c>
      <c r="M57" s="56">
        <v>45747</v>
      </c>
      <c r="N57" s="11" t="s">
        <v>206</v>
      </c>
      <c r="O57" s="16">
        <v>5</v>
      </c>
      <c r="P57" s="29"/>
      <c r="Q57" s="17"/>
      <c r="R57" s="32"/>
      <c r="S57" s="9">
        <f t="shared" si="47"/>
        <v>5</v>
      </c>
      <c r="T57" s="16"/>
      <c r="U57" s="29"/>
      <c r="V57" s="17"/>
      <c r="W57" s="32"/>
      <c r="X57" s="9">
        <f t="shared" si="48"/>
        <v>0</v>
      </c>
      <c r="Y57" s="104">
        <f t="shared" si="49"/>
        <v>5</v>
      </c>
      <c r="Z57" s="56">
        <v>45738</v>
      </c>
      <c r="AA57" s="35"/>
    </row>
    <row r="58" spans="1:28" x14ac:dyDescent="0.15">
      <c r="A58" s="47" t="s">
        <v>45</v>
      </c>
      <c r="B58" s="16"/>
      <c r="C58" s="29"/>
      <c r="D58" s="17">
        <v>1</v>
      </c>
      <c r="E58" s="20"/>
      <c r="F58" s="45">
        <f t="shared" ref="F58" si="50">SUM(B58:E58)</f>
        <v>1</v>
      </c>
      <c r="G58" s="16"/>
      <c r="H58" s="29">
        <v>1</v>
      </c>
      <c r="I58" s="17"/>
      <c r="J58" s="20"/>
      <c r="K58" s="45">
        <f t="shared" ref="K58" si="51">SUM(G58:J58)</f>
        <v>1</v>
      </c>
      <c r="L58" s="104">
        <f t="shared" ref="L58" si="52">F58+K58</f>
        <v>2</v>
      </c>
      <c r="M58" s="56">
        <v>45744</v>
      </c>
      <c r="N58" s="11" t="s">
        <v>208</v>
      </c>
      <c r="O58" s="16">
        <v>25</v>
      </c>
      <c r="P58" s="29"/>
      <c r="Q58" s="17">
        <v>25</v>
      </c>
      <c r="R58" s="32">
        <v>10</v>
      </c>
      <c r="S58" s="9">
        <f t="shared" si="47"/>
        <v>60</v>
      </c>
      <c r="T58" s="16"/>
      <c r="U58" s="29">
        <v>10</v>
      </c>
      <c r="V58" s="17">
        <v>15</v>
      </c>
      <c r="W58" s="32"/>
      <c r="X58" s="9">
        <f t="shared" si="48"/>
        <v>25</v>
      </c>
      <c r="Y58" s="104">
        <f t="shared" si="49"/>
        <v>85</v>
      </c>
      <c r="Z58" s="56">
        <v>45738</v>
      </c>
      <c r="AA58" s="35"/>
    </row>
    <row r="59" spans="1:28" x14ac:dyDescent="0.15">
      <c r="A59" s="47" t="s">
        <v>45</v>
      </c>
      <c r="B59" s="16"/>
      <c r="C59" s="29"/>
      <c r="D59" s="17"/>
      <c r="E59" s="20">
        <v>1</v>
      </c>
      <c r="F59" s="45">
        <f t="shared" si="38"/>
        <v>1</v>
      </c>
      <c r="G59" s="16"/>
      <c r="H59" s="29"/>
      <c r="I59" s="17"/>
      <c r="J59" s="20"/>
      <c r="K59" s="45">
        <f t="shared" si="39"/>
        <v>0</v>
      </c>
      <c r="L59" s="104">
        <f t="shared" si="28"/>
        <v>1</v>
      </c>
      <c r="M59" s="56">
        <v>45744</v>
      </c>
      <c r="N59" s="33" t="s">
        <v>40</v>
      </c>
      <c r="O59" s="16">
        <v>3</v>
      </c>
      <c r="P59" s="29"/>
      <c r="Q59" s="17"/>
      <c r="R59" s="32">
        <v>3</v>
      </c>
      <c r="S59" s="9">
        <f>SUM(O59:R59)</f>
        <v>6</v>
      </c>
      <c r="T59" s="16"/>
      <c r="U59" s="29"/>
      <c r="V59" s="17"/>
      <c r="W59" s="32"/>
      <c r="X59" s="9">
        <f>SUM(T59:W59)</f>
        <v>0</v>
      </c>
      <c r="Y59" s="104">
        <f t="shared" si="49"/>
        <v>6</v>
      </c>
      <c r="Z59" s="56">
        <v>45741</v>
      </c>
      <c r="AA59" s="35"/>
    </row>
    <row r="60" spans="1:28" x14ac:dyDescent="0.15">
      <c r="A60" s="47" t="s">
        <v>235</v>
      </c>
      <c r="B60" s="16"/>
      <c r="C60" s="29"/>
      <c r="D60" s="17">
        <v>-2</v>
      </c>
      <c r="E60" s="20"/>
      <c r="F60" s="45">
        <f t="shared" si="38"/>
        <v>-2</v>
      </c>
      <c r="G60" s="16"/>
      <c r="H60" s="29"/>
      <c r="I60" s="17"/>
      <c r="J60" s="20"/>
      <c r="K60" s="45">
        <f t="shared" si="39"/>
        <v>0</v>
      </c>
      <c r="L60" s="104">
        <f t="shared" si="28"/>
        <v>-2</v>
      </c>
      <c r="M60" s="56">
        <v>45744</v>
      </c>
      <c r="N60" s="47" t="s">
        <v>219</v>
      </c>
      <c r="O60" s="16">
        <v>9</v>
      </c>
      <c r="P60" s="29"/>
      <c r="Q60" s="17"/>
      <c r="R60" s="32"/>
      <c r="S60" s="9">
        <f>SUM(O60:R60)</f>
        <v>9</v>
      </c>
      <c r="T60" s="16"/>
      <c r="U60" s="29"/>
      <c r="V60" s="17"/>
      <c r="W60" s="32"/>
      <c r="X60" s="9">
        <f>SUM(T60:W60)</f>
        <v>0</v>
      </c>
      <c r="Y60" s="104">
        <f t="shared" si="49"/>
        <v>9</v>
      </c>
      <c r="Z60" s="56">
        <v>45743</v>
      </c>
      <c r="AA60" s="35"/>
    </row>
    <row r="61" spans="1:28" x14ac:dyDescent="0.15">
      <c r="A61" s="33"/>
      <c r="B61" s="16"/>
      <c r="C61" s="29"/>
      <c r="D61" s="17"/>
      <c r="E61" s="20"/>
      <c r="F61" s="45">
        <f t="shared" ref="F61" si="53">SUM(B61:E61)</f>
        <v>0</v>
      </c>
      <c r="G61" s="16"/>
      <c r="H61" s="29"/>
      <c r="I61" s="17"/>
      <c r="J61" s="20"/>
      <c r="K61" s="45">
        <f t="shared" ref="K61" si="54">SUM(G61:J61)</f>
        <v>0</v>
      </c>
      <c r="L61" s="104">
        <f t="shared" ref="L61" si="55">F61+K61</f>
        <v>0</v>
      </c>
      <c r="M61" s="56"/>
      <c r="N61" s="11" t="s">
        <v>182</v>
      </c>
      <c r="O61" s="16"/>
      <c r="P61" s="29"/>
      <c r="Q61" s="17"/>
      <c r="R61" s="32"/>
      <c r="S61" s="9">
        <f t="shared" ref="S61" si="56">SUM(O61:R61)</f>
        <v>0</v>
      </c>
      <c r="T61" s="16"/>
      <c r="U61" s="29"/>
      <c r="V61" s="17">
        <v>5</v>
      </c>
      <c r="W61" s="32"/>
      <c r="X61" s="9">
        <f t="shared" ref="X61" si="57">SUM(T61:W61)</f>
        <v>5</v>
      </c>
      <c r="Y61" s="104">
        <f t="shared" si="49"/>
        <v>5</v>
      </c>
      <c r="Z61" s="56">
        <v>45744</v>
      </c>
      <c r="AA61" s="35"/>
    </row>
    <row r="62" spans="1:28" x14ac:dyDescent="0.15">
      <c r="A62" s="33"/>
      <c r="B62" s="16"/>
      <c r="C62" s="29"/>
      <c r="D62" s="17"/>
      <c r="E62" s="20"/>
      <c r="F62" s="45">
        <f t="shared" si="38"/>
        <v>0</v>
      </c>
      <c r="G62" s="16"/>
      <c r="H62" s="29"/>
      <c r="I62" s="17"/>
      <c r="J62" s="20"/>
      <c r="K62" s="45">
        <f t="shared" si="39"/>
        <v>0</v>
      </c>
      <c r="L62" s="104">
        <f t="shared" si="28"/>
        <v>0</v>
      </c>
      <c r="M62" s="56"/>
      <c r="N62" s="47" t="s">
        <v>222</v>
      </c>
      <c r="O62" s="16"/>
      <c r="P62" s="29">
        <v>11</v>
      </c>
      <c r="Q62" s="17"/>
      <c r="R62" s="32"/>
      <c r="S62" s="9">
        <f t="shared" ref="S62:S73" si="58">SUM(O62:R62)</f>
        <v>11</v>
      </c>
      <c r="T62" s="16">
        <v>1</v>
      </c>
      <c r="U62" s="29"/>
      <c r="V62" s="17"/>
      <c r="W62" s="32">
        <v>6</v>
      </c>
      <c r="X62" s="9">
        <f t="shared" ref="X62:X73" si="59">SUM(T62:W62)</f>
        <v>7</v>
      </c>
      <c r="Y62" s="104">
        <f t="shared" si="37"/>
        <v>18</v>
      </c>
      <c r="Z62" s="56">
        <v>45744</v>
      </c>
      <c r="AA62" s="35"/>
    </row>
    <row r="63" spans="1:28" x14ac:dyDescent="0.15">
      <c r="A63" s="47"/>
      <c r="B63" s="16"/>
      <c r="C63" s="29"/>
      <c r="D63" s="17"/>
      <c r="E63" s="20"/>
      <c r="F63" s="45">
        <f t="shared" si="38"/>
        <v>0</v>
      </c>
      <c r="G63" s="16"/>
      <c r="H63" s="29"/>
      <c r="I63" s="17"/>
      <c r="J63" s="20"/>
      <c r="K63" s="45">
        <f t="shared" si="39"/>
        <v>0</v>
      </c>
      <c r="L63" s="104">
        <f t="shared" si="28"/>
        <v>0</v>
      </c>
      <c r="M63" s="58"/>
      <c r="N63" s="47" t="s">
        <v>223</v>
      </c>
      <c r="O63" s="16"/>
      <c r="P63" s="29"/>
      <c r="Q63" s="17"/>
      <c r="R63" s="32"/>
      <c r="S63" s="9">
        <f t="shared" si="58"/>
        <v>0</v>
      </c>
      <c r="T63" s="16"/>
      <c r="U63" s="29">
        <v>4</v>
      </c>
      <c r="V63" s="17"/>
      <c r="W63" s="32"/>
      <c r="X63" s="9">
        <f t="shared" si="59"/>
        <v>4</v>
      </c>
      <c r="Y63" s="104">
        <f t="shared" si="37"/>
        <v>4</v>
      </c>
      <c r="Z63" s="56">
        <v>45744</v>
      </c>
      <c r="AA63" s="35"/>
    </row>
    <row r="64" spans="1:28" x14ac:dyDescent="0.15">
      <c r="A64" s="47"/>
      <c r="B64" s="16"/>
      <c r="C64" s="29"/>
      <c r="D64" s="17"/>
      <c r="E64" s="20"/>
      <c r="F64" s="45">
        <f t="shared" si="38"/>
        <v>0</v>
      </c>
      <c r="G64" s="16"/>
      <c r="H64" s="29"/>
      <c r="I64" s="17"/>
      <c r="J64" s="20"/>
      <c r="K64" s="45">
        <f t="shared" si="39"/>
        <v>0</v>
      </c>
      <c r="L64" s="104">
        <f t="shared" si="28"/>
        <v>0</v>
      </c>
      <c r="M64" s="58"/>
      <c r="N64" s="33" t="s">
        <v>40</v>
      </c>
      <c r="O64" s="16">
        <v>3</v>
      </c>
      <c r="P64" s="29">
        <v>3</v>
      </c>
      <c r="Q64" s="17">
        <v>5</v>
      </c>
      <c r="R64" s="32"/>
      <c r="S64" s="9">
        <f>SUM(O64:R64)</f>
        <v>11</v>
      </c>
      <c r="T64" s="16"/>
      <c r="U64" s="29">
        <v>3</v>
      </c>
      <c r="V64" s="17"/>
      <c r="W64" s="32"/>
      <c r="X64" s="9">
        <f>SUM(T64:W64)</f>
        <v>3</v>
      </c>
      <c r="Y64" s="104">
        <f t="shared" si="37"/>
        <v>14</v>
      </c>
      <c r="Z64" s="56">
        <v>45744</v>
      </c>
      <c r="AA64" s="35"/>
    </row>
    <row r="65" spans="1:27" x14ac:dyDescent="0.15">
      <c r="A65" s="47"/>
      <c r="B65" s="16"/>
      <c r="C65" s="29"/>
      <c r="D65" s="17"/>
      <c r="E65" s="20"/>
      <c r="F65" s="45">
        <f t="shared" si="38"/>
        <v>0</v>
      </c>
      <c r="G65" s="16"/>
      <c r="H65" s="29"/>
      <c r="I65" s="17"/>
      <c r="J65" s="20"/>
      <c r="K65" s="45">
        <f t="shared" si="39"/>
        <v>0</v>
      </c>
      <c r="L65" s="104">
        <f t="shared" si="28"/>
        <v>0</v>
      </c>
      <c r="M65" s="56"/>
      <c r="N65" s="72"/>
      <c r="O65" s="41"/>
      <c r="P65" s="42"/>
      <c r="Q65" s="43"/>
      <c r="R65" s="59"/>
      <c r="S65" s="61">
        <f t="shared" si="58"/>
        <v>0</v>
      </c>
      <c r="T65" s="41"/>
      <c r="U65" s="42"/>
      <c r="V65" s="43"/>
      <c r="W65" s="59"/>
      <c r="X65" s="61">
        <f t="shared" si="59"/>
        <v>0</v>
      </c>
      <c r="Y65" s="104">
        <f t="shared" si="37"/>
        <v>0</v>
      </c>
      <c r="Z65" s="56"/>
      <c r="AA65" s="35"/>
    </row>
    <row r="66" spans="1:27" x14ac:dyDescent="0.15">
      <c r="A66" s="47"/>
      <c r="B66" s="16"/>
      <c r="C66" s="29"/>
      <c r="D66" s="17"/>
      <c r="E66" s="20"/>
      <c r="F66" s="45">
        <f t="shared" si="38"/>
        <v>0</v>
      </c>
      <c r="G66" s="16"/>
      <c r="H66" s="29"/>
      <c r="I66" s="17"/>
      <c r="J66" s="20"/>
      <c r="K66" s="45">
        <f t="shared" si="39"/>
        <v>0</v>
      </c>
      <c r="L66" s="104">
        <f t="shared" si="28"/>
        <v>0</v>
      </c>
      <c r="M66" s="58"/>
      <c r="N66" s="33"/>
      <c r="O66" s="16"/>
      <c r="P66" s="29"/>
      <c r="Q66" s="17"/>
      <c r="R66" s="32"/>
      <c r="S66" s="9">
        <f>SUM(O66:R66)</f>
        <v>0</v>
      </c>
      <c r="T66" s="16"/>
      <c r="U66" s="29"/>
      <c r="V66" s="17"/>
      <c r="W66" s="32"/>
      <c r="X66" s="9">
        <f>SUM(T66:W66)</f>
        <v>0</v>
      </c>
      <c r="Y66" s="104">
        <f t="shared" si="37"/>
        <v>0</v>
      </c>
      <c r="Z66" s="56"/>
    </row>
    <row r="67" spans="1:27" x14ac:dyDescent="0.15">
      <c r="A67" s="47"/>
      <c r="B67" s="16"/>
      <c r="C67" s="29"/>
      <c r="D67" s="17"/>
      <c r="E67" s="20"/>
      <c r="F67" s="45">
        <f t="shared" si="38"/>
        <v>0</v>
      </c>
      <c r="G67" s="16"/>
      <c r="H67" s="29"/>
      <c r="I67" s="17"/>
      <c r="J67" s="20"/>
      <c r="K67" s="45">
        <f t="shared" si="39"/>
        <v>0</v>
      </c>
      <c r="L67" s="104">
        <f t="shared" si="28"/>
        <v>0</v>
      </c>
      <c r="M67" s="58"/>
      <c r="N67" s="11"/>
      <c r="O67" s="16"/>
      <c r="P67" s="17"/>
      <c r="Q67" s="29"/>
      <c r="R67" s="60"/>
      <c r="S67" s="9">
        <f t="shared" si="58"/>
        <v>0</v>
      </c>
      <c r="T67" s="16"/>
      <c r="U67" s="17"/>
      <c r="V67" s="29"/>
      <c r="W67" s="60"/>
      <c r="X67" s="9">
        <f t="shared" si="59"/>
        <v>0</v>
      </c>
      <c r="Y67" s="104">
        <f t="shared" si="37"/>
        <v>0</v>
      </c>
    </row>
    <row r="68" spans="1:27" x14ac:dyDescent="0.15">
      <c r="A68" s="47"/>
      <c r="B68" s="16"/>
      <c r="C68" s="29"/>
      <c r="D68" s="17"/>
      <c r="E68" s="20"/>
      <c r="F68" s="45">
        <f t="shared" si="38"/>
        <v>0</v>
      </c>
      <c r="G68" s="16"/>
      <c r="H68" s="29"/>
      <c r="I68" s="17"/>
      <c r="J68" s="20"/>
      <c r="K68" s="45">
        <f t="shared" si="39"/>
        <v>0</v>
      </c>
      <c r="L68" s="104">
        <f t="shared" si="28"/>
        <v>0</v>
      </c>
      <c r="M68" s="58"/>
      <c r="N68" s="72" t="s">
        <v>172</v>
      </c>
      <c r="O68" s="166"/>
      <c r="P68" s="167"/>
      <c r="Q68" s="160"/>
      <c r="R68" s="168"/>
      <c r="S68" s="165">
        <f t="shared" si="58"/>
        <v>0</v>
      </c>
      <c r="T68" s="166"/>
      <c r="U68" s="167"/>
      <c r="V68" s="160"/>
      <c r="W68" s="168"/>
      <c r="X68" s="165">
        <f t="shared" si="59"/>
        <v>0</v>
      </c>
      <c r="Y68" s="169">
        <f t="shared" si="37"/>
        <v>0</v>
      </c>
      <c r="Z68" s="224"/>
    </row>
    <row r="69" spans="1:27" x14ac:dyDescent="0.15">
      <c r="A69" s="47"/>
      <c r="B69" s="16"/>
      <c r="C69" s="29"/>
      <c r="D69" s="17"/>
      <c r="E69" s="20"/>
      <c r="F69" s="45">
        <f t="shared" si="38"/>
        <v>0</v>
      </c>
      <c r="G69" s="16"/>
      <c r="H69" s="29"/>
      <c r="I69" s="17"/>
      <c r="J69" s="20"/>
      <c r="K69" s="45">
        <f t="shared" si="39"/>
        <v>0</v>
      </c>
      <c r="L69" s="104">
        <f t="shared" si="28"/>
        <v>0</v>
      </c>
      <c r="M69" s="58"/>
      <c r="N69" s="33" t="s">
        <v>121</v>
      </c>
      <c r="O69" s="16"/>
      <c r="P69" s="29"/>
      <c r="Q69" s="17"/>
      <c r="R69" s="32"/>
      <c r="S69" s="9">
        <f>SUM(O69:R69)</f>
        <v>0</v>
      </c>
      <c r="T69" s="16"/>
      <c r="U69" s="29"/>
      <c r="V69" s="17"/>
      <c r="W69" s="32"/>
      <c r="X69" s="9">
        <f>SUM(T69:W69)</f>
        <v>0</v>
      </c>
      <c r="Y69" s="104">
        <f t="shared" si="37"/>
        <v>0</v>
      </c>
      <c r="Z69" s="56" t="s">
        <v>122</v>
      </c>
    </row>
    <row r="70" spans="1:27" x14ac:dyDescent="0.15">
      <c r="A70" s="47"/>
      <c r="B70" s="16"/>
      <c r="C70" s="29"/>
      <c r="D70" s="17"/>
      <c r="E70" s="20"/>
      <c r="F70" s="45">
        <f t="shared" si="38"/>
        <v>0</v>
      </c>
      <c r="G70" s="16"/>
      <c r="H70" s="29"/>
      <c r="I70" s="17"/>
      <c r="J70" s="20"/>
      <c r="K70" s="45">
        <f t="shared" si="39"/>
        <v>0</v>
      </c>
      <c r="L70" s="104">
        <f t="shared" si="28"/>
        <v>0</v>
      </c>
      <c r="M70" s="58"/>
      <c r="N70" s="11" t="s">
        <v>108</v>
      </c>
      <c r="O70" s="16"/>
      <c r="P70" s="29"/>
      <c r="Q70" s="17"/>
      <c r="R70" s="32"/>
      <c r="S70" s="9">
        <f t="shared" ref="S70" si="60">SUM(O70:R70)</f>
        <v>0</v>
      </c>
      <c r="T70" s="16"/>
      <c r="U70" s="29"/>
      <c r="V70" s="17"/>
      <c r="W70" s="20"/>
      <c r="X70" s="9">
        <f t="shared" ref="X70" si="61">SUM(T70:W70)</f>
        <v>0</v>
      </c>
      <c r="Y70" s="176">
        <f>S70+X70</f>
        <v>0</v>
      </c>
      <c r="Z70" s="56" t="s">
        <v>109</v>
      </c>
    </row>
    <row r="71" spans="1:27" x14ac:dyDescent="0.15">
      <c r="A71" s="47"/>
      <c r="B71" s="16"/>
      <c r="C71" s="29"/>
      <c r="D71" s="17"/>
      <c r="E71" s="20"/>
      <c r="F71" s="45">
        <f t="shared" si="38"/>
        <v>0</v>
      </c>
      <c r="G71" s="16"/>
      <c r="H71" s="29"/>
      <c r="I71" s="17"/>
      <c r="J71" s="20"/>
      <c r="K71" s="45">
        <f t="shared" si="39"/>
        <v>0</v>
      </c>
      <c r="L71" s="104">
        <f t="shared" si="28"/>
        <v>0</v>
      </c>
      <c r="M71" s="58"/>
      <c r="N71" s="72" t="s">
        <v>102</v>
      </c>
      <c r="O71" s="161"/>
      <c r="P71" s="162"/>
      <c r="Q71" s="163"/>
      <c r="R71" s="164"/>
      <c r="S71" s="165">
        <f t="shared" si="58"/>
        <v>0</v>
      </c>
      <c r="T71" s="166"/>
      <c r="U71" s="167"/>
      <c r="V71" s="160"/>
      <c r="W71" s="168"/>
      <c r="X71" s="165">
        <f t="shared" si="59"/>
        <v>0</v>
      </c>
      <c r="Y71" s="169">
        <f t="shared" si="37"/>
        <v>0</v>
      </c>
      <c r="Z71" s="224"/>
    </row>
    <row r="72" spans="1:27" ht="14.25" thickBot="1" x14ac:dyDescent="0.2">
      <c r="A72" s="47"/>
      <c r="B72" s="37"/>
      <c r="C72" s="38"/>
      <c r="D72" s="39"/>
      <c r="E72" s="40"/>
      <c r="F72" s="45">
        <f t="shared" si="38"/>
        <v>0</v>
      </c>
      <c r="G72" s="37"/>
      <c r="H72" s="38"/>
      <c r="I72" s="39"/>
      <c r="J72" s="40"/>
      <c r="K72" s="45">
        <f t="shared" si="39"/>
        <v>0</v>
      </c>
      <c r="L72" s="104">
        <f t="shared" si="28"/>
        <v>0</v>
      </c>
      <c r="M72" s="56"/>
      <c r="N72" s="170" t="s">
        <v>69</v>
      </c>
      <c r="O72" s="123"/>
      <c r="P72" s="124"/>
      <c r="Q72" s="125"/>
      <c r="R72" s="126"/>
      <c r="S72" s="10">
        <f t="shared" si="58"/>
        <v>0</v>
      </c>
      <c r="T72" s="37"/>
      <c r="U72" s="38"/>
      <c r="V72" s="39"/>
      <c r="W72" s="129"/>
      <c r="X72" s="10">
        <f t="shared" si="59"/>
        <v>0</v>
      </c>
      <c r="Y72" s="101">
        <f t="shared" si="37"/>
        <v>0</v>
      </c>
      <c r="Z72" s="157" t="s">
        <v>70</v>
      </c>
    </row>
    <row r="73" spans="1:27" ht="14.25" thickBot="1" x14ac:dyDescent="0.2">
      <c r="A73" s="13" t="s">
        <v>8</v>
      </c>
      <c r="B73" s="22">
        <f>SUM(B48:B72)</f>
        <v>3</v>
      </c>
      <c r="C73" s="30">
        <f>SUM(C48:C72)</f>
        <v>5</v>
      </c>
      <c r="D73" s="23">
        <f>SUM(D48:D72)</f>
        <v>2</v>
      </c>
      <c r="E73" s="24">
        <f>SUM(E48:E72)</f>
        <v>4</v>
      </c>
      <c r="F73" s="21">
        <f t="shared" si="38"/>
        <v>14</v>
      </c>
      <c r="G73" s="22">
        <f>SUM(G48:G72)</f>
        <v>1</v>
      </c>
      <c r="H73" s="30">
        <f>SUM(H48:H72)</f>
        <v>2</v>
      </c>
      <c r="I73" s="23">
        <f>SUM(I48:I72)</f>
        <v>35</v>
      </c>
      <c r="J73" s="24">
        <f>SUM(J48:J72)</f>
        <v>29</v>
      </c>
      <c r="K73" s="21">
        <f>SUM(G73:J73)</f>
        <v>67</v>
      </c>
      <c r="L73" s="105">
        <f t="shared" si="28"/>
        <v>81</v>
      </c>
      <c r="N73" s="13" t="s">
        <v>8</v>
      </c>
      <c r="O73" s="133">
        <f>SUM(O48:O72)</f>
        <v>69</v>
      </c>
      <c r="P73" s="134">
        <f>SUM(P48:P72)</f>
        <v>62</v>
      </c>
      <c r="Q73" s="135">
        <f>SUM(Q48:Q72)</f>
        <v>49</v>
      </c>
      <c r="R73" s="136">
        <f>SUM(R48:R72)</f>
        <v>43</v>
      </c>
      <c r="S73" s="21">
        <f t="shared" si="58"/>
        <v>223</v>
      </c>
      <c r="T73" s="133">
        <f>SUM(T48:T72)</f>
        <v>74</v>
      </c>
      <c r="U73" s="134">
        <f>SUM(U48:U72)</f>
        <v>120</v>
      </c>
      <c r="V73" s="135">
        <f>SUM(V48:V72)</f>
        <v>109</v>
      </c>
      <c r="W73" s="136">
        <f>SUM(W48:W72)</f>
        <v>92</v>
      </c>
      <c r="X73" s="21">
        <f t="shared" si="59"/>
        <v>395</v>
      </c>
      <c r="Y73" s="105">
        <f t="shared" si="37"/>
        <v>618</v>
      </c>
    </row>
    <row r="74" spans="1:27" ht="14.25" thickBot="1" x14ac:dyDescent="0.2">
      <c r="A74" s="14" t="s">
        <v>9</v>
      </c>
      <c r="B74" s="25">
        <f t="shared" ref="B74:F74" si="62">B47-B73</f>
        <v>5</v>
      </c>
      <c r="C74" s="31">
        <f t="shared" si="62"/>
        <v>4</v>
      </c>
      <c r="D74" s="26">
        <f t="shared" si="62"/>
        <v>6</v>
      </c>
      <c r="E74" s="27">
        <f t="shared" si="62"/>
        <v>5</v>
      </c>
      <c r="F74" s="83">
        <f t="shared" si="62"/>
        <v>20</v>
      </c>
      <c r="G74" s="25">
        <f t="shared" ref="G74:K74" si="63">G47-G73</f>
        <v>5</v>
      </c>
      <c r="H74" s="31">
        <f t="shared" si="63"/>
        <v>5</v>
      </c>
      <c r="I74" s="26">
        <f t="shared" si="63"/>
        <v>5</v>
      </c>
      <c r="J74" s="27">
        <f t="shared" si="63"/>
        <v>5</v>
      </c>
      <c r="K74" s="83">
        <f t="shared" si="63"/>
        <v>20</v>
      </c>
      <c r="L74" s="102">
        <f t="shared" si="28"/>
        <v>40</v>
      </c>
      <c r="N74" s="13" t="s">
        <v>9</v>
      </c>
      <c r="O74" s="25">
        <f t="shared" ref="O74:S74" si="64">O47-O73</f>
        <v>56</v>
      </c>
      <c r="P74" s="31">
        <f t="shared" si="64"/>
        <v>91</v>
      </c>
      <c r="Q74" s="26">
        <f t="shared" si="64"/>
        <v>69</v>
      </c>
      <c r="R74" s="27">
        <f t="shared" si="64"/>
        <v>63</v>
      </c>
      <c r="S74" s="36">
        <f t="shared" si="64"/>
        <v>279</v>
      </c>
      <c r="T74" s="25">
        <f t="shared" ref="T74:X74" si="65">T47-T73</f>
        <v>44</v>
      </c>
      <c r="U74" s="31">
        <f t="shared" si="65"/>
        <v>37</v>
      </c>
      <c r="V74" s="26">
        <f t="shared" si="65"/>
        <v>32</v>
      </c>
      <c r="W74" s="27">
        <f t="shared" si="65"/>
        <v>54</v>
      </c>
      <c r="X74" s="36">
        <f t="shared" si="65"/>
        <v>167</v>
      </c>
      <c r="Y74" s="102">
        <f t="shared" si="37"/>
        <v>446</v>
      </c>
    </row>
    <row r="75" spans="1:27" x14ac:dyDescent="0.15">
      <c r="N75" s="69"/>
      <c r="O75" s="50"/>
      <c r="P75" s="50"/>
      <c r="Q75" s="50"/>
      <c r="R75" s="50"/>
      <c r="S75" s="50"/>
      <c r="T75" s="50"/>
      <c r="U75" s="50"/>
      <c r="V75" s="50"/>
      <c r="W75" s="50"/>
      <c r="X75" s="50"/>
    </row>
    <row r="77" spans="1:27" ht="19.5" thickBot="1" x14ac:dyDescent="0.25">
      <c r="A77" s="2" t="s">
        <v>16</v>
      </c>
      <c r="B77" s="2"/>
      <c r="C77" s="1"/>
      <c r="D77" s="1"/>
      <c r="E77" s="1"/>
      <c r="F77" s="84"/>
      <c r="G77" s="2"/>
      <c r="H77" s="1" t="s">
        <v>156</v>
      </c>
      <c r="I77" s="1"/>
      <c r="J77" s="1"/>
      <c r="K77" s="84" t="s">
        <v>13</v>
      </c>
      <c r="L77" s="84"/>
      <c r="N77" s="2" t="s">
        <v>17</v>
      </c>
      <c r="O77" s="71"/>
      <c r="P77" s="71"/>
      <c r="Q77" s="71"/>
      <c r="R77" s="71"/>
      <c r="T77" s="71"/>
      <c r="U77" s="1" t="s">
        <v>156</v>
      </c>
      <c r="V77" s="71"/>
      <c r="W77" s="71"/>
      <c r="X77" s="84" t="s">
        <v>13</v>
      </c>
      <c r="Y77" s="84"/>
    </row>
    <row r="78" spans="1:27" ht="14.25" thickBot="1" x14ac:dyDescent="0.2">
      <c r="A78" s="5" t="s">
        <v>0</v>
      </c>
      <c r="B78" s="328" t="s">
        <v>120</v>
      </c>
      <c r="C78" s="329"/>
      <c r="D78" s="329"/>
      <c r="E78" s="329"/>
      <c r="F78" s="330"/>
      <c r="G78" s="331" t="s">
        <v>14</v>
      </c>
      <c r="H78" s="332"/>
      <c r="I78" s="332"/>
      <c r="J78" s="332"/>
      <c r="K78" s="333"/>
      <c r="L78" s="320" t="s">
        <v>30</v>
      </c>
      <c r="N78" s="5" t="s">
        <v>0</v>
      </c>
      <c r="O78" s="328" t="s">
        <v>202</v>
      </c>
      <c r="P78" s="329"/>
      <c r="Q78" s="329"/>
      <c r="R78" s="329"/>
      <c r="S78" s="330"/>
      <c r="T78" s="331" t="s">
        <v>203</v>
      </c>
      <c r="U78" s="332"/>
      <c r="V78" s="332"/>
      <c r="W78" s="332"/>
      <c r="X78" s="333"/>
      <c r="Y78" s="320" t="s">
        <v>30</v>
      </c>
    </row>
    <row r="79" spans="1:27" ht="14.25" thickBot="1" x14ac:dyDescent="0.2">
      <c r="A79" s="5" t="s">
        <v>1</v>
      </c>
      <c r="B79" s="3" t="s">
        <v>22</v>
      </c>
      <c r="C79" s="28" t="s">
        <v>23</v>
      </c>
      <c r="D79" s="4" t="s">
        <v>24</v>
      </c>
      <c r="E79" s="15" t="s">
        <v>25</v>
      </c>
      <c r="F79" s="19" t="s">
        <v>2</v>
      </c>
      <c r="G79" s="3" t="s">
        <v>22</v>
      </c>
      <c r="H79" s="28" t="s">
        <v>23</v>
      </c>
      <c r="I79" s="4" t="s">
        <v>24</v>
      </c>
      <c r="J79" s="15" t="s">
        <v>25</v>
      </c>
      <c r="K79" s="19" t="s">
        <v>2</v>
      </c>
      <c r="L79" s="321"/>
      <c r="N79" s="5" t="s">
        <v>1</v>
      </c>
      <c r="O79" s="3" t="s">
        <v>22</v>
      </c>
      <c r="P79" s="28" t="s">
        <v>23</v>
      </c>
      <c r="Q79" s="4" t="s">
        <v>24</v>
      </c>
      <c r="R79" s="15" t="s">
        <v>25</v>
      </c>
      <c r="S79" s="19" t="s">
        <v>2</v>
      </c>
      <c r="T79" s="3" t="s">
        <v>22</v>
      </c>
      <c r="U79" s="28" t="s">
        <v>23</v>
      </c>
      <c r="V79" s="4" t="s">
        <v>24</v>
      </c>
      <c r="W79" s="15" t="s">
        <v>25</v>
      </c>
      <c r="X79" s="19" t="s">
        <v>2</v>
      </c>
      <c r="Y79" s="321"/>
    </row>
    <row r="80" spans="1:27" x14ac:dyDescent="0.15">
      <c r="A80" s="78" t="s">
        <v>10</v>
      </c>
      <c r="B80" s="79">
        <f>B74</f>
        <v>5</v>
      </c>
      <c r="C80" s="80">
        <f>C74</f>
        <v>4</v>
      </c>
      <c r="D80" s="80">
        <f>D74</f>
        <v>6</v>
      </c>
      <c r="E80" s="81">
        <f>E74</f>
        <v>5</v>
      </c>
      <c r="F80" s="82">
        <f>SUM(B80:E80)</f>
        <v>20</v>
      </c>
      <c r="G80" s="79">
        <f>G74</f>
        <v>5</v>
      </c>
      <c r="H80" s="80">
        <f>H74</f>
        <v>5</v>
      </c>
      <c r="I80" s="80">
        <f>I74</f>
        <v>5</v>
      </c>
      <c r="J80" s="81">
        <f>J74</f>
        <v>5</v>
      </c>
      <c r="K80" s="82">
        <f>SUM(G80:J80)</f>
        <v>20</v>
      </c>
      <c r="L80" s="98">
        <f>F80+K80</f>
        <v>40</v>
      </c>
      <c r="N80" s="78" t="s">
        <v>10</v>
      </c>
      <c r="O80" s="79">
        <f>O74</f>
        <v>56</v>
      </c>
      <c r="P80" s="80">
        <f>P74</f>
        <v>91</v>
      </c>
      <c r="Q80" s="80">
        <f>Q74</f>
        <v>69</v>
      </c>
      <c r="R80" s="81">
        <f>R74</f>
        <v>63</v>
      </c>
      <c r="S80" s="82">
        <f>SUM(O80:R80)</f>
        <v>279</v>
      </c>
      <c r="T80" s="79">
        <f>T74</f>
        <v>44</v>
      </c>
      <c r="U80" s="80">
        <f>U74</f>
        <v>37</v>
      </c>
      <c r="V80" s="80">
        <f>V74</f>
        <v>32</v>
      </c>
      <c r="W80" s="81">
        <f>W74</f>
        <v>54</v>
      </c>
      <c r="X80" s="82">
        <f>SUM(T80:W80)</f>
        <v>167</v>
      </c>
      <c r="Y80" s="98">
        <f>S80+X80</f>
        <v>446</v>
      </c>
    </row>
    <row r="81" spans="1:28" x14ac:dyDescent="0.15">
      <c r="A81" s="47" t="s">
        <v>3</v>
      </c>
      <c r="B81" s="51"/>
      <c r="C81" s="52">
        <v>5</v>
      </c>
      <c r="D81" s="53"/>
      <c r="E81" s="54"/>
      <c r="F81" s="61">
        <f>SUM(B81:E81)</f>
        <v>5</v>
      </c>
      <c r="G81" s="51"/>
      <c r="H81" s="52">
        <v>5</v>
      </c>
      <c r="I81" s="53"/>
      <c r="J81" s="54"/>
      <c r="K81" s="61">
        <f>SUM(G81:J81)</f>
        <v>5</v>
      </c>
      <c r="L81" s="99">
        <f t="shared" ref="L81:L112" si="66">F81+K81</f>
        <v>10</v>
      </c>
      <c r="M81" s="56">
        <v>45750</v>
      </c>
      <c r="N81" s="12" t="s">
        <v>11</v>
      </c>
      <c r="O81" s="16"/>
      <c r="P81" s="29"/>
      <c r="Q81" s="17"/>
      <c r="R81" s="20"/>
      <c r="S81" s="45">
        <f t="shared" ref="S81" si="67">SUM(O81:R81)</f>
        <v>0</v>
      </c>
      <c r="T81" s="16"/>
      <c r="U81" s="29"/>
      <c r="V81" s="17"/>
      <c r="W81" s="20"/>
      <c r="X81" s="45">
        <f t="shared" ref="X81" si="68">SUM(T81:W81)</f>
        <v>0</v>
      </c>
      <c r="Y81" s="100">
        <f t="shared" ref="Y81:Y83" si="69">S81+X81</f>
        <v>0</v>
      </c>
      <c r="Z81" s="58"/>
    </row>
    <row r="82" spans="1:28" x14ac:dyDescent="0.15">
      <c r="A82" s="47" t="s">
        <v>4</v>
      </c>
      <c r="B82" s="6"/>
      <c r="C82" s="18">
        <v>5</v>
      </c>
      <c r="D82" s="7">
        <v>3</v>
      </c>
      <c r="E82" s="8"/>
      <c r="F82" s="9">
        <f>SUM(B82:E82)</f>
        <v>8</v>
      </c>
      <c r="G82" s="6"/>
      <c r="H82" s="18"/>
      <c r="I82" s="7"/>
      <c r="J82" s="8"/>
      <c r="K82" s="9">
        <f>SUM(G82:J82)</f>
        <v>0</v>
      </c>
      <c r="L82" s="100">
        <f t="shared" ref="L82" si="70">F82+K82</f>
        <v>8</v>
      </c>
      <c r="M82" s="56">
        <v>45752</v>
      </c>
      <c r="N82" s="12" t="s">
        <v>3</v>
      </c>
      <c r="O82" s="16"/>
      <c r="P82" s="29"/>
      <c r="Q82" s="17"/>
      <c r="R82" s="20"/>
      <c r="S82" s="45">
        <f>SUM(O82:R82)</f>
        <v>0</v>
      </c>
      <c r="T82" s="166">
        <v>40</v>
      </c>
      <c r="U82" s="167">
        <v>35</v>
      </c>
      <c r="V82" s="160">
        <v>36</v>
      </c>
      <c r="W82" s="179">
        <v>30</v>
      </c>
      <c r="X82" s="184">
        <f>SUM(T82:W82)</f>
        <v>141</v>
      </c>
      <c r="Y82" s="185">
        <f t="shared" si="69"/>
        <v>141</v>
      </c>
      <c r="Z82" s="226" t="s">
        <v>292</v>
      </c>
    </row>
    <row r="83" spans="1:28" x14ac:dyDescent="0.15">
      <c r="A83" s="12" t="s">
        <v>5</v>
      </c>
      <c r="B83" s="6">
        <v>3</v>
      </c>
      <c r="C83" s="18"/>
      <c r="D83" s="7">
        <v>1</v>
      </c>
      <c r="E83" s="8"/>
      <c r="F83" s="9">
        <f>SUM(B83:E83)</f>
        <v>4</v>
      </c>
      <c r="G83" s="6"/>
      <c r="H83" s="18">
        <v>5</v>
      </c>
      <c r="I83" s="7"/>
      <c r="J83" s="8">
        <v>1</v>
      </c>
      <c r="K83" s="9">
        <f>SUM(G83:J83)</f>
        <v>6</v>
      </c>
      <c r="L83" s="100">
        <f t="shared" si="66"/>
        <v>10</v>
      </c>
      <c r="M83" s="58">
        <v>45752</v>
      </c>
      <c r="N83" s="186" t="s">
        <v>270</v>
      </c>
      <c r="O83" s="166"/>
      <c r="P83" s="167"/>
      <c r="Q83" s="160"/>
      <c r="R83" s="179"/>
      <c r="S83" s="184">
        <f>SUM(O83:R83)</f>
        <v>0</v>
      </c>
      <c r="T83" s="166"/>
      <c r="U83" s="167">
        <v>30</v>
      </c>
      <c r="V83" s="160">
        <v>20</v>
      </c>
      <c r="W83" s="179">
        <v>10</v>
      </c>
      <c r="X83" s="184">
        <f>SUM(T83:W83)</f>
        <v>60</v>
      </c>
      <c r="Y83" s="185">
        <f t="shared" si="69"/>
        <v>60</v>
      </c>
      <c r="Z83" s="226" t="s">
        <v>306</v>
      </c>
    </row>
    <row r="84" spans="1:28" ht="14.25" thickBot="1" x14ac:dyDescent="0.2">
      <c r="A84" s="12" t="s">
        <v>6</v>
      </c>
      <c r="B84" s="6">
        <v>3</v>
      </c>
      <c r="C84" s="18">
        <v>-1</v>
      </c>
      <c r="D84" s="7">
        <v>-2</v>
      </c>
      <c r="E84" s="8"/>
      <c r="F84" s="10">
        <f>SUM(B84:E84)</f>
        <v>0</v>
      </c>
      <c r="G84" s="6"/>
      <c r="H84" s="18">
        <v>1</v>
      </c>
      <c r="I84" s="7">
        <v>-1</v>
      </c>
      <c r="J84" s="8">
        <v>-2</v>
      </c>
      <c r="K84" s="10">
        <f>SUM(G84:J84)</f>
        <v>-2</v>
      </c>
      <c r="L84" s="101">
        <f t="shared" si="66"/>
        <v>-2</v>
      </c>
      <c r="M84" s="56"/>
      <c r="N84" s="12" t="s">
        <v>5</v>
      </c>
      <c r="O84" s="16"/>
      <c r="P84" s="29"/>
      <c r="Q84" s="17"/>
      <c r="R84" s="20"/>
      <c r="S84" s="45">
        <f t="shared" ref="S84" si="71">SUM(O84:R84)</f>
        <v>0</v>
      </c>
      <c r="T84" s="16"/>
      <c r="U84" s="29"/>
      <c r="V84" s="17"/>
      <c r="W84" s="20"/>
      <c r="X84" s="45">
        <f t="shared" ref="X84" si="72">SUM(T84:W84)</f>
        <v>0</v>
      </c>
      <c r="Y84" s="100">
        <f t="shared" ref="Y84" si="73">S84+X84</f>
        <v>0</v>
      </c>
    </row>
    <row r="85" spans="1:28" ht="14.25" thickBot="1" x14ac:dyDescent="0.2">
      <c r="A85" s="14" t="s">
        <v>7</v>
      </c>
      <c r="B85" s="62">
        <f t="shared" ref="B85:K85" si="74">SUM(B80:B84)</f>
        <v>11</v>
      </c>
      <c r="C85" s="63">
        <f t="shared" si="74"/>
        <v>13</v>
      </c>
      <c r="D85" s="64">
        <f t="shared" si="74"/>
        <v>8</v>
      </c>
      <c r="E85" s="65">
        <f t="shared" si="74"/>
        <v>5</v>
      </c>
      <c r="F85" s="66">
        <f t="shared" si="74"/>
        <v>37</v>
      </c>
      <c r="G85" s="62">
        <f t="shared" si="74"/>
        <v>5</v>
      </c>
      <c r="H85" s="63">
        <f t="shared" si="74"/>
        <v>16</v>
      </c>
      <c r="I85" s="64">
        <f t="shared" si="74"/>
        <v>4</v>
      </c>
      <c r="J85" s="65">
        <f t="shared" si="74"/>
        <v>4</v>
      </c>
      <c r="K85" s="66">
        <f t="shared" si="74"/>
        <v>29</v>
      </c>
      <c r="L85" s="102">
        <f t="shared" si="66"/>
        <v>66</v>
      </c>
      <c r="N85" s="13" t="s">
        <v>7</v>
      </c>
      <c r="O85" s="25">
        <f t="shared" ref="O85:X85" si="75">SUM(O80:O84)</f>
        <v>56</v>
      </c>
      <c r="P85" s="31">
        <f t="shared" si="75"/>
        <v>91</v>
      </c>
      <c r="Q85" s="26">
        <f t="shared" si="75"/>
        <v>69</v>
      </c>
      <c r="R85" s="67">
        <f t="shared" si="75"/>
        <v>63</v>
      </c>
      <c r="S85" s="68">
        <f t="shared" si="75"/>
        <v>279</v>
      </c>
      <c r="T85" s="25">
        <f t="shared" si="75"/>
        <v>84</v>
      </c>
      <c r="U85" s="31">
        <f t="shared" si="75"/>
        <v>102</v>
      </c>
      <c r="V85" s="26">
        <f t="shared" si="75"/>
        <v>88</v>
      </c>
      <c r="W85" s="67">
        <f t="shared" si="75"/>
        <v>94</v>
      </c>
      <c r="X85" s="68">
        <f t="shared" si="75"/>
        <v>368</v>
      </c>
      <c r="Y85" s="102">
        <f t="shared" ref="Y85:Y112" si="76">S85+X85</f>
        <v>647</v>
      </c>
    </row>
    <row r="86" spans="1:28" x14ac:dyDescent="0.15">
      <c r="A86" s="47" t="s">
        <v>237</v>
      </c>
      <c r="B86" s="16"/>
      <c r="C86" s="29"/>
      <c r="D86" s="17"/>
      <c r="E86" s="20">
        <v>1</v>
      </c>
      <c r="F86" s="45">
        <f t="shared" ref="F86" si="77">SUM(B86:E86)</f>
        <v>1</v>
      </c>
      <c r="G86" s="16"/>
      <c r="H86" s="29"/>
      <c r="I86" s="17">
        <v>1</v>
      </c>
      <c r="J86" s="20"/>
      <c r="K86" s="45">
        <f t="shared" ref="K86" si="78">SUM(G86:J86)</f>
        <v>1</v>
      </c>
      <c r="L86" s="104">
        <f t="shared" si="66"/>
        <v>2</v>
      </c>
      <c r="M86" s="56">
        <v>45750</v>
      </c>
      <c r="N86" s="11" t="s">
        <v>190</v>
      </c>
      <c r="O86" s="16"/>
      <c r="P86" s="29"/>
      <c r="Q86" s="17"/>
      <c r="R86" s="32"/>
      <c r="S86" s="9">
        <f t="shared" ref="S86:S87" si="79">SUM(O86:R86)</f>
        <v>0</v>
      </c>
      <c r="T86" s="16"/>
      <c r="U86" s="29"/>
      <c r="V86" s="17"/>
      <c r="W86" s="32">
        <v>3</v>
      </c>
      <c r="X86" s="9">
        <f t="shared" ref="X86:X87" si="80">SUM(T86:W86)</f>
        <v>3</v>
      </c>
      <c r="Y86" s="104">
        <f t="shared" si="76"/>
        <v>3</v>
      </c>
      <c r="Z86" s="56">
        <v>45748</v>
      </c>
    </row>
    <row r="87" spans="1:28" x14ac:dyDescent="0.15">
      <c r="A87" s="47" t="s">
        <v>249</v>
      </c>
      <c r="B87" s="16"/>
      <c r="C87" s="29">
        <v>4</v>
      </c>
      <c r="D87" s="17"/>
      <c r="E87" s="20">
        <v>-8</v>
      </c>
      <c r="F87" s="45">
        <f t="shared" ref="F87:F111" si="81">SUM(B87:E87)</f>
        <v>-4</v>
      </c>
      <c r="G87" s="16"/>
      <c r="H87" s="29">
        <v>4</v>
      </c>
      <c r="I87" s="17"/>
      <c r="J87" s="20"/>
      <c r="K87" s="45">
        <f t="shared" ref="K87:K110" si="82">SUM(G87:J87)</f>
        <v>4</v>
      </c>
      <c r="L87" s="104">
        <f t="shared" si="66"/>
        <v>0</v>
      </c>
      <c r="M87" s="56">
        <v>45749</v>
      </c>
      <c r="N87" s="11" t="s">
        <v>226</v>
      </c>
      <c r="O87" s="16">
        <v>2</v>
      </c>
      <c r="P87" s="29">
        <v>3</v>
      </c>
      <c r="Q87" s="17">
        <v>3</v>
      </c>
      <c r="R87" s="32">
        <v>3</v>
      </c>
      <c r="S87" s="9">
        <f t="shared" si="79"/>
        <v>11</v>
      </c>
      <c r="T87" s="16"/>
      <c r="U87" s="29"/>
      <c r="V87" s="17"/>
      <c r="W87" s="32"/>
      <c r="X87" s="9">
        <f t="shared" si="80"/>
        <v>0</v>
      </c>
      <c r="Y87" s="104">
        <f t="shared" ref="Y87" si="83">S87+X87</f>
        <v>11</v>
      </c>
      <c r="Z87" s="56">
        <v>45751</v>
      </c>
    </row>
    <row r="88" spans="1:28" x14ac:dyDescent="0.15">
      <c r="A88" s="47" t="s">
        <v>45</v>
      </c>
      <c r="B88" s="16">
        <v>1</v>
      </c>
      <c r="C88" s="29">
        <v>1</v>
      </c>
      <c r="D88" s="17"/>
      <c r="E88" s="20">
        <v>1</v>
      </c>
      <c r="F88" s="45">
        <f t="shared" si="81"/>
        <v>3</v>
      </c>
      <c r="G88" s="16"/>
      <c r="H88" s="29">
        <v>1</v>
      </c>
      <c r="I88" s="17"/>
      <c r="J88" s="20">
        <v>1</v>
      </c>
      <c r="K88" s="45">
        <f t="shared" si="82"/>
        <v>2</v>
      </c>
      <c r="L88" s="104">
        <f t="shared" si="66"/>
        <v>5</v>
      </c>
      <c r="M88" s="56">
        <v>45749</v>
      </c>
      <c r="N88" s="47" t="s">
        <v>246</v>
      </c>
      <c r="O88" s="16"/>
      <c r="P88" s="29"/>
      <c r="Q88" s="17">
        <v>1</v>
      </c>
      <c r="R88" s="32"/>
      <c r="S88" s="9">
        <f t="shared" ref="S88:S89" si="84">SUM(O88:R88)</f>
        <v>1</v>
      </c>
      <c r="T88" s="16"/>
      <c r="U88" s="29">
        <v>4</v>
      </c>
      <c r="V88" s="17"/>
      <c r="W88" s="32">
        <v>2</v>
      </c>
      <c r="X88" s="9">
        <f t="shared" ref="X88:X89" si="85">SUM(T88:W88)</f>
        <v>6</v>
      </c>
      <c r="Y88" s="104">
        <f t="shared" si="76"/>
        <v>7</v>
      </c>
      <c r="Z88" s="56">
        <v>45749</v>
      </c>
      <c r="AA88" s="35"/>
    </row>
    <row r="89" spans="1:28" x14ac:dyDescent="0.15">
      <c r="A89" s="47" t="s">
        <v>251</v>
      </c>
      <c r="B89" s="16"/>
      <c r="C89" s="29"/>
      <c r="D89" s="17">
        <v>2</v>
      </c>
      <c r="E89" s="20">
        <v>5</v>
      </c>
      <c r="F89" s="45">
        <f t="shared" si="81"/>
        <v>7</v>
      </c>
      <c r="G89" s="16"/>
      <c r="H89" s="29">
        <v>1</v>
      </c>
      <c r="I89" s="17"/>
      <c r="J89" s="20"/>
      <c r="K89" s="45">
        <f t="shared" si="82"/>
        <v>1</v>
      </c>
      <c r="L89" s="104">
        <f t="shared" si="66"/>
        <v>8</v>
      </c>
      <c r="M89" s="56">
        <v>45751</v>
      </c>
      <c r="N89" s="47" t="s">
        <v>245</v>
      </c>
      <c r="O89" s="16"/>
      <c r="P89" s="29"/>
      <c r="Q89" s="17">
        <v>2</v>
      </c>
      <c r="R89" s="32"/>
      <c r="S89" s="9">
        <f t="shared" si="84"/>
        <v>2</v>
      </c>
      <c r="T89" s="16">
        <v>2</v>
      </c>
      <c r="U89" s="29">
        <v>1</v>
      </c>
      <c r="V89" s="17">
        <v>5</v>
      </c>
      <c r="W89" s="32"/>
      <c r="X89" s="9">
        <f t="shared" si="85"/>
        <v>8</v>
      </c>
      <c r="Y89" s="104">
        <f t="shared" si="76"/>
        <v>10</v>
      </c>
      <c r="Z89" s="56">
        <v>45751</v>
      </c>
      <c r="AA89" s="35"/>
    </row>
    <row r="90" spans="1:28" x14ac:dyDescent="0.15">
      <c r="A90" s="47" t="s">
        <v>252</v>
      </c>
      <c r="B90" s="16"/>
      <c r="C90" s="29">
        <v>3</v>
      </c>
      <c r="D90" s="17"/>
      <c r="E90" s="20"/>
      <c r="F90" s="45">
        <f t="shared" si="81"/>
        <v>3</v>
      </c>
      <c r="G90" s="16">
        <v>1</v>
      </c>
      <c r="H90" s="29"/>
      <c r="I90" s="17"/>
      <c r="J90" s="20"/>
      <c r="K90" s="45">
        <f t="shared" si="82"/>
        <v>1</v>
      </c>
      <c r="L90" s="104">
        <f t="shared" si="66"/>
        <v>4</v>
      </c>
      <c r="M90" s="56">
        <v>45754</v>
      </c>
      <c r="N90" s="33" t="s">
        <v>40</v>
      </c>
      <c r="O90" s="16"/>
      <c r="P90" s="29">
        <v>5</v>
      </c>
      <c r="Q90" s="17"/>
      <c r="R90" s="32"/>
      <c r="S90" s="9">
        <f>SUM(O90:R90)</f>
        <v>5</v>
      </c>
      <c r="T90" s="16"/>
      <c r="U90" s="29">
        <v>5</v>
      </c>
      <c r="V90" s="17"/>
      <c r="W90" s="32"/>
      <c r="X90" s="9">
        <f>SUM(T90:W90)</f>
        <v>5</v>
      </c>
      <c r="Y90" s="104">
        <f t="shared" si="76"/>
        <v>10</v>
      </c>
      <c r="Z90" s="56">
        <v>45750</v>
      </c>
    </row>
    <row r="91" spans="1:28" x14ac:dyDescent="0.15">
      <c r="A91" s="47" t="s">
        <v>45</v>
      </c>
      <c r="B91" s="16"/>
      <c r="C91" s="29"/>
      <c r="D91" s="17">
        <v>1</v>
      </c>
      <c r="E91" s="20"/>
      <c r="F91" s="45">
        <f t="shared" si="81"/>
        <v>1</v>
      </c>
      <c r="G91" s="16"/>
      <c r="H91" s="29"/>
      <c r="I91" s="17"/>
      <c r="J91" s="20"/>
      <c r="K91" s="45">
        <f t="shared" si="82"/>
        <v>0</v>
      </c>
      <c r="L91" s="104">
        <f t="shared" si="66"/>
        <v>1</v>
      </c>
      <c r="M91" s="56">
        <v>45751</v>
      </c>
      <c r="N91" s="33" t="s">
        <v>40</v>
      </c>
      <c r="O91" s="16"/>
      <c r="P91" s="29">
        <v>5</v>
      </c>
      <c r="Q91" s="17">
        <v>3</v>
      </c>
      <c r="R91" s="32"/>
      <c r="S91" s="9">
        <f>SUM(O91:R91)</f>
        <v>8</v>
      </c>
      <c r="T91" s="16"/>
      <c r="U91" s="29"/>
      <c r="V91" s="17"/>
      <c r="W91" s="32"/>
      <c r="X91" s="9">
        <f>SUM(T91:W91)</f>
        <v>0</v>
      </c>
      <c r="Y91" s="104">
        <f t="shared" si="76"/>
        <v>8</v>
      </c>
      <c r="Z91" s="56">
        <v>45752</v>
      </c>
      <c r="AA91" s="35"/>
      <c r="AB91" s="35"/>
    </row>
    <row r="92" spans="1:28" x14ac:dyDescent="0.15">
      <c r="A92" s="47" t="s">
        <v>45</v>
      </c>
      <c r="B92" s="16"/>
      <c r="C92" s="29"/>
      <c r="D92" s="17">
        <v>1</v>
      </c>
      <c r="E92" s="20"/>
      <c r="F92" s="45">
        <f t="shared" si="81"/>
        <v>1</v>
      </c>
      <c r="G92" s="16"/>
      <c r="H92" s="29"/>
      <c r="I92" s="17"/>
      <c r="J92" s="20"/>
      <c r="K92" s="45">
        <f t="shared" si="82"/>
        <v>0</v>
      </c>
      <c r="L92" s="104">
        <f t="shared" si="66"/>
        <v>1</v>
      </c>
      <c r="M92" s="56">
        <v>45752</v>
      </c>
      <c r="N92" s="11" t="s">
        <v>253</v>
      </c>
      <c r="O92" s="16">
        <v>4</v>
      </c>
      <c r="P92" s="29">
        <v>15</v>
      </c>
      <c r="Q92" s="17">
        <v>8</v>
      </c>
      <c r="R92" s="32">
        <v>6</v>
      </c>
      <c r="S92" s="9">
        <f>SUM(O92:R92)</f>
        <v>33</v>
      </c>
      <c r="T92" s="16">
        <v>6</v>
      </c>
      <c r="U92" s="29">
        <v>11</v>
      </c>
      <c r="V92" s="17">
        <v>7</v>
      </c>
      <c r="W92" s="32">
        <v>3</v>
      </c>
      <c r="X92" s="9">
        <f>SUM(T92:W92)</f>
        <v>27</v>
      </c>
      <c r="Y92" s="104">
        <f t="shared" si="76"/>
        <v>60</v>
      </c>
      <c r="Z92" s="56">
        <v>45755</v>
      </c>
      <c r="AA92" s="35"/>
      <c r="AB92" s="35"/>
    </row>
    <row r="93" spans="1:28" x14ac:dyDescent="0.15">
      <c r="A93" s="47" t="s">
        <v>257</v>
      </c>
      <c r="B93" s="16"/>
      <c r="C93" s="29"/>
      <c r="D93" s="17"/>
      <c r="E93" s="20"/>
      <c r="F93" s="45">
        <f t="shared" si="81"/>
        <v>0</v>
      </c>
      <c r="G93" s="16"/>
      <c r="H93" s="29">
        <v>1</v>
      </c>
      <c r="I93" s="17"/>
      <c r="J93" s="20"/>
      <c r="K93" s="45">
        <f t="shared" si="82"/>
        <v>1</v>
      </c>
      <c r="L93" s="104">
        <f t="shared" si="66"/>
        <v>1</v>
      </c>
      <c r="M93" s="56">
        <v>45756</v>
      </c>
      <c r="N93" s="33" t="s">
        <v>254</v>
      </c>
      <c r="O93" s="16"/>
      <c r="P93" s="29"/>
      <c r="Q93" s="17">
        <v>1</v>
      </c>
      <c r="R93" s="32"/>
      <c r="S93" s="9">
        <f t="shared" ref="S93:S99" si="86">SUM(O93:R93)</f>
        <v>1</v>
      </c>
      <c r="T93" s="16"/>
      <c r="U93" s="29"/>
      <c r="V93" s="17"/>
      <c r="W93" s="32">
        <v>1</v>
      </c>
      <c r="X93" s="9">
        <f t="shared" ref="X93:X99" si="87">SUM(T93:W93)</f>
        <v>1</v>
      </c>
      <c r="Y93" s="104">
        <f t="shared" si="76"/>
        <v>2</v>
      </c>
      <c r="Z93" s="56">
        <v>45752</v>
      </c>
      <c r="AA93" s="35"/>
      <c r="AB93" s="35"/>
    </row>
    <row r="94" spans="1:28" x14ac:dyDescent="0.15">
      <c r="A94" s="47" t="s">
        <v>45</v>
      </c>
      <c r="B94" s="16">
        <v>2</v>
      </c>
      <c r="C94" s="29">
        <f>1-1</f>
        <v>0</v>
      </c>
      <c r="D94" s="17"/>
      <c r="E94" s="20">
        <v>1</v>
      </c>
      <c r="F94" s="45">
        <f t="shared" si="81"/>
        <v>3</v>
      </c>
      <c r="G94" s="16"/>
      <c r="H94" s="29">
        <v>2</v>
      </c>
      <c r="I94" s="17"/>
      <c r="J94" s="20">
        <v>1</v>
      </c>
      <c r="K94" s="45">
        <f t="shared" si="82"/>
        <v>3</v>
      </c>
      <c r="L94" s="104">
        <f t="shared" si="66"/>
        <v>6</v>
      </c>
      <c r="M94" s="56">
        <v>45754</v>
      </c>
      <c r="N94" s="47" t="s">
        <v>259</v>
      </c>
      <c r="O94" s="16"/>
      <c r="P94" s="29"/>
      <c r="Q94" s="17">
        <v>2</v>
      </c>
      <c r="R94" s="32"/>
      <c r="S94" s="9">
        <f t="shared" si="86"/>
        <v>2</v>
      </c>
      <c r="T94" s="16"/>
      <c r="U94" s="29"/>
      <c r="V94" s="17"/>
      <c r="W94" s="32"/>
      <c r="X94" s="9">
        <f t="shared" si="87"/>
        <v>0</v>
      </c>
      <c r="Y94" s="104">
        <f t="shared" si="76"/>
        <v>2</v>
      </c>
      <c r="Z94" s="56">
        <v>45757</v>
      </c>
      <c r="AA94" s="35"/>
      <c r="AB94" s="35"/>
    </row>
    <row r="95" spans="1:28" x14ac:dyDescent="0.15">
      <c r="A95" s="33" t="s">
        <v>262</v>
      </c>
      <c r="B95" s="16">
        <v>-1</v>
      </c>
      <c r="C95" s="29"/>
      <c r="D95" s="17"/>
      <c r="E95" s="20"/>
      <c r="F95" s="45">
        <f t="shared" si="81"/>
        <v>-1</v>
      </c>
      <c r="G95" s="16"/>
      <c r="H95" s="29"/>
      <c r="I95" s="17"/>
      <c r="J95" s="20"/>
      <c r="K95" s="45">
        <f t="shared" si="82"/>
        <v>0</v>
      </c>
      <c r="L95" s="104">
        <f t="shared" si="66"/>
        <v>-1</v>
      </c>
      <c r="M95" s="56">
        <v>45757</v>
      </c>
      <c r="N95" s="33" t="s">
        <v>40</v>
      </c>
      <c r="O95" s="16">
        <v>3</v>
      </c>
      <c r="P95" s="29"/>
      <c r="Q95" s="17"/>
      <c r="R95" s="32"/>
      <c r="S95" s="9">
        <f>SUM(O95:R95)</f>
        <v>3</v>
      </c>
      <c r="T95" s="16"/>
      <c r="U95" s="29">
        <v>5</v>
      </c>
      <c r="V95" s="17"/>
      <c r="W95" s="32"/>
      <c r="X95" s="9">
        <f>SUM(T95:W95)</f>
        <v>5</v>
      </c>
      <c r="Y95" s="104">
        <f t="shared" si="76"/>
        <v>8</v>
      </c>
      <c r="Z95" s="56">
        <v>45756</v>
      </c>
      <c r="AA95" s="35"/>
    </row>
    <row r="96" spans="1:28" x14ac:dyDescent="0.15">
      <c r="A96" s="47" t="s">
        <v>45</v>
      </c>
      <c r="B96" s="16"/>
      <c r="C96" s="29"/>
      <c r="D96" s="17">
        <v>1</v>
      </c>
      <c r="E96" s="20"/>
      <c r="F96" s="45">
        <f t="shared" si="81"/>
        <v>1</v>
      </c>
      <c r="G96" s="16"/>
      <c r="H96" s="29">
        <v>1</v>
      </c>
      <c r="I96" s="17"/>
      <c r="J96" s="20"/>
      <c r="K96" s="45">
        <f t="shared" si="82"/>
        <v>1</v>
      </c>
      <c r="L96" s="104">
        <f t="shared" si="66"/>
        <v>2</v>
      </c>
      <c r="M96" s="56">
        <v>45757</v>
      </c>
      <c r="N96" s="47" t="s">
        <v>261</v>
      </c>
      <c r="O96" s="16"/>
      <c r="P96" s="29"/>
      <c r="Q96" s="17"/>
      <c r="R96" s="32">
        <v>1</v>
      </c>
      <c r="S96" s="9">
        <f t="shared" si="86"/>
        <v>1</v>
      </c>
      <c r="T96" s="16"/>
      <c r="U96" s="29">
        <v>2</v>
      </c>
      <c r="V96" s="17"/>
      <c r="W96" s="32"/>
      <c r="X96" s="9">
        <f t="shared" si="87"/>
        <v>2</v>
      </c>
      <c r="Y96" s="104">
        <f t="shared" si="76"/>
        <v>3</v>
      </c>
      <c r="Z96" s="56">
        <v>45758</v>
      </c>
    </row>
    <row r="97" spans="1:27" x14ac:dyDescent="0.15">
      <c r="A97" s="47" t="s">
        <v>263</v>
      </c>
      <c r="B97" s="16"/>
      <c r="C97" s="29"/>
      <c r="D97" s="17"/>
      <c r="E97" s="20"/>
      <c r="F97" s="45">
        <f t="shared" si="81"/>
        <v>0</v>
      </c>
      <c r="G97" s="16">
        <v>1</v>
      </c>
      <c r="H97" s="29"/>
      <c r="I97" s="17"/>
      <c r="J97" s="20"/>
      <c r="K97" s="45">
        <f t="shared" si="82"/>
        <v>1</v>
      </c>
      <c r="L97" s="104">
        <f t="shared" si="66"/>
        <v>1</v>
      </c>
      <c r="M97" s="56">
        <v>45761</v>
      </c>
      <c r="N97" s="33" t="s">
        <v>40</v>
      </c>
      <c r="O97" s="16"/>
      <c r="P97" s="29"/>
      <c r="Q97" s="17"/>
      <c r="R97" s="32"/>
      <c r="S97" s="9">
        <f t="shared" si="86"/>
        <v>0</v>
      </c>
      <c r="T97" s="16">
        <v>3</v>
      </c>
      <c r="U97" s="29"/>
      <c r="V97" s="17">
        <v>3</v>
      </c>
      <c r="W97" s="32"/>
      <c r="X97" s="9">
        <f t="shared" si="87"/>
        <v>6</v>
      </c>
      <c r="Y97" s="104">
        <f t="shared" si="76"/>
        <v>6</v>
      </c>
      <c r="Z97" s="56">
        <v>45759</v>
      </c>
    </row>
    <row r="98" spans="1:27" x14ac:dyDescent="0.15">
      <c r="A98" s="47" t="s">
        <v>45</v>
      </c>
      <c r="B98" s="16"/>
      <c r="C98" s="29"/>
      <c r="D98" s="17"/>
      <c r="E98" s="20"/>
      <c r="F98" s="45">
        <f t="shared" si="81"/>
        <v>0</v>
      </c>
      <c r="G98" s="16"/>
      <c r="H98" s="29">
        <v>1</v>
      </c>
      <c r="I98" s="17">
        <v>1</v>
      </c>
      <c r="J98" s="20"/>
      <c r="K98" s="45">
        <f t="shared" si="82"/>
        <v>2</v>
      </c>
      <c r="L98" s="104">
        <f t="shared" si="66"/>
        <v>2</v>
      </c>
      <c r="M98" s="56">
        <v>45758</v>
      </c>
      <c r="N98" s="33" t="s">
        <v>40</v>
      </c>
      <c r="O98" s="16"/>
      <c r="P98" s="29"/>
      <c r="Q98" s="17"/>
      <c r="R98" s="32"/>
      <c r="S98" s="9">
        <f t="shared" si="86"/>
        <v>0</v>
      </c>
      <c r="T98" s="16"/>
      <c r="U98" s="29">
        <v>3</v>
      </c>
      <c r="V98" s="17"/>
      <c r="W98" s="32">
        <v>3</v>
      </c>
      <c r="X98" s="9">
        <f t="shared" si="87"/>
        <v>6</v>
      </c>
      <c r="Y98" s="104">
        <f t="shared" si="76"/>
        <v>6</v>
      </c>
      <c r="Z98" s="56">
        <v>45763</v>
      </c>
    </row>
    <row r="99" spans="1:27" x14ac:dyDescent="0.15">
      <c r="A99" s="47" t="s">
        <v>264</v>
      </c>
      <c r="B99" s="16"/>
      <c r="C99" s="29"/>
      <c r="D99" s="17"/>
      <c r="E99" s="20"/>
      <c r="F99" s="45">
        <f t="shared" si="81"/>
        <v>0</v>
      </c>
      <c r="G99" s="16">
        <v>-3</v>
      </c>
      <c r="H99" s="29"/>
      <c r="I99" s="17">
        <v>-3</v>
      </c>
      <c r="J99" s="20"/>
      <c r="K99" s="45">
        <f t="shared" si="82"/>
        <v>-6</v>
      </c>
      <c r="L99" s="104">
        <f t="shared" si="66"/>
        <v>-6</v>
      </c>
      <c r="M99" s="56">
        <v>45759</v>
      </c>
      <c r="N99" s="11" t="s">
        <v>40</v>
      </c>
      <c r="O99" s="16">
        <v>3</v>
      </c>
      <c r="P99" s="29">
        <v>3</v>
      </c>
      <c r="Q99" s="17"/>
      <c r="R99" s="32">
        <v>3</v>
      </c>
      <c r="S99" s="9">
        <f t="shared" si="86"/>
        <v>9</v>
      </c>
      <c r="T99" s="16"/>
      <c r="U99" s="29"/>
      <c r="V99" s="17"/>
      <c r="W99" s="32"/>
      <c r="X99" s="9">
        <f t="shared" si="87"/>
        <v>0</v>
      </c>
      <c r="Y99" s="104">
        <f t="shared" si="76"/>
        <v>9</v>
      </c>
      <c r="Z99" s="56">
        <v>45764</v>
      </c>
    </row>
    <row r="100" spans="1:27" x14ac:dyDescent="0.15">
      <c r="A100" s="47" t="s">
        <v>45</v>
      </c>
      <c r="B100" s="16"/>
      <c r="C100" s="29"/>
      <c r="D100" s="17"/>
      <c r="E100" s="20"/>
      <c r="F100" s="45">
        <f t="shared" si="81"/>
        <v>0</v>
      </c>
      <c r="G100" s="16"/>
      <c r="H100" s="29">
        <v>2</v>
      </c>
      <c r="I100" s="17"/>
      <c r="J100" s="20">
        <v>1</v>
      </c>
      <c r="K100" s="45">
        <f t="shared" si="82"/>
        <v>3</v>
      </c>
      <c r="L100" s="104">
        <f t="shared" si="66"/>
        <v>3</v>
      </c>
      <c r="M100" s="56">
        <v>45761</v>
      </c>
      <c r="N100" s="33"/>
      <c r="O100" s="16"/>
      <c r="P100" s="29"/>
      <c r="Q100" s="17"/>
      <c r="R100" s="32"/>
      <c r="S100" s="9">
        <f t="shared" ref="S100:S101" si="88">SUM(O100:R100)</f>
        <v>0</v>
      </c>
      <c r="T100" s="16"/>
      <c r="U100" s="29"/>
      <c r="V100" s="17"/>
      <c r="W100" s="32"/>
      <c r="X100" s="9">
        <f t="shared" ref="X100:X101" si="89">SUM(T100:W100)</f>
        <v>0</v>
      </c>
      <c r="Y100" s="104">
        <f t="shared" si="76"/>
        <v>0</v>
      </c>
      <c r="Z100" s="56"/>
    </row>
    <row r="101" spans="1:27" x14ac:dyDescent="0.15">
      <c r="A101" s="47" t="s">
        <v>276</v>
      </c>
      <c r="B101" s="16">
        <v>1</v>
      </c>
      <c r="C101" s="29"/>
      <c r="D101" s="17"/>
      <c r="E101" s="20"/>
      <c r="F101" s="45">
        <f t="shared" si="81"/>
        <v>1</v>
      </c>
      <c r="G101" s="16"/>
      <c r="H101" s="29"/>
      <c r="I101" s="17"/>
      <c r="J101" s="20"/>
      <c r="K101" s="45">
        <f t="shared" si="82"/>
        <v>0</v>
      </c>
      <c r="L101" s="104">
        <f t="shared" si="66"/>
        <v>1</v>
      </c>
      <c r="M101" s="56">
        <v>45763</v>
      </c>
      <c r="N101" s="72"/>
      <c r="O101" s="16"/>
      <c r="P101" s="29"/>
      <c r="Q101" s="17"/>
      <c r="R101" s="32"/>
      <c r="S101" s="9">
        <f t="shared" si="88"/>
        <v>0</v>
      </c>
      <c r="T101" s="16"/>
      <c r="U101" s="29"/>
      <c r="V101" s="17"/>
      <c r="W101" s="32"/>
      <c r="X101" s="9">
        <f t="shared" si="89"/>
        <v>0</v>
      </c>
      <c r="Y101" s="104">
        <f t="shared" si="76"/>
        <v>0</v>
      </c>
      <c r="Z101" s="56"/>
    </row>
    <row r="102" spans="1:27" x14ac:dyDescent="0.15">
      <c r="A102" s="47" t="s">
        <v>281</v>
      </c>
      <c r="B102" s="16"/>
      <c r="C102" s="29"/>
      <c r="D102" s="17"/>
      <c r="E102" s="20">
        <v>1</v>
      </c>
      <c r="F102" s="45">
        <f t="shared" si="81"/>
        <v>1</v>
      </c>
      <c r="G102" s="16"/>
      <c r="H102" s="29"/>
      <c r="I102" s="17"/>
      <c r="J102" s="20"/>
      <c r="K102" s="45">
        <f t="shared" si="82"/>
        <v>0</v>
      </c>
      <c r="L102" s="104">
        <f t="shared" si="66"/>
        <v>1</v>
      </c>
      <c r="M102" s="56">
        <v>45764</v>
      </c>
      <c r="N102" s="72"/>
      <c r="O102" s="16"/>
      <c r="P102" s="29"/>
      <c r="Q102" s="17"/>
      <c r="R102" s="32"/>
      <c r="S102" s="9">
        <f t="shared" ref="S102:S103" si="90">SUM(O102:R102)</f>
        <v>0</v>
      </c>
      <c r="T102" s="16"/>
      <c r="U102" s="29"/>
      <c r="V102" s="17"/>
      <c r="W102" s="32"/>
      <c r="X102" s="9">
        <f t="shared" ref="X102:X103" si="91">SUM(T102:W102)</f>
        <v>0</v>
      </c>
      <c r="Y102" s="104">
        <f t="shared" ref="Y102:Y103" si="92">S102+X102</f>
        <v>0</v>
      </c>
      <c r="Z102" s="56"/>
    </row>
    <row r="103" spans="1:27" x14ac:dyDescent="0.15">
      <c r="A103" s="47" t="s">
        <v>285</v>
      </c>
      <c r="B103" s="16"/>
      <c r="C103" s="29"/>
      <c r="D103" s="17"/>
      <c r="E103" s="20"/>
      <c r="F103" s="45">
        <f t="shared" si="81"/>
        <v>0</v>
      </c>
      <c r="G103" s="16"/>
      <c r="H103" s="29">
        <v>-3</v>
      </c>
      <c r="I103" s="17"/>
      <c r="J103" s="20">
        <v>-3</v>
      </c>
      <c r="K103" s="45">
        <f t="shared" si="82"/>
        <v>-6</v>
      </c>
      <c r="L103" s="104">
        <f t="shared" si="66"/>
        <v>-6</v>
      </c>
      <c r="M103" s="56">
        <v>45763</v>
      </c>
      <c r="N103" s="72"/>
      <c r="O103" s="16"/>
      <c r="P103" s="29"/>
      <c r="Q103" s="17"/>
      <c r="R103" s="32"/>
      <c r="S103" s="9">
        <f t="shared" si="90"/>
        <v>0</v>
      </c>
      <c r="T103" s="16"/>
      <c r="U103" s="29"/>
      <c r="V103" s="17"/>
      <c r="W103" s="32"/>
      <c r="X103" s="9">
        <f t="shared" si="91"/>
        <v>0</v>
      </c>
      <c r="Y103" s="104">
        <f t="shared" si="92"/>
        <v>0</v>
      </c>
      <c r="Z103" s="56"/>
    </row>
    <row r="104" spans="1:27" x14ac:dyDescent="0.15">
      <c r="A104" s="11" t="s">
        <v>286</v>
      </c>
      <c r="B104" s="16">
        <v>2</v>
      </c>
      <c r="C104" s="29">
        <v>1</v>
      </c>
      <c r="D104" s="17">
        <v>1</v>
      </c>
      <c r="E104" s="20">
        <v>1</v>
      </c>
      <c r="F104" s="45">
        <f t="shared" si="81"/>
        <v>5</v>
      </c>
      <c r="G104" s="16"/>
      <c r="H104" s="29"/>
      <c r="I104" s="17"/>
      <c r="J104" s="20"/>
      <c r="K104" s="45">
        <f t="shared" si="82"/>
        <v>0</v>
      </c>
      <c r="L104" s="104">
        <f t="shared" si="66"/>
        <v>5</v>
      </c>
      <c r="M104" s="56">
        <v>45765</v>
      </c>
      <c r="N104" s="72"/>
      <c r="O104" s="16"/>
      <c r="P104" s="29"/>
      <c r="Q104" s="17"/>
      <c r="R104" s="32"/>
      <c r="S104" s="9">
        <f t="shared" ref="S104:S107" si="93">SUM(O104:R104)</f>
        <v>0</v>
      </c>
      <c r="T104" s="16"/>
      <c r="U104" s="29"/>
      <c r="V104" s="17"/>
      <c r="W104" s="32"/>
      <c r="X104" s="9">
        <f t="shared" ref="X104:X107" si="94">SUM(T104:W104)</f>
        <v>0</v>
      </c>
      <c r="Y104" s="104">
        <f t="shared" ref="Y104:Y107" si="95">S104+X104</f>
        <v>0</v>
      </c>
      <c r="Z104" s="56"/>
    </row>
    <row r="105" spans="1:27" x14ac:dyDescent="0.15">
      <c r="A105" s="47" t="s">
        <v>288</v>
      </c>
      <c r="B105" s="16"/>
      <c r="C105" s="29">
        <v>2</v>
      </c>
      <c r="D105" s="17"/>
      <c r="E105" s="20">
        <v>1</v>
      </c>
      <c r="F105" s="45">
        <f t="shared" si="81"/>
        <v>3</v>
      </c>
      <c r="G105" s="16"/>
      <c r="H105" s="29"/>
      <c r="I105" s="17"/>
      <c r="J105" s="20"/>
      <c r="K105" s="45">
        <f t="shared" si="82"/>
        <v>0</v>
      </c>
      <c r="L105" s="104">
        <f t="shared" si="66"/>
        <v>3</v>
      </c>
      <c r="M105" s="56">
        <v>45765</v>
      </c>
      <c r="N105" s="72"/>
      <c r="O105" s="16"/>
      <c r="P105" s="29"/>
      <c r="Q105" s="17"/>
      <c r="R105" s="32"/>
      <c r="S105" s="9">
        <f t="shared" si="93"/>
        <v>0</v>
      </c>
      <c r="T105" s="16"/>
      <c r="U105" s="29"/>
      <c r="V105" s="17"/>
      <c r="W105" s="32"/>
      <c r="X105" s="9">
        <f t="shared" si="94"/>
        <v>0</v>
      </c>
      <c r="Y105" s="104">
        <f t="shared" si="95"/>
        <v>0</v>
      </c>
      <c r="Z105" s="56"/>
    </row>
    <row r="106" spans="1:27" x14ac:dyDescent="0.15">
      <c r="A106" s="47" t="s">
        <v>289</v>
      </c>
      <c r="B106" s="16">
        <v>-3</v>
      </c>
      <c r="C106" s="29">
        <v>-3</v>
      </c>
      <c r="D106" s="17"/>
      <c r="E106" s="20">
        <v>-3</v>
      </c>
      <c r="F106" s="45">
        <f t="shared" si="81"/>
        <v>-9</v>
      </c>
      <c r="G106" s="16"/>
      <c r="H106" s="29"/>
      <c r="I106" s="17"/>
      <c r="J106" s="20"/>
      <c r="K106" s="45">
        <f t="shared" si="82"/>
        <v>0</v>
      </c>
      <c r="L106" s="104">
        <f t="shared" si="66"/>
        <v>-9</v>
      </c>
      <c r="M106" s="56">
        <v>45764</v>
      </c>
      <c r="N106" s="72"/>
      <c r="O106" s="16"/>
      <c r="P106" s="29"/>
      <c r="Q106" s="17"/>
      <c r="R106" s="32"/>
      <c r="S106" s="9">
        <f t="shared" si="93"/>
        <v>0</v>
      </c>
      <c r="T106" s="16"/>
      <c r="U106" s="29"/>
      <c r="V106" s="17"/>
      <c r="W106" s="32"/>
      <c r="X106" s="9">
        <f t="shared" si="94"/>
        <v>0</v>
      </c>
      <c r="Y106" s="104">
        <f t="shared" si="95"/>
        <v>0</v>
      </c>
      <c r="Z106" s="56"/>
    </row>
    <row r="107" spans="1:27" x14ac:dyDescent="0.15">
      <c r="A107" s="47" t="s">
        <v>291</v>
      </c>
      <c r="B107" s="16"/>
      <c r="C107" s="29"/>
      <c r="D107" s="17"/>
      <c r="E107" s="20"/>
      <c r="F107" s="45">
        <f t="shared" si="81"/>
        <v>0</v>
      </c>
      <c r="G107" s="16"/>
      <c r="H107" s="29"/>
      <c r="I107" s="17"/>
      <c r="J107" s="20">
        <v>1</v>
      </c>
      <c r="K107" s="45">
        <f t="shared" si="82"/>
        <v>1</v>
      </c>
      <c r="L107" s="104">
        <f t="shared" si="66"/>
        <v>1</v>
      </c>
      <c r="M107" s="56">
        <v>45765</v>
      </c>
      <c r="N107" s="72" t="s">
        <v>174</v>
      </c>
      <c r="O107" s="166"/>
      <c r="P107" s="167"/>
      <c r="Q107" s="160"/>
      <c r="R107" s="168"/>
      <c r="S107" s="165">
        <f t="shared" si="93"/>
        <v>0</v>
      </c>
      <c r="T107" s="166"/>
      <c r="U107" s="167"/>
      <c r="V107" s="160"/>
      <c r="W107" s="168"/>
      <c r="X107" s="165">
        <f t="shared" si="94"/>
        <v>0</v>
      </c>
      <c r="Y107" s="169">
        <f t="shared" si="95"/>
        <v>0</v>
      </c>
      <c r="Z107" s="224" t="s">
        <v>175</v>
      </c>
      <c r="AA107" s="35"/>
    </row>
    <row r="108" spans="1:27" x14ac:dyDescent="0.15">
      <c r="A108" s="47" t="s">
        <v>294</v>
      </c>
      <c r="B108" s="16">
        <v>-2</v>
      </c>
      <c r="C108" s="29">
        <v>-4</v>
      </c>
      <c r="D108" s="17">
        <v>-1</v>
      </c>
      <c r="E108" s="20">
        <v>-1</v>
      </c>
      <c r="F108" s="45">
        <f t="shared" si="81"/>
        <v>-8</v>
      </c>
      <c r="G108" s="16"/>
      <c r="H108" s="29">
        <v>-1</v>
      </c>
      <c r="I108" s="17">
        <v>-1</v>
      </c>
      <c r="J108" s="20">
        <v>-3</v>
      </c>
      <c r="K108" s="45">
        <f t="shared" si="82"/>
        <v>-5</v>
      </c>
      <c r="L108" s="104">
        <f t="shared" si="66"/>
        <v>-13</v>
      </c>
      <c r="M108" s="56">
        <v>45765</v>
      </c>
      <c r="N108" s="11" t="s">
        <v>117</v>
      </c>
      <c r="O108" s="16"/>
      <c r="P108" s="17"/>
      <c r="Q108" s="29"/>
      <c r="R108" s="60"/>
      <c r="S108" s="9">
        <f t="shared" ref="S108" si="96">SUM(O108:R108)</f>
        <v>0</v>
      </c>
      <c r="T108" s="16"/>
      <c r="U108" s="17"/>
      <c r="V108" s="29"/>
      <c r="W108" s="60"/>
      <c r="X108" s="9">
        <f t="shared" ref="X108" si="97">SUM(T108:W108)</f>
        <v>0</v>
      </c>
      <c r="Y108" s="104">
        <f t="shared" si="76"/>
        <v>0</v>
      </c>
      <c r="Z108" s="157" t="s">
        <v>116</v>
      </c>
      <c r="AA108" s="35"/>
    </row>
    <row r="109" spans="1:27" x14ac:dyDescent="0.15">
      <c r="A109" s="47" t="s">
        <v>45</v>
      </c>
      <c r="B109" s="16"/>
      <c r="C109" s="29"/>
      <c r="D109" s="17"/>
      <c r="E109" s="20"/>
      <c r="F109" s="45">
        <f t="shared" si="81"/>
        <v>0</v>
      </c>
      <c r="G109" s="16"/>
      <c r="H109" s="29">
        <v>1</v>
      </c>
      <c r="I109" s="17"/>
      <c r="J109" s="20"/>
      <c r="K109" s="45">
        <f t="shared" si="82"/>
        <v>1</v>
      </c>
      <c r="L109" s="104">
        <f t="shared" si="66"/>
        <v>1</v>
      </c>
      <c r="M109" s="58">
        <v>45765</v>
      </c>
      <c r="N109" s="137" t="s">
        <v>100</v>
      </c>
      <c r="O109" s="171"/>
      <c r="P109" s="172"/>
      <c r="Q109" s="173"/>
      <c r="R109" s="174"/>
      <c r="S109" s="175">
        <f t="shared" ref="S109:S110" si="98">SUM(O109:R109)</f>
        <v>0</v>
      </c>
      <c r="T109" s="171"/>
      <c r="U109" s="172"/>
      <c r="V109" s="173"/>
      <c r="W109" s="174"/>
      <c r="X109" s="175">
        <f t="shared" ref="X109:X110" si="99">SUM(T109:W109)</f>
        <v>0</v>
      </c>
      <c r="Y109" s="169">
        <f t="shared" ref="Y109:Y110" si="100">S109+X109</f>
        <v>0</v>
      </c>
      <c r="Z109" s="157"/>
    </row>
    <row r="110" spans="1:27" ht="14.25" thickBot="1" x14ac:dyDescent="0.2">
      <c r="A110" s="47" t="s">
        <v>301</v>
      </c>
      <c r="B110" s="37"/>
      <c r="C110" s="38"/>
      <c r="D110" s="39"/>
      <c r="E110" s="40"/>
      <c r="F110" s="45">
        <f t="shared" si="81"/>
        <v>0</v>
      </c>
      <c r="G110" s="37">
        <v>-1</v>
      </c>
      <c r="H110" s="38">
        <v>-2</v>
      </c>
      <c r="I110" s="39"/>
      <c r="J110" s="40"/>
      <c r="K110" s="45">
        <f t="shared" si="82"/>
        <v>-3</v>
      </c>
      <c r="L110" s="104">
        <f t="shared" si="66"/>
        <v>-3</v>
      </c>
      <c r="M110" s="58">
        <v>45768</v>
      </c>
      <c r="N110" s="128" t="s">
        <v>98</v>
      </c>
      <c r="O110" s="37"/>
      <c r="P110" s="38"/>
      <c r="Q110" s="39"/>
      <c r="R110" s="129"/>
      <c r="S110" s="10">
        <f t="shared" si="98"/>
        <v>0</v>
      </c>
      <c r="T110" s="37"/>
      <c r="U110" s="38"/>
      <c r="V110" s="39"/>
      <c r="W110" s="129"/>
      <c r="X110" s="10">
        <f t="shared" si="99"/>
        <v>0</v>
      </c>
      <c r="Y110" s="101">
        <f t="shared" si="100"/>
        <v>0</v>
      </c>
      <c r="Z110" s="157" t="s">
        <v>99</v>
      </c>
    </row>
    <row r="111" spans="1:27" ht="14.25" thickBot="1" x14ac:dyDescent="0.2">
      <c r="A111" s="13" t="s">
        <v>8</v>
      </c>
      <c r="B111" s="22">
        <f>SUM(B86:B110)</f>
        <v>0</v>
      </c>
      <c r="C111" s="30">
        <f>SUM(C86:C110)</f>
        <v>4</v>
      </c>
      <c r="D111" s="23">
        <f>SUM(D86:D110)</f>
        <v>5</v>
      </c>
      <c r="E111" s="24">
        <f>SUM(E86:E110)</f>
        <v>-1</v>
      </c>
      <c r="F111" s="21">
        <f t="shared" si="81"/>
        <v>8</v>
      </c>
      <c r="G111" s="22">
        <f>SUM(G86:G110)</f>
        <v>-2</v>
      </c>
      <c r="H111" s="30">
        <f>SUM(H86:H110)</f>
        <v>8</v>
      </c>
      <c r="I111" s="23">
        <f>SUM(I86:I110)</f>
        <v>-2</v>
      </c>
      <c r="J111" s="24">
        <f>SUM(J86:J110)</f>
        <v>-2</v>
      </c>
      <c r="K111" s="21">
        <f>SUM(G111:J111)</f>
        <v>2</v>
      </c>
      <c r="L111" s="105">
        <f t="shared" si="66"/>
        <v>10</v>
      </c>
      <c r="N111" s="49" t="s">
        <v>8</v>
      </c>
      <c r="O111" s="22">
        <f>SUM(O86:O110)</f>
        <v>12</v>
      </c>
      <c r="P111" s="30">
        <f>SUM(P86:P110)</f>
        <v>31</v>
      </c>
      <c r="Q111" s="23">
        <f>SUM(Q86:Q110)</f>
        <v>20</v>
      </c>
      <c r="R111" s="24">
        <f>SUM(R86:R110)</f>
        <v>13</v>
      </c>
      <c r="S111" s="48">
        <f t="shared" ref="S111" si="101">SUM(O111:R111)</f>
        <v>76</v>
      </c>
      <c r="T111" s="22">
        <f>SUM(T86:T110)</f>
        <v>11</v>
      </c>
      <c r="U111" s="30">
        <f>SUM(U86:U110)</f>
        <v>31</v>
      </c>
      <c r="V111" s="23">
        <f>SUM(V86:V110)</f>
        <v>15</v>
      </c>
      <c r="W111" s="24">
        <f>SUM(W86:W110)</f>
        <v>12</v>
      </c>
      <c r="X111" s="48">
        <f t="shared" ref="X111" si="102">SUM(T111:W111)</f>
        <v>69</v>
      </c>
      <c r="Y111" s="122">
        <f t="shared" si="76"/>
        <v>145</v>
      </c>
    </row>
    <row r="112" spans="1:27" ht="14.25" thickBot="1" x14ac:dyDescent="0.2">
      <c r="A112" s="14" t="s">
        <v>9</v>
      </c>
      <c r="B112" s="25">
        <f t="shared" ref="B112:K112" si="103">B85-B111</f>
        <v>11</v>
      </c>
      <c r="C112" s="31">
        <f t="shared" si="103"/>
        <v>9</v>
      </c>
      <c r="D112" s="26">
        <f t="shared" si="103"/>
        <v>3</v>
      </c>
      <c r="E112" s="27">
        <f t="shared" si="103"/>
        <v>6</v>
      </c>
      <c r="F112" s="83">
        <f t="shared" si="103"/>
        <v>29</v>
      </c>
      <c r="G112" s="25">
        <f t="shared" si="103"/>
        <v>7</v>
      </c>
      <c r="H112" s="31">
        <f t="shared" si="103"/>
        <v>8</v>
      </c>
      <c r="I112" s="26">
        <f t="shared" si="103"/>
        <v>6</v>
      </c>
      <c r="J112" s="27">
        <f t="shared" si="103"/>
        <v>6</v>
      </c>
      <c r="K112" s="83">
        <f t="shared" si="103"/>
        <v>27</v>
      </c>
      <c r="L112" s="102">
        <f t="shared" si="66"/>
        <v>56</v>
      </c>
      <c r="N112" s="13" t="s">
        <v>9</v>
      </c>
      <c r="O112" s="25">
        <f t="shared" ref="O112:X112" si="104">O85-O111</f>
        <v>44</v>
      </c>
      <c r="P112" s="31">
        <f t="shared" si="104"/>
        <v>60</v>
      </c>
      <c r="Q112" s="26">
        <f t="shared" si="104"/>
        <v>49</v>
      </c>
      <c r="R112" s="27">
        <f t="shared" si="104"/>
        <v>50</v>
      </c>
      <c r="S112" s="36">
        <f t="shared" si="104"/>
        <v>203</v>
      </c>
      <c r="T112" s="25">
        <f t="shared" si="104"/>
        <v>73</v>
      </c>
      <c r="U112" s="31">
        <f t="shared" si="104"/>
        <v>71</v>
      </c>
      <c r="V112" s="26">
        <f t="shared" si="104"/>
        <v>73</v>
      </c>
      <c r="W112" s="27">
        <f t="shared" si="104"/>
        <v>82</v>
      </c>
      <c r="X112" s="36">
        <f t="shared" si="104"/>
        <v>299</v>
      </c>
      <c r="Y112" s="102">
        <f t="shared" si="76"/>
        <v>502</v>
      </c>
    </row>
    <row r="113" spans="1:27" x14ac:dyDescent="0.15">
      <c r="O113" s="50">
        <f>O111+O73+O35</f>
        <v>103</v>
      </c>
      <c r="P113" s="50">
        <f t="shared" ref="P113:X113" si="105">P111+P73+P35</f>
        <v>126</v>
      </c>
      <c r="Q113" s="50">
        <f t="shared" si="105"/>
        <v>91</v>
      </c>
      <c r="R113" s="50">
        <f t="shared" si="105"/>
        <v>96</v>
      </c>
      <c r="S113" s="50">
        <f t="shared" si="105"/>
        <v>416</v>
      </c>
      <c r="T113" s="188">
        <f t="shared" si="105"/>
        <v>108</v>
      </c>
      <c r="U113" s="188">
        <f t="shared" si="105"/>
        <v>176</v>
      </c>
      <c r="V113" s="188">
        <f t="shared" si="105"/>
        <v>150</v>
      </c>
      <c r="W113" s="188">
        <f t="shared" si="105"/>
        <v>125</v>
      </c>
      <c r="X113" s="188">
        <f t="shared" si="105"/>
        <v>559</v>
      </c>
    </row>
    <row r="114" spans="1:27" x14ac:dyDescent="0.15">
      <c r="O114" s="149">
        <f>O113/$S$113*100</f>
        <v>24.759615384615387</v>
      </c>
      <c r="P114" s="149">
        <f t="shared" ref="P114:S114" si="106">P113/$S$113*100</f>
        <v>30.288461538461537</v>
      </c>
      <c r="Q114" s="149">
        <f t="shared" si="106"/>
        <v>21.875</v>
      </c>
      <c r="R114" s="149">
        <f t="shared" si="106"/>
        <v>23.076923076923077</v>
      </c>
      <c r="S114" s="149">
        <f t="shared" si="106"/>
        <v>100</v>
      </c>
      <c r="T114" s="187">
        <f>T113/$X$113*100</f>
        <v>19.320214669051879</v>
      </c>
      <c r="U114" s="187">
        <f t="shared" ref="U114:X114" si="107">U113/$X$113*100</f>
        <v>31.48479427549195</v>
      </c>
      <c r="V114" s="187">
        <f t="shared" si="107"/>
        <v>26.833631484794275</v>
      </c>
      <c r="W114" s="187">
        <f t="shared" si="107"/>
        <v>22.361359570661897</v>
      </c>
      <c r="X114" s="187">
        <f t="shared" si="107"/>
        <v>100</v>
      </c>
    </row>
    <row r="115" spans="1:27" ht="19.5" thickBot="1" x14ac:dyDescent="0.25">
      <c r="A115" s="2" t="s">
        <v>16</v>
      </c>
      <c r="B115" s="2"/>
      <c r="C115" s="1"/>
      <c r="D115" s="1"/>
      <c r="E115" s="1"/>
      <c r="F115" s="84"/>
      <c r="G115" s="2"/>
      <c r="H115" s="1" t="s">
        <v>156</v>
      </c>
      <c r="I115" s="1"/>
      <c r="J115" s="1"/>
      <c r="K115" s="84" t="s">
        <v>13</v>
      </c>
      <c r="L115" s="84"/>
      <c r="N115" s="2" t="s">
        <v>17</v>
      </c>
      <c r="O115" s="71"/>
      <c r="P115" s="71"/>
      <c r="Q115" s="71"/>
      <c r="R115" s="71"/>
      <c r="T115" s="71"/>
      <c r="U115" s="1" t="s">
        <v>156</v>
      </c>
      <c r="V115" s="71"/>
      <c r="W115" s="71"/>
      <c r="X115" s="84" t="s">
        <v>13</v>
      </c>
      <c r="Y115" s="84"/>
    </row>
    <row r="116" spans="1:27" ht="14.25" thickBot="1" x14ac:dyDescent="0.2">
      <c r="A116" s="5" t="s">
        <v>0</v>
      </c>
      <c r="B116" s="328" t="s">
        <v>120</v>
      </c>
      <c r="C116" s="329"/>
      <c r="D116" s="329"/>
      <c r="E116" s="329"/>
      <c r="F116" s="330"/>
      <c r="G116" s="331" t="s">
        <v>14</v>
      </c>
      <c r="H116" s="332"/>
      <c r="I116" s="332"/>
      <c r="J116" s="332"/>
      <c r="K116" s="333"/>
      <c r="L116" s="320" t="s">
        <v>30</v>
      </c>
      <c r="N116" s="5" t="s">
        <v>0</v>
      </c>
      <c r="O116" s="328" t="s">
        <v>202</v>
      </c>
      <c r="P116" s="329"/>
      <c r="Q116" s="329"/>
      <c r="R116" s="329"/>
      <c r="S116" s="330"/>
      <c r="T116" s="331" t="s">
        <v>203</v>
      </c>
      <c r="U116" s="332"/>
      <c r="V116" s="332"/>
      <c r="W116" s="332"/>
      <c r="X116" s="333"/>
      <c r="Y116" s="320" t="s">
        <v>30</v>
      </c>
    </row>
    <row r="117" spans="1:27" ht="14.25" thickBot="1" x14ac:dyDescent="0.2">
      <c r="A117" s="5" t="s">
        <v>1</v>
      </c>
      <c r="B117" s="3" t="s">
        <v>22</v>
      </c>
      <c r="C117" s="28" t="s">
        <v>23</v>
      </c>
      <c r="D117" s="4" t="s">
        <v>24</v>
      </c>
      <c r="E117" s="15" t="s">
        <v>25</v>
      </c>
      <c r="F117" s="19" t="s">
        <v>2</v>
      </c>
      <c r="G117" s="3" t="s">
        <v>22</v>
      </c>
      <c r="H117" s="28" t="s">
        <v>23</v>
      </c>
      <c r="I117" s="4" t="s">
        <v>24</v>
      </c>
      <c r="J117" s="15" t="s">
        <v>25</v>
      </c>
      <c r="K117" s="19" t="s">
        <v>2</v>
      </c>
      <c r="L117" s="321"/>
      <c r="N117" s="5" t="s">
        <v>1</v>
      </c>
      <c r="O117" s="3" t="s">
        <v>22</v>
      </c>
      <c r="P117" s="28" t="s">
        <v>23</v>
      </c>
      <c r="Q117" s="4" t="s">
        <v>24</v>
      </c>
      <c r="R117" s="15" t="s">
        <v>25</v>
      </c>
      <c r="S117" s="19" t="s">
        <v>2</v>
      </c>
      <c r="T117" s="3" t="s">
        <v>22</v>
      </c>
      <c r="U117" s="28" t="s">
        <v>23</v>
      </c>
      <c r="V117" s="4" t="s">
        <v>24</v>
      </c>
      <c r="W117" s="15" t="s">
        <v>25</v>
      </c>
      <c r="X117" s="19" t="s">
        <v>2</v>
      </c>
      <c r="Y117" s="321"/>
    </row>
    <row r="118" spans="1:27" x14ac:dyDescent="0.15">
      <c r="A118" s="78" t="s">
        <v>10</v>
      </c>
      <c r="B118" s="79">
        <f>B112</f>
        <v>11</v>
      </c>
      <c r="C118" s="80">
        <f>C112</f>
        <v>9</v>
      </c>
      <c r="D118" s="80">
        <f>D112</f>
        <v>3</v>
      </c>
      <c r="E118" s="81">
        <f>E112</f>
        <v>6</v>
      </c>
      <c r="F118" s="82">
        <f>SUM(B118:E118)</f>
        <v>29</v>
      </c>
      <c r="G118" s="79">
        <f>G112</f>
        <v>7</v>
      </c>
      <c r="H118" s="80">
        <f>H112</f>
        <v>8</v>
      </c>
      <c r="I118" s="80">
        <f>I112</f>
        <v>6</v>
      </c>
      <c r="J118" s="81">
        <f>J112</f>
        <v>6</v>
      </c>
      <c r="K118" s="82">
        <f>SUM(G118:J118)</f>
        <v>27</v>
      </c>
      <c r="L118" s="98">
        <f>F118+K118</f>
        <v>56</v>
      </c>
      <c r="N118" s="78" t="s">
        <v>10</v>
      </c>
      <c r="O118" s="79">
        <f>O112</f>
        <v>44</v>
      </c>
      <c r="P118" s="80">
        <f>P112</f>
        <v>60</v>
      </c>
      <c r="Q118" s="80">
        <f>Q112</f>
        <v>49</v>
      </c>
      <c r="R118" s="81">
        <f>R112</f>
        <v>50</v>
      </c>
      <c r="S118" s="82">
        <f>SUM(O118:R118)</f>
        <v>203</v>
      </c>
      <c r="T118" s="79">
        <f>T112</f>
        <v>73</v>
      </c>
      <c r="U118" s="80">
        <f>U112</f>
        <v>71</v>
      </c>
      <c r="V118" s="80">
        <f>V112</f>
        <v>73</v>
      </c>
      <c r="W118" s="81">
        <f>W112</f>
        <v>82</v>
      </c>
      <c r="X118" s="82">
        <f>SUM(T118:W118)</f>
        <v>299</v>
      </c>
      <c r="Y118" s="98">
        <f>S118+X118</f>
        <v>502</v>
      </c>
    </row>
    <row r="119" spans="1:27" x14ac:dyDescent="0.15">
      <c r="A119" s="47" t="s">
        <v>66</v>
      </c>
      <c r="B119" s="51"/>
      <c r="C119" s="52"/>
      <c r="D119" s="53"/>
      <c r="E119" s="54">
        <v>1</v>
      </c>
      <c r="F119" s="61">
        <f>SUM(B119:E119)</f>
        <v>1</v>
      </c>
      <c r="G119" s="51"/>
      <c r="H119" s="52">
        <v>1</v>
      </c>
      <c r="I119" s="53">
        <v>1</v>
      </c>
      <c r="J119" s="54"/>
      <c r="K119" s="61">
        <f>SUM(G119:J119)</f>
        <v>2</v>
      </c>
      <c r="L119" s="100">
        <f t="shared" ref="L119:L150" si="108">F119+K119</f>
        <v>3</v>
      </c>
      <c r="M119" s="58">
        <v>45772</v>
      </c>
      <c r="N119" s="186" t="s">
        <v>170</v>
      </c>
      <c r="O119" s="166"/>
      <c r="P119" s="167"/>
      <c r="Q119" s="160"/>
      <c r="R119" s="179"/>
      <c r="S119" s="184">
        <f>SUM(O119:R119)</f>
        <v>0</v>
      </c>
      <c r="T119" s="166">
        <f>30-30</f>
        <v>0</v>
      </c>
      <c r="U119" s="167">
        <f>80-35-30</f>
        <v>15</v>
      </c>
      <c r="V119" s="160">
        <f>45-35-10</f>
        <v>0</v>
      </c>
      <c r="W119" s="179">
        <f>40-30-10</f>
        <v>0</v>
      </c>
      <c r="X119" s="184">
        <f>SUM(T119:W119)</f>
        <v>15</v>
      </c>
      <c r="Y119" s="185">
        <f t="shared" ref="Y119:Y121" si="109">S119+X119</f>
        <v>15</v>
      </c>
      <c r="Z119" s="226" t="s">
        <v>322</v>
      </c>
      <c r="AA119" s="50"/>
    </row>
    <row r="120" spans="1:27" x14ac:dyDescent="0.15">
      <c r="A120" s="12" t="s">
        <v>4</v>
      </c>
      <c r="B120" s="6"/>
      <c r="C120" s="18"/>
      <c r="D120" s="7">
        <v>3</v>
      </c>
      <c r="E120" s="8">
        <v>3</v>
      </c>
      <c r="F120" s="9">
        <f>SUM(B120:E120)</f>
        <v>6</v>
      </c>
      <c r="G120" s="6">
        <v>3</v>
      </c>
      <c r="H120" s="18">
        <v>3</v>
      </c>
      <c r="I120" s="7"/>
      <c r="J120" s="8"/>
      <c r="K120" s="9">
        <f>SUM(G120:J120)</f>
        <v>6</v>
      </c>
      <c r="L120" s="100">
        <f t="shared" si="108"/>
        <v>12</v>
      </c>
      <c r="M120" s="56">
        <v>45786</v>
      </c>
      <c r="N120" s="186" t="s">
        <v>72</v>
      </c>
      <c r="O120" s="166"/>
      <c r="P120" s="167"/>
      <c r="Q120" s="160"/>
      <c r="R120" s="179"/>
      <c r="S120" s="184">
        <f>SUM(O120:R120)</f>
        <v>0</v>
      </c>
      <c r="T120" s="166">
        <f>30-10</f>
        <v>20</v>
      </c>
      <c r="U120" s="167">
        <v>80</v>
      </c>
      <c r="V120" s="160">
        <f>80-10</f>
        <v>70</v>
      </c>
      <c r="W120" s="179">
        <f>70</f>
        <v>70</v>
      </c>
      <c r="X120" s="184">
        <f>SUM(T120:W120)</f>
        <v>240</v>
      </c>
      <c r="Y120" s="185">
        <f t="shared" si="109"/>
        <v>240</v>
      </c>
      <c r="Z120" s="226" t="s">
        <v>322</v>
      </c>
      <c r="AA120" s="50"/>
    </row>
    <row r="121" spans="1:27" x14ac:dyDescent="0.15">
      <c r="A121" s="47" t="s">
        <v>66</v>
      </c>
      <c r="B121" s="6"/>
      <c r="C121" s="18"/>
      <c r="D121" s="7"/>
      <c r="E121" s="8"/>
      <c r="F121" s="9">
        <f>SUM(B121:E121)</f>
        <v>0</v>
      </c>
      <c r="G121" s="6"/>
      <c r="H121" s="18">
        <v>1</v>
      </c>
      <c r="I121" s="7">
        <v>1</v>
      </c>
      <c r="J121" s="8"/>
      <c r="K121" s="9">
        <f>SUM(G121:J121)</f>
        <v>2</v>
      </c>
      <c r="L121" s="100">
        <f t="shared" si="108"/>
        <v>2</v>
      </c>
      <c r="M121" s="58">
        <v>45792</v>
      </c>
      <c r="N121" s="186" t="s">
        <v>328</v>
      </c>
      <c r="O121" s="16"/>
      <c r="P121" s="29"/>
      <c r="Q121" s="17"/>
      <c r="R121" s="20"/>
      <c r="S121" s="45">
        <f t="shared" ref="S121" si="110">SUM(O121:R121)</f>
        <v>0</v>
      </c>
      <c r="T121" s="166">
        <v>0</v>
      </c>
      <c r="U121" s="167">
        <v>35</v>
      </c>
      <c r="V121" s="160">
        <v>19</v>
      </c>
      <c r="W121" s="179">
        <v>10</v>
      </c>
      <c r="X121" s="184">
        <f t="shared" ref="X121" si="111">SUM(T121:W121)</f>
        <v>64</v>
      </c>
      <c r="Y121" s="185">
        <f t="shared" si="109"/>
        <v>64</v>
      </c>
      <c r="Z121" s="226" t="s">
        <v>322</v>
      </c>
      <c r="AA121" s="50"/>
    </row>
    <row r="122" spans="1:27" ht="14.25" thickBot="1" x14ac:dyDescent="0.2">
      <c r="A122" s="12" t="s">
        <v>360</v>
      </c>
      <c r="B122" s="6"/>
      <c r="C122" s="18"/>
      <c r="D122" s="7"/>
      <c r="E122" s="8"/>
      <c r="F122" s="10">
        <f>SUM(B122:E122)</f>
        <v>0</v>
      </c>
      <c r="G122" s="6">
        <v>1</v>
      </c>
      <c r="H122" s="18">
        <v>2</v>
      </c>
      <c r="I122" s="7">
        <v>2</v>
      </c>
      <c r="J122" s="8"/>
      <c r="K122" s="10">
        <f>SUM(G122:J122)</f>
        <v>5</v>
      </c>
      <c r="L122" s="101">
        <f t="shared" si="108"/>
        <v>5</v>
      </c>
      <c r="M122" s="58">
        <v>45796</v>
      </c>
      <c r="N122" s="12" t="s">
        <v>392</v>
      </c>
      <c r="O122" s="16">
        <v>2</v>
      </c>
      <c r="P122" s="29">
        <v>2</v>
      </c>
      <c r="Q122" s="17"/>
      <c r="R122" s="20"/>
      <c r="S122" s="45">
        <f t="shared" ref="S122" si="112">SUM(O122:R122)</f>
        <v>4</v>
      </c>
      <c r="T122" s="16"/>
      <c r="U122" s="29"/>
      <c r="V122" s="17"/>
      <c r="W122" s="20">
        <v>3</v>
      </c>
      <c r="X122" s="45">
        <f t="shared" ref="X122" si="113">SUM(T122:W122)</f>
        <v>3</v>
      </c>
      <c r="Y122" s="100">
        <f t="shared" ref="Y122" si="114">S122+X122</f>
        <v>7</v>
      </c>
      <c r="Z122" s="58">
        <v>45787</v>
      </c>
      <c r="AA122" s="50"/>
    </row>
    <row r="123" spans="1:27" ht="14.25" thickBot="1" x14ac:dyDescent="0.2">
      <c r="A123" s="14" t="s">
        <v>7</v>
      </c>
      <c r="B123" s="62">
        <f t="shared" ref="B123:K123" si="115">SUM(B118:B122)</f>
        <v>11</v>
      </c>
      <c r="C123" s="63">
        <f t="shared" si="115"/>
        <v>9</v>
      </c>
      <c r="D123" s="64">
        <f t="shared" si="115"/>
        <v>6</v>
      </c>
      <c r="E123" s="65">
        <f t="shared" si="115"/>
        <v>10</v>
      </c>
      <c r="F123" s="66">
        <f t="shared" si="115"/>
        <v>36</v>
      </c>
      <c r="G123" s="62">
        <f t="shared" si="115"/>
        <v>11</v>
      </c>
      <c r="H123" s="63">
        <f t="shared" si="115"/>
        <v>15</v>
      </c>
      <c r="I123" s="64">
        <f t="shared" si="115"/>
        <v>10</v>
      </c>
      <c r="J123" s="65">
        <f t="shared" si="115"/>
        <v>6</v>
      </c>
      <c r="K123" s="66">
        <f t="shared" si="115"/>
        <v>42</v>
      </c>
      <c r="L123" s="102">
        <f t="shared" si="108"/>
        <v>78</v>
      </c>
      <c r="N123" s="13" t="s">
        <v>7</v>
      </c>
      <c r="O123" s="25">
        <f t="shared" ref="O123:X123" si="116">SUM(O118:O122)</f>
        <v>46</v>
      </c>
      <c r="P123" s="31">
        <f t="shared" si="116"/>
        <v>62</v>
      </c>
      <c r="Q123" s="26">
        <f t="shared" si="116"/>
        <v>49</v>
      </c>
      <c r="R123" s="67">
        <f t="shared" si="116"/>
        <v>50</v>
      </c>
      <c r="S123" s="68">
        <f t="shared" si="116"/>
        <v>207</v>
      </c>
      <c r="T123" s="25">
        <f t="shared" si="116"/>
        <v>93</v>
      </c>
      <c r="U123" s="31">
        <f t="shared" si="116"/>
        <v>201</v>
      </c>
      <c r="V123" s="26">
        <f t="shared" si="116"/>
        <v>162</v>
      </c>
      <c r="W123" s="67">
        <f t="shared" si="116"/>
        <v>165</v>
      </c>
      <c r="X123" s="68">
        <f t="shared" si="116"/>
        <v>621</v>
      </c>
      <c r="Y123" s="102">
        <f t="shared" ref="Y123:Y150" si="117">S123+X123</f>
        <v>828</v>
      </c>
      <c r="Z123" s="227"/>
    </row>
    <row r="124" spans="1:27" x14ac:dyDescent="0.15">
      <c r="A124" s="47" t="s">
        <v>303</v>
      </c>
      <c r="B124" s="41"/>
      <c r="C124" s="42"/>
      <c r="D124" s="43"/>
      <c r="E124" s="44"/>
      <c r="F124" s="70">
        <f t="shared" ref="F124:F149" si="118">SUM(B124:E124)</f>
        <v>0</v>
      </c>
      <c r="G124" s="41"/>
      <c r="H124" s="42"/>
      <c r="I124" s="43"/>
      <c r="J124" s="44">
        <v>1</v>
      </c>
      <c r="K124" s="70">
        <f t="shared" ref="K124:K147" si="119">SUM(G124:J124)</f>
        <v>1</v>
      </c>
      <c r="L124" s="103">
        <f t="shared" si="108"/>
        <v>1</v>
      </c>
      <c r="M124" s="56">
        <v>45771</v>
      </c>
      <c r="N124" s="33" t="s">
        <v>296</v>
      </c>
      <c r="O124" s="16"/>
      <c r="P124" s="29"/>
      <c r="Q124" s="17"/>
      <c r="R124" s="32"/>
      <c r="S124" s="9">
        <f t="shared" ref="S124:S125" si="120">SUM(O124:R124)</f>
        <v>0</v>
      </c>
      <c r="T124" s="16">
        <v>10</v>
      </c>
      <c r="U124" s="29">
        <v>25</v>
      </c>
      <c r="V124" s="17">
        <v>25</v>
      </c>
      <c r="W124" s="32">
        <v>25</v>
      </c>
      <c r="X124" s="9">
        <f t="shared" ref="X124:X125" si="121">SUM(T124:W124)</f>
        <v>85</v>
      </c>
      <c r="Y124" s="104">
        <f t="shared" ref="Y124:Y125" si="122">S124+X124</f>
        <v>85</v>
      </c>
      <c r="Z124" s="56">
        <v>45784</v>
      </c>
    </row>
    <row r="125" spans="1:27" x14ac:dyDescent="0.15">
      <c r="A125" s="47" t="s">
        <v>45</v>
      </c>
      <c r="B125" s="16"/>
      <c r="C125" s="29"/>
      <c r="D125" s="17"/>
      <c r="E125" s="20">
        <v>1</v>
      </c>
      <c r="F125" s="45">
        <f t="shared" si="118"/>
        <v>1</v>
      </c>
      <c r="G125" s="16"/>
      <c r="H125" s="29"/>
      <c r="I125" s="17"/>
      <c r="J125" s="20"/>
      <c r="K125" s="45">
        <f t="shared" si="119"/>
        <v>0</v>
      </c>
      <c r="L125" s="104">
        <f t="shared" si="108"/>
        <v>1</v>
      </c>
      <c r="M125" s="56">
        <v>45769</v>
      </c>
      <c r="N125" s="11" t="s">
        <v>317</v>
      </c>
      <c r="O125" s="16">
        <v>2</v>
      </c>
      <c r="P125" s="29"/>
      <c r="Q125" s="17"/>
      <c r="R125" s="20"/>
      <c r="S125" s="45">
        <f t="shared" si="120"/>
        <v>2</v>
      </c>
      <c r="T125" s="16"/>
      <c r="U125" s="29"/>
      <c r="V125" s="17"/>
      <c r="W125" s="20"/>
      <c r="X125" s="45">
        <f t="shared" si="121"/>
        <v>0</v>
      </c>
      <c r="Y125" s="104">
        <f t="shared" si="122"/>
        <v>2</v>
      </c>
      <c r="Z125" s="56">
        <v>45779</v>
      </c>
    </row>
    <row r="126" spans="1:27" x14ac:dyDescent="0.15">
      <c r="A126" s="47" t="s">
        <v>45</v>
      </c>
      <c r="B126" s="16"/>
      <c r="C126" s="29"/>
      <c r="D126" s="17"/>
      <c r="E126" s="20"/>
      <c r="F126" s="45">
        <f t="shared" si="118"/>
        <v>0</v>
      </c>
      <c r="G126" s="16">
        <v>1</v>
      </c>
      <c r="H126" s="29">
        <v>1</v>
      </c>
      <c r="I126" s="17"/>
      <c r="J126" s="20"/>
      <c r="K126" s="45">
        <f t="shared" si="119"/>
        <v>2</v>
      </c>
      <c r="L126" s="104">
        <f t="shared" si="108"/>
        <v>2</v>
      </c>
      <c r="M126" s="56">
        <v>45771</v>
      </c>
      <c r="N126" s="33" t="s">
        <v>327</v>
      </c>
      <c r="O126" s="16"/>
      <c r="P126" s="29"/>
      <c r="Q126" s="17"/>
      <c r="R126" s="32"/>
      <c r="S126" s="9">
        <f t="shared" ref="S126:S129" si="123">SUM(O126:R126)</f>
        <v>0</v>
      </c>
      <c r="T126" s="16">
        <v>5</v>
      </c>
      <c r="U126" s="29">
        <v>3</v>
      </c>
      <c r="V126" s="17">
        <v>10</v>
      </c>
      <c r="W126" s="32"/>
      <c r="X126" s="9">
        <f t="shared" ref="X126:X129" si="124">SUM(T126:W126)</f>
        <v>18</v>
      </c>
      <c r="Y126" s="104">
        <f t="shared" si="117"/>
        <v>18</v>
      </c>
      <c r="Z126" s="56">
        <v>45793</v>
      </c>
    </row>
    <row r="127" spans="1:27" x14ac:dyDescent="0.15">
      <c r="A127" s="47" t="s">
        <v>45</v>
      </c>
      <c r="B127" s="16"/>
      <c r="C127" s="29"/>
      <c r="D127" s="17"/>
      <c r="E127" s="20">
        <v>1</v>
      </c>
      <c r="F127" s="45">
        <f t="shared" ref="F127" si="125">SUM(B127:E127)</f>
        <v>1</v>
      </c>
      <c r="G127" s="16">
        <v>1</v>
      </c>
      <c r="H127" s="29"/>
      <c r="I127" s="17"/>
      <c r="J127" s="20">
        <v>-1</v>
      </c>
      <c r="K127" s="45">
        <f t="shared" ref="K127" si="126">SUM(G127:J127)</f>
        <v>0</v>
      </c>
      <c r="L127" s="104">
        <f t="shared" ref="L127" si="127">F127+K127</f>
        <v>1</v>
      </c>
      <c r="M127" s="58">
        <v>45772</v>
      </c>
      <c r="N127" s="11" t="s">
        <v>40</v>
      </c>
      <c r="O127" s="16"/>
      <c r="P127" s="29"/>
      <c r="Q127" s="17">
        <v>3</v>
      </c>
      <c r="R127" s="32">
        <v>3</v>
      </c>
      <c r="S127" s="9">
        <f>SUM(O127:R127)</f>
        <v>6</v>
      </c>
      <c r="T127" s="16">
        <v>3</v>
      </c>
      <c r="U127" s="29">
        <v>3</v>
      </c>
      <c r="V127" s="17"/>
      <c r="W127" s="32"/>
      <c r="X127" s="9">
        <f>SUM(T127:W127)</f>
        <v>6</v>
      </c>
      <c r="Y127" s="104">
        <f t="shared" si="117"/>
        <v>12</v>
      </c>
      <c r="Z127" s="56">
        <v>45786</v>
      </c>
    </row>
    <row r="128" spans="1:27" x14ac:dyDescent="0.15">
      <c r="A128" s="47" t="s">
        <v>45</v>
      </c>
      <c r="B128" s="16"/>
      <c r="C128" s="29">
        <v>1</v>
      </c>
      <c r="D128" s="17"/>
      <c r="E128" s="20">
        <v>1</v>
      </c>
      <c r="F128" s="45">
        <f t="shared" si="118"/>
        <v>2</v>
      </c>
      <c r="G128" s="16">
        <v>1</v>
      </c>
      <c r="H128" s="29">
        <v>1</v>
      </c>
      <c r="I128" s="17">
        <v>1</v>
      </c>
      <c r="J128" s="20"/>
      <c r="K128" s="45">
        <f t="shared" si="119"/>
        <v>3</v>
      </c>
      <c r="L128" s="104">
        <f t="shared" si="108"/>
        <v>5</v>
      </c>
      <c r="M128" s="58">
        <v>45775</v>
      </c>
      <c r="N128" s="33" t="s">
        <v>348</v>
      </c>
      <c r="O128" s="16"/>
      <c r="P128" s="29"/>
      <c r="Q128" s="17"/>
      <c r="R128" s="32"/>
      <c r="S128" s="9">
        <f t="shared" si="123"/>
        <v>0</v>
      </c>
      <c r="T128" s="16">
        <v>10</v>
      </c>
      <c r="U128" s="29">
        <v>15</v>
      </c>
      <c r="V128" s="17"/>
      <c r="W128" s="32">
        <v>25</v>
      </c>
      <c r="X128" s="9">
        <f t="shared" si="124"/>
        <v>50</v>
      </c>
      <c r="Y128" s="104">
        <f t="shared" si="117"/>
        <v>50</v>
      </c>
      <c r="Z128" s="56">
        <v>45799</v>
      </c>
    </row>
    <row r="129" spans="1:27" x14ac:dyDescent="0.15">
      <c r="A129" s="11" t="s">
        <v>331</v>
      </c>
      <c r="B129" s="16"/>
      <c r="C129" s="29">
        <v>1</v>
      </c>
      <c r="D129" s="17"/>
      <c r="E129" s="20"/>
      <c r="F129" s="45">
        <f t="shared" si="118"/>
        <v>1</v>
      </c>
      <c r="G129" s="16"/>
      <c r="H129" s="29"/>
      <c r="I129" s="17"/>
      <c r="J129" s="20"/>
      <c r="K129" s="45">
        <f t="shared" si="119"/>
        <v>0</v>
      </c>
      <c r="L129" s="104">
        <f t="shared" si="108"/>
        <v>1</v>
      </c>
      <c r="M129" s="56">
        <v>45786</v>
      </c>
      <c r="N129" s="11" t="s">
        <v>355</v>
      </c>
      <c r="O129" s="16">
        <v>3</v>
      </c>
      <c r="P129" s="29">
        <v>4</v>
      </c>
      <c r="Q129" s="17">
        <v>2</v>
      </c>
      <c r="R129" s="32">
        <v>2</v>
      </c>
      <c r="S129" s="9">
        <f t="shared" si="123"/>
        <v>11</v>
      </c>
      <c r="T129" s="16">
        <v>3</v>
      </c>
      <c r="U129" s="29">
        <v>4</v>
      </c>
      <c r="V129" s="17">
        <v>2</v>
      </c>
      <c r="W129" s="32">
        <v>2</v>
      </c>
      <c r="X129" s="9">
        <f t="shared" si="124"/>
        <v>11</v>
      </c>
      <c r="Y129" s="104">
        <f t="shared" si="117"/>
        <v>22</v>
      </c>
      <c r="Z129" s="56">
        <v>45806</v>
      </c>
    </row>
    <row r="130" spans="1:27" x14ac:dyDescent="0.15">
      <c r="A130" s="47" t="s">
        <v>45</v>
      </c>
      <c r="B130" s="16"/>
      <c r="C130" s="29"/>
      <c r="D130" s="17">
        <v>1</v>
      </c>
      <c r="E130" s="20">
        <v>1</v>
      </c>
      <c r="F130" s="45">
        <f t="shared" si="118"/>
        <v>2</v>
      </c>
      <c r="G130" s="16"/>
      <c r="H130" s="29"/>
      <c r="I130" s="17"/>
      <c r="J130" s="20"/>
      <c r="K130" s="45">
        <f t="shared" si="119"/>
        <v>0</v>
      </c>
      <c r="L130" s="104">
        <f t="shared" si="108"/>
        <v>2</v>
      </c>
      <c r="M130" s="56">
        <v>45777</v>
      </c>
      <c r="N130" s="33" t="s">
        <v>361</v>
      </c>
      <c r="O130" s="16"/>
      <c r="P130" s="29"/>
      <c r="Q130" s="17"/>
      <c r="R130" s="32"/>
      <c r="S130" s="9">
        <f>SUM(O130:R130)</f>
        <v>0</v>
      </c>
      <c r="T130" s="16">
        <v>10</v>
      </c>
      <c r="U130" s="29">
        <v>5</v>
      </c>
      <c r="V130" s="17"/>
      <c r="W130" s="32"/>
      <c r="X130" s="9">
        <f>SUM(T130:W130)</f>
        <v>15</v>
      </c>
      <c r="Y130" s="104">
        <f t="shared" si="117"/>
        <v>15</v>
      </c>
      <c r="Z130" s="56">
        <v>45812</v>
      </c>
    </row>
    <row r="131" spans="1:27" x14ac:dyDescent="0.15">
      <c r="A131" s="47" t="s">
        <v>333</v>
      </c>
      <c r="B131" s="16"/>
      <c r="C131" s="29">
        <v>1</v>
      </c>
      <c r="D131" s="17"/>
      <c r="E131" s="20"/>
      <c r="F131" s="45">
        <f t="shared" si="118"/>
        <v>1</v>
      </c>
      <c r="G131" s="16"/>
      <c r="H131" s="29">
        <v>3</v>
      </c>
      <c r="I131" s="17"/>
      <c r="J131" s="20"/>
      <c r="K131" s="45">
        <f t="shared" si="119"/>
        <v>3</v>
      </c>
      <c r="L131" s="104">
        <f t="shared" si="108"/>
        <v>4</v>
      </c>
      <c r="M131" s="56">
        <v>45779</v>
      </c>
      <c r="N131" s="11" t="s">
        <v>40</v>
      </c>
      <c r="O131" s="16"/>
      <c r="P131" s="29">
        <v>2</v>
      </c>
      <c r="Q131" s="17">
        <v>2</v>
      </c>
      <c r="R131" s="32"/>
      <c r="S131" s="9">
        <f t="shared" ref="S131:S132" si="128">SUM(O131:R131)</f>
        <v>4</v>
      </c>
      <c r="T131" s="16"/>
      <c r="U131" s="29"/>
      <c r="V131" s="17"/>
      <c r="W131" s="32">
        <v>5</v>
      </c>
      <c r="X131" s="9">
        <f t="shared" ref="X131:X132" si="129">SUM(T131:W131)</f>
        <v>5</v>
      </c>
      <c r="Y131" s="104">
        <f t="shared" si="117"/>
        <v>9</v>
      </c>
      <c r="Z131" s="56">
        <v>45797</v>
      </c>
    </row>
    <row r="132" spans="1:27" x14ac:dyDescent="0.15">
      <c r="A132" s="47" t="s">
        <v>45</v>
      </c>
      <c r="B132" s="16"/>
      <c r="C132" s="29"/>
      <c r="D132" s="17"/>
      <c r="E132" s="20"/>
      <c r="F132" s="45">
        <f t="shared" si="118"/>
        <v>0</v>
      </c>
      <c r="G132" s="16">
        <v>1</v>
      </c>
      <c r="H132" s="29">
        <v>1</v>
      </c>
      <c r="I132" s="17">
        <v>1</v>
      </c>
      <c r="J132" s="20">
        <v>1</v>
      </c>
      <c r="K132" s="45">
        <f t="shared" si="119"/>
        <v>4</v>
      </c>
      <c r="L132" s="104">
        <f t="shared" si="108"/>
        <v>4</v>
      </c>
      <c r="M132" s="58">
        <v>45784</v>
      </c>
      <c r="N132" s="47" t="s">
        <v>368</v>
      </c>
      <c r="O132" s="16"/>
      <c r="P132" s="29"/>
      <c r="Q132" s="17"/>
      <c r="R132" s="20"/>
      <c r="S132" s="45">
        <f t="shared" si="128"/>
        <v>0</v>
      </c>
      <c r="T132" s="16">
        <v>1</v>
      </c>
      <c r="U132" s="29"/>
      <c r="V132" s="17"/>
      <c r="W132" s="20"/>
      <c r="X132" s="45">
        <f t="shared" si="129"/>
        <v>1</v>
      </c>
      <c r="Y132" s="104">
        <f t="shared" si="117"/>
        <v>1</v>
      </c>
      <c r="Z132" s="56">
        <v>45800</v>
      </c>
    </row>
    <row r="133" spans="1:27" x14ac:dyDescent="0.15">
      <c r="A133" s="47" t="s">
        <v>45</v>
      </c>
      <c r="B133" s="16"/>
      <c r="C133" s="29"/>
      <c r="D133" s="17">
        <v>1</v>
      </c>
      <c r="E133" s="20"/>
      <c r="F133" s="45">
        <f t="shared" si="118"/>
        <v>1</v>
      </c>
      <c r="G133" s="16"/>
      <c r="H133" s="29"/>
      <c r="I133" s="17">
        <v>1</v>
      </c>
      <c r="J133" s="20"/>
      <c r="K133" s="45">
        <f t="shared" si="119"/>
        <v>1</v>
      </c>
      <c r="L133" s="104">
        <f t="shared" si="108"/>
        <v>2</v>
      </c>
      <c r="M133" s="58">
        <v>45785</v>
      </c>
      <c r="N133" s="11" t="s">
        <v>40</v>
      </c>
      <c r="O133" s="16"/>
      <c r="P133" s="29"/>
      <c r="Q133" s="17">
        <v>3</v>
      </c>
      <c r="R133" s="32"/>
      <c r="S133" s="9">
        <f>SUM(O133:R133)</f>
        <v>3</v>
      </c>
      <c r="T133" s="16"/>
      <c r="U133" s="29"/>
      <c r="V133" s="17"/>
      <c r="W133" s="32">
        <v>3</v>
      </c>
      <c r="X133" s="9">
        <f>SUM(T133:W133)</f>
        <v>3</v>
      </c>
      <c r="Y133" s="104">
        <f t="shared" si="117"/>
        <v>6</v>
      </c>
      <c r="Z133" s="56">
        <v>45803</v>
      </c>
      <c r="AA133" s="35"/>
    </row>
    <row r="134" spans="1:27" x14ac:dyDescent="0.15">
      <c r="A134" s="47" t="s">
        <v>45</v>
      </c>
      <c r="B134" s="16"/>
      <c r="C134" s="29"/>
      <c r="D134" s="17">
        <v>1</v>
      </c>
      <c r="E134" s="20"/>
      <c r="F134" s="45">
        <f t="shared" si="118"/>
        <v>1</v>
      </c>
      <c r="G134" s="16"/>
      <c r="H134" s="29"/>
      <c r="I134" s="17"/>
      <c r="J134" s="20"/>
      <c r="K134" s="45">
        <f t="shared" si="119"/>
        <v>0</v>
      </c>
      <c r="L134" s="104">
        <f t="shared" si="108"/>
        <v>1</v>
      </c>
      <c r="M134" s="58">
        <v>45786</v>
      </c>
      <c r="N134" s="47" t="s">
        <v>384</v>
      </c>
      <c r="O134" s="16">
        <v>2</v>
      </c>
      <c r="P134" s="29">
        <v>4</v>
      </c>
      <c r="Q134" s="17">
        <v>3</v>
      </c>
      <c r="R134" s="20">
        <v>2</v>
      </c>
      <c r="S134" s="45">
        <f t="shared" ref="S134" si="130">SUM(O134:R134)</f>
        <v>11</v>
      </c>
      <c r="T134" s="16">
        <v>1</v>
      </c>
      <c r="U134" s="29">
        <v>4</v>
      </c>
      <c r="V134" s="17">
        <v>3</v>
      </c>
      <c r="W134" s="20">
        <v>3</v>
      </c>
      <c r="X134" s="45">
        <f t="shared" ref="X134" si="131">SUM(T134:W134)</f>
        <v>11</v>
      </c>
      <c r="Y134" s="104">
        <f t="shared" si="117"/>
        <v>22</v>
      </c>
      <c r="Z134" s="56">
        <v>45806</v>
      </c>
      <c r="AA134" s="50"/>
    </row>
    <row r="135" spans="1:27" x14ac:dyDescent="0.15">
      <c r="A135" s="47" t="s">
        <v>340</v>
      </c>
      <c r="B135" s="16">
        <v>2</v>
      </c>
      <c r="C135" s="29">
        <v>2</v>
      </c>
      <c r="D135" s="17"/>
      <c r="E135" s="20"/>
      <c r="F135" s="45">
        <f t="shared" si="118"/>
        <v>4</v>
      </c>
      <c r="G135" s="16"/>
      <c r="H135" s="29"/>
      <c r="I135" s="17"/>
      <c r="J135" s="20">
        <v>3</v>
      </c>
      <c r="K135" s="45">
        <f t="shared" si="119"/>
        <v>3</v>
      </c>
      <c r="L135" s="104">
        <f t="shared" si="108"/>
        <v>7</v>
      </c>
      <c r="M135" s="56">
        <v>45787</v>
      </c>
      <c r="N135" s="11" t="s">
        <v>40</v>
      </c>
      <c r="O135" s="16"/>
      <c r="P135" s="29"/>
      <c r="Q135" s="17"/>
      <c r="R135" s="32">
        <v>2</v>
      </c>
      <c r="S135" s="9">
        <f>SUM(O135:R135)</f>
        <v>2</v>
      </c>
      <c r="T135" s="16">
        <v>2</v>
      </c>
      <c r="U135" s="29"/>
      <c r="V135" s="17"/>
      <c r="W135" s="32">
        <v>2</v>
      </c>
      <c r="X135" s="9">
        <f>SUM(T135:W135)</f>
        <v>4</v>
      </c>
      <c r="Y135" s="104">
        <f t="shared" si="117"/>
        <v>6</v>
      </c>
      <c r="Z135" s="56">
        <v>45807</v>
      </c>
      <c r="AA135" s="50"/>
    </row>
    <row r="136" spans="1:27" x14ac:dyDescent="0.15">
      <c r="A136" s="47" t="s">
        <v>342</v>
      </c>
      <c r="B136" s="16"/>
      <c r="C136" s="29"/>
      <c r="D136" s="17">
        <v>1</v>
      </c>
      <c r="E136" s="20"/>
      <c r="F136" s="45">
        <f t="shared" si="118"/>
        <v>1</v>
      </c>
      <c r="G136" s="16"/>
      <c r="H136" s="29"/>
      <c r="I136" s="17"/>
      <c r="J136" s="20"/>
      <c r="K136" s="45">
        <f t="shared" si="119"/>
        <v>0</v>
      </c>
      <c r="L136" s="104">
        <f t="shared" si="108"/>
        <v>1</v>
      </c>
      <c r="M136" s="56">
        <v>45791</v>
      </c>
      <c r="N136" s="33"/>
      <c r="O136" s="16"/>
      <c r="P136" s="29"/>
      <c r="Q136" s="17"/>
      <c r="R136" s="32"/>
      <c r="S136" s="9">
        <f>SUM(O136:R136)</f>
        <v>0</v>
      </c>
      <c r="T136" s="16"/>
      <c r="U136" s="29"/>
      <c r="V136" s="17"/>
      <c r="W136" s="32"/>
      <c r="X136" s="9">
        <f>SUM(T136:W136)</f>
        <v>0</v>
      </c>
      <c r="Y136" s="104">
        <f t="shared" si="117"/>
        <v>0</v>
      </c>
      <c r="Z136" s="56"/>
    </row>
    <row r="137" spans="1:27" x14ac:dyDescent="0.15">
      <c r="A137" s="47" t="s">
        <v>45</v>
      </c>
      <c r="B137" s="16">
        <v>1</v>
      </c>
      <c r="C137" s="29">
        <v>2</v>
      </c>
      <c r="D137" s="17"/>
      <c r="E137" s="20"/>
      <c r="F137" s="45">
        <f t="shared" si="118"/>
        <v>3</v>
      </c>
      <c r="G137" s="16">
        <v>1</v>
      </c>
      <c r="H137" s="29"/>
      <c r="I137" s="17"/>
      <c r="J137" s="20"/>
      <c r="K137" s="45">
        <f t="shared" si="119"/>
        <v>1</v>
      </c>
      <c r="L137" s="104">
        <f t="shared" si="108"/>
        <v>4</v>
      </c>
      <c r="M137" s="56">
        <v>45789</v>
      </c>
      <c r="N137" s="72"/>
      <c r="O137" s="16"/>
      <c r="P137" s="29"/>
      <c r="Q137" s="17"/>
      <c r="R137" s="32"/>
      <c r="S137" s="9">
        <f>SUM(O137:R137)</f>
        <v>0</v>
      </c>
      <c r="T137" s="16"/>
      <c r="U137" s="29"/>
      <c r="V137" s="17"/>
      <c r="W137" s="32"/>
      <c r="X137" s="9">
        <f>SUM(T137:W137)</f>
        <v>0</v>
      </c>
      <c r="Y137" s="104">
        <f t="shared" si="117"/>
        <v>0</v>
      </c>
      <c r="Z137" s="56"/>
    </row>
    <row r="138" spans="1:27" x14ac:dyDescent="0.15">
      <c r="A138" s="47" t="s">
        <v>45</v>
      </c>
      <c r="B138" s="16"/>
      <c r="C138" s="29"/>
      <c r="D138" s="17"/>
      <c r="E138" s="20"/>
      <c r="F138" s="45">
        <f t="shared" si="118"/>
        <v>0</v>
      </c>
      <c r="G138" s="16"/>
      <c r="H138" s="29"/>
      <c r="I138" s="17">
        <v>1</v>
      </c>
      <c r="J138" s="20">
        <v>1</v>
      </c>
      <c r="K138" s="45">
        <f t="shared" si="119"/>
        <v>2</v>
      </c>
      <c r="L138" s="104">
        <f t="shared" si="108"/>
        <v>2</v>
      </c>
      <c r="M138" s="58">
        <v>45790</v>
      </c>
      <c r="N138" s="72"/>
      <c r="O138" s="16"/>
      <c r="P138" s="29"/>
      <c r="Q138" s="17"/>
      <c r="R138" s="32"/>
      <c r="S138" s="9">
        <f t="shared" ref="S138:S141" si="132">SUM(O138:R138)</f>
        <v>0</v>
      </c>
      <c r="T138" s="16"/>
      <c r="U138" s="29"/>
      <c r="V138" s="17"/>
      <c r="W138" s="32"/>
      <c r="X138" s="9">
        <f t="shared" ref="X138:X141" si="133">SUM(T138:W138)</f>
        <v>0</v>
      </c>
      <c r="Y138" s="104">
        <f t="shared" si="117"/>
        <v>0</v>
      </c>
      <c r="Z138" s="56"/>
    </row>
    <row r="139" spans="1:27" x14ac:dyDescent="0.15">
      <c r="A139" s="47" t="s">
        <v>45</v>
      </c>
      <c r="B139" s="16"/>
      <c r="C139" s="29"/>
      <c r="D139" s="17"/>
      <c r="E139" s="20"/>
      <c r="F139" s="45">
        <f t="shared" si="118"/>
        <v>0</v>
      </c>
      <c r="G139" s="16"/>
      <c r="H139" s="29"/>
      <c r="I139" s="17">
        <v>1</v>
      </c>
      <c r="J139" s="20"/>
      <c r="K139" s="45">
        <f t="shared" si="119"/>
        <v>1</v>
      </c>
      <c r="L139" s="104">
        <f t="shared" si="108"/>
        <v>1</v>
      </c>
      <c r="M139" s="58">
        <v>45791</v>
      </c>
      <c r="N139" s="72"/>
      <c r="O139" s="16"/>
      <c r="P139" s="29"/>
      <c r="Q139" s="17"/>
      <c r="R139" s="32"/>
      <c r="S139" s="9">
        <f t="shared" si="132"/>
        <v>0</v>
      </c>
      <c r="T139" s="16"/>
      <c r="U139" s="29"/>
      <c r="V139" s="17"/>
      <c r="W139" s="32"/>
      <c r="X139" s="9">
        <f t="shared" si="133"/>
        <v>0</v>
      </c>
      <c r="Y139" s="104">
        <f t="shared" si="117"/>
        <v>0</v>
      </c>
      <c r="Z139" s="56"/>
    </row>
    <row r="140" spans="1:27" x14ac:dyDescent="0.15">
      <c r="A140" s="47" t="s">
        <v>45</v>
      </c>
      <c r="B140" s="16"/>
      <c r="C140" s="29"/>
      <c r="D140" s="17"/>
      <c r="E140" s="20"/>
      <c r="F140" s="45">
        <f t="shared" si="118"/>
        <v>0</v>
      </c>
      <c r="G140" s="16">
        <v>1</v>
      </c>
      <c r="H140" s="29"/>
      <c r="I140" s="17"/>
      <c r="J140" s="20"/>
      <c r="K140" s="45">
        <f t="shared" si="119"/>
        <v>1</v>
      </c>
      <c r="L140" s="104">
        <f t="shared" si="108"/>
        <v>1</v>
      </c>
      <c r="M140" s="58">
        <v>45792</v>
      </c>
      <c r="N140" s="72"/>
      <c r="O140" s="16"/>
      <c r="P140" s="29"/>
      <c r="Q140" s="17"/>
      <c r="R140" s="32"/>
      <c r="S140" s="9">
        <f t="shared" si="132"/>
        <v>0</v>
      </c>
      <c r="T140" s="16"/>
      <c r="U140" s="29"/>
      <c r="V140" s="17"/>
      <c r="W140" s="32"/>
      <c r="X140" s="9">
        <f t="shared" si="133"/>
        <v>0</v>
      </c>
      <c r="Y140" s="104">
        <f t="shared" si="117"/>
        <v>0</v>
      </c>
      <c r="Z140" s="56"/>
    </row>
    <row r="141" spans="1:27" x14ac:dyDescent="0.15">
      <c r="A141" s="47" t="s">
        <v>45</v>
      </c>
      <c r="B141" s="16"/>
      <c r="C141" s="29"/>
      <c r="D141" s="17">
        <v>1</v>
      </c>
      <c r="E141" s="20">
        <v>1</v>
      </c>
      <c r="F141" s="45">
        <f t="shared" si="118"/>
        <v>2</v>
      </c>
      <c r="G141" s="16">
        <v>1</v>
      </c>
      <c r="H141" s="29"/>
      <c r="I141" s="17"/>
      <c r="J141" s="20">
        <v>3</v>
      </c>
      <c r="K141" s="45">
        <f t="shared" si="119"/>
        <v>4</v>
      </c>
      <c r="L141" s="104">
        <f t="shared" si="108"/>
        <v>6</v>
      </c>
      <c r="M141" s="56">
        <v>45796</v>
      </c>
      <c r="N141" s="72"/>
      <c r="O141" s="41"/>
      <c r="P141" s="42"/>
      <c r="Q141" s="43"/>
      <c r="R141" s="59"/>
      <c r="S141" s="61">
        <f t="shared" si="132"/>
        <v>0</v>
      </c>
      <c r="T141" s="41"/>
      <c r="U141" s="42"/>
      <c r="V141" s="43"/>
      <c r="W141" s="59"/>
      <c r="X141" s="61">
        <f t="shared" si="133"/>
        <v>0</v>
      </c>
      <c r="Y141" s="104">
        <f t="shared" si="117"/>
        <v>0</v>
      </c>
      <c r="Z141" s="56"/>
    </row>
    <row r="142" spans="1:27" x14ac:dyDescent="0.15">
      <c r="A142" s="47" t="s">
        <v>363</v>
      </c>
      <c r="B142" s="16"/>
      <c r="C142" s="29">
        <v>-2</v>
      </c>
      <c r="D142" s="17">
        <v>-2</v>
      </c>
      <c r="E142" s="20"/>
      <c r="F142" s="45">
        <f t="shared" si="118"/>
        <v>-4</v>
      </c>
      <c r="G142" s="16"/>
      <c r="H142" s="29"/>
      <c r="I142" s="17"/>
      <c r="J142" s="20">
        <v>-5</v>
      </c>
      <c r="K142" s="45">
        <f t="shared" si="119"/>
        <v>-5</v>
      </c>
      <c r="L142" s="104">
        <f t="shared" si="108"/>
        <v>-9</v>
      </c>
      <c r="M142" s="56">
        <v>45797</v>
      </c>
      <c r="N142" s="33"/>
      <c r="O142" s="16"/>
      <c r="P142" s="29"/>
      <c r="Q142" s="17"/>
      <c r="R142" s="32"/>
      <c r="S142" s="9">
        <f>SUM(O142:R142)</f>
        <v>0</v>
      </c>
      <c r="T142" s="16"/>
      <c r="U142" s="29"/>
      <c r="V142" s="17"/>
      <c r="W142" s="32"/>
      <c r="X142" s="9">
        <f>SUM(T142:W142)</f>
        <v>0</v>
      </c>
      <c r="Y142" s="104">
        <f t="shared" si="117"/>
        <v>0</v>
      </c>
      <c r="Z142" s="56"/>
    </row>
    <row r="143" spans="1:27" x14ac:dyDescent="0.15">
      <c r="A143" s="47" t="s">
        <v>365</v>
      </c>
      <c r="B143" s="16"/>
      <c r="C143" s="29"/>
      <c r="D143" s="17">
        <v>1</v>
      </c>
      <c r="E143" s="20"/>
      <c r="F143" s="45">
        <f t="shared" si="118"/>
        <v>1</v>
      </c>
      <c r="G143" s="16"/>
      <c r="H143" s="29"/>
      <c r="I143" s="17"/>
      <c r="J143" s="20"/>
      <c r="K143" s="45">
        <f t="shared" si="119"/>
        <v>0</v>
      </c>
      <c r="L143" s="104">
        <f t="shared" si="108"/>
        <v>1</v>
      </c>
      <c r="M143" s="56">
        <v>45799</v>
      </c>
      <c r="N143" s="33"/>
      <c r="O143" s="16"/>
      <c r="P143" s="29"/>
      <c r="Q143" s="17"/>
      <c r="R143" s="32"/>
      <c r="S143" s="9">
        <f>SUM(O143:R143)</f>
        <v>0</v>
      </c>
      <c r="T143" s="16"/>
      <c r="U143" s="29"/>
      <c r="V143" s="17"/>
      <c r="W143" s="32"/>
      <c r="X143" s="9">
        <f>SUM(T143:W143)</f>
        <v>0</v>
      </c>
      <c r="Y143" s="104">
        <f t="shared" ref="Y143" si="134">S143+X143</f>
        <v>0</v>
      </c>
      <c r="Z143" s="56"/>
    </row>
    <row r="144" spans="1:27" x14ac:dyDescent="0.15">
      <c r="A144" s="47" t="s">
        <v>45</v>
      </c>
      <c r="B144" s="16"/>
      <c r="C144" s="29"/>
      <c r="D144" s="17"/>
      <c r="E144" s="20"/>
      <c r="F144" s="45">
        <f t="shared" si="118"/>
        <v>0</v>
      </c>
      <c r="G144" s="16"/>
      <c r="H144" s="29"/>
      <c r="I144" s="17"/>
      <c r="J144" s="20">
        <v>2</v>
      </c>
      <c r="K144" s="45">
        <f t="shared" si="119"/>
        <v>2</v>
      </c>
      <c r="L144" s="104">
        <f t="shared" si="108"/>
        <v>2</v>
      </c>
      <c r="M144" s="56">
        <v>45797</v>
      </c>
      <c r="N144" s="33"/>
      <c r="O144" s="16"/>
      <c r="P144" s="29"/>
      <c r="Q144" s="17"/>
      <c r="R144" s="32"/>
      <c r="S144" s="9">
        <f t="shared" ref="S144:S145" si="135">SUM(O144:R144)</f>
        <v>0</v>
      </c>
      <c r="T144" s="16"/>
      <c r="U144" s="29"/>
      <c r="V144" s="17"/>
      <c r="W144" s="32"/>
      <c r="X144" s="9">
        <f t="shared" ref="X144:X145" si="136">SUM(T144:W144)</f>
        <v>0</v>
      </c>
      <c r="Y144" s="104">
        <f t="shared" ref="Y144:Y145" si="137">S144+X144</f>
        <v>0</v>
      </c>
      <c r="Z144" s="56"/>
    </row>
    <row r="145" spans="1:28" x14ac:dyDescent="0.15">
      <c r="A145" s="47" t="s">
        <v>45</v>
      </c>
      <c r="B145" s="16"/>
      <c r="C145" s="29"/>
      <c r="D145" s="17"/>
      <c r="E145" s="20">
        <v>1</v>
      </c>
      <c r="F145" s="45">
        <f t="shared" ref="F145" si="138">SUM(B145:E145)</f>
        <v>1</v>
      </c>
      <c r="G145" s="16"/>
      <c r="H145" s="29"/>
      <c r="I145" s="17"/>
      <c r="J145" s="20"/>
      <c r="K145" s="45">
        <f t="shared" ref="K145" si="139">SUM(G145:J145)</f>
        <v>0</v>
      </c>
      <c r="L145" s="104">
        <f t="shared" ref="L145" si="140">F145+K145</f>
        <v>1</v>
      </c>
      <c r="M145" s="56">
        <v>45798</v>
      </c>
      <c r="N145" s="33"/>
      <c r="O145" s="16"/>
      <c r="P145" s="29"/>
      <c r="Q145" s="17"/>
      <c r="R145" s="32"/>
      <c r="S145" s="9">
        <f t="shared" si="135"/>
        <v>0</v>
      </c>
      <c r="T145" s="16"/>
      <c r="U145" s="29"/>
      <c r="V145" s="17"/>
      <c r="W145" s="32"/>
      <c r="X145" s="9">
        <f t="shared" si="136"/>
        <v>0</v>
      </c>
      <c r="Y145" s="104">
        <f t="shared" si="137"/>
        <v>0</v>
      </c>
      <c r="Z145" s="56"/>
    </row>
    <row r="146" spans="1:28" x14ac:dyDescent="0.15">
      <c r="A146" s="47" t="s">
        <v>373</v>
      </c>
      <c r="B146" s="16"/>
      <c r="C146" s="29"/>
      <c r="D146" s="17">
        <v>1</v>
      </c>
      <c r="E146" s="20">
        <v>1</v>
      </c>
      <c r="F146" s="45">
        <f t="shared" si="118"/>
        <v>2</v>
      </c>
      <c r="G146" s="16"/>
      <c r="H146" s="29"/>
      <c r="I146" s="17"/>
      <c r="J146" s="20"/>
      <c r="K146" s="45">
        <f t="shared" si="119"/>
        <v>0</v>
      </c>
      <c r="L146" s="104">
        <f t="shared" si="108"/>
        <v>2</v>
      </c>
      <c r="M146" s="56">
        <v>45800</v>
      </c>
      <c r="N146" s="33"/>
      <c r="O146" s="16"/>
      <c r="P146" s="29"/>
      <c r="Q146" s="17"/>
      <c r="R146" s="32"/>
      <c r="S146" s="9">
        <f t="shared" ref="S146" si="141">SUM(O146:R146)</f>
        <v>0</v>
      </c>
      <c r="T146" s="16"/>
      <c r="U146" s="29"/>
      <c r="V146" s="17"/>
      <c r="W146" s="32"/>
      <c r="X146" s="9">
        <f t="shared" ref="X146" si="142">SUM(T146:W146)</f>
        <v>0</v>
      </c>
      <c r="Y146" s="104">
        <f t="shared" ref="Y146" si="143">S146+X146</f>
        <v>0</v>
      </c>
      <c r="Z146" s="56"/>
    </row>
    <row r="147" spans="1:28" x14ac:dyDescent="0.15">
      <c r="A147" s="47" t="s">
        <v>374</v>
      </c>
      <c r="B147" s="16"/>
      <c r="C147" s="29"/>
      <c r="D147" s="17"/>
      <c r="E147" s="20"/>
      <c r="F147" s="45">
        <f t="shared" si="118"/>
        <v>0</v>
      </c>
      <c r="G147" s="16"/>
      <c r="H147" s="29"/>
      <c r="I147" s="17">
        <v>-1</v>
      </c>
      <c r="J147" s="20">
        <v>1</v>
      </c>
      <c r="K147" s="45">
        <f t="shared" si="119"/>
        <v>0</v>
      </c>
      <c r="L147" s="104">
        <f t="shared" si="108"/>
        <v>0</v>
      </c>
      <c r="M147" s="58">
        <v>45799</v>
      </c>
      <c r="N147" s="11" t="s">
        <v>139</v>
      </c>
      <c r="O147" s="16"/>
      <c r="P147" s="29"/>
      <c r="Q147" s="17"/>
      <c r="R147" s="32"/>
      <c r="S147" s="9">
        <f t="shared" ref="S147:S148" si="144">SUM(O147:R147)</f>
        <v>0</v>
      </c>
      <c r="T147" s="16"/>
      <c r="U147" s="29"/>
      <c r="V147" s="17"/>
      <c r="W147" s="20"/>
      <c r="X147" s="9">
        <f t="shared" ref="X147:X148" si="145">SUM(T147:W147)</f>
        <v>0</v>
      </c>
      <c r="Y147" s="176">
        <f>S147+X147</f>
        <v>0</v>
      </c>
      <c r="Z147" s="56" t="s">
        <v>140</v>
      </c>
    </row>
    <row r="148" spans="1:28" ht="14.25" thickBot="1" x14ac:dyDescent="0.2">
      <c r="A148" s="178" t="s">
        <v>45</v>
      </c>
      <c r="B148" s="37"/>
      <c r="C148" s="38"/>
      <c r="D148" s="39"/>
      <c r="E148" s="40"/>
      <c r="F148" s="46">
        <f t="shared" ref="F148" si="146">SUM(B148:E148)</f>
        <v>0</v>
      </c>
      <c r="G148" s="37"/>
      <c r="H148" s="38">
        <v>1</v>
      </c>
      <c r="I148" s="39">
        <v>1</v>
      </c>
      <c r="J148" s="40"/>
      <c r="K148" s="46">
        <f t="shared" ref="K148" si="147">SUM(G148:J148)</f>
        <v>2</v>
      </c>
      <c r="L148" s="101">
        <f t="shared" ref="L148" si="148">F148+K148</f>
        <v>2</v>
      </c>
      <c r="M148" s="58">
        <v>45799</v>
      </c>
      <c r="N148" s="128" t="s">
        <v>101</v>
      </c>
      <c r="O148" s="37"/>
      <c r="P148" s="38"/>
      <c r="Q148" s="39"/>
      <c r="R148" s="129"/>
      <c r="S148" s="10">
        <f t="shared" si="144"/>
        <v>0</v>
      </c>
      <c r="T148" s="123"/>
      <c r="U148" s="124"/>
      <c r="V148" s="125"/>
      <c r="W148" s="126"/>
      <c r="X148" s="10">
        <f t="shared" si="145"/>
        <v>0</v>
      </c>
      <c r="Y148" s="101">
        <f t="shared" ref="Y148" si="149">S148+X148</f>
        <v>0</v>
      </c>
      <c r="Z148" s="157" t="s">
        <v>141</v>
      </c>
    </row>
    <row r="149" spans="1:28" ht="14.25" thickBot="1" x14ac:dyDescent="0.2">
      <c r="A149" s="49" t="s">
        <v>8</v>
      </c>
      <c r="B149" s="22">
        <f>SUM(B124:B148)</f>
        <v>3</v>
      </c>
      <c r="C149" s="30">
        <f>SUM(C124:C148)</f>
        <v>5</v>
      </c>
      <c r="D149" s="23">
        <f>SUM(D124:D148)</f>
        <v>5</v>
      </c>
      <c r="E149" s="24">
        <f>SUM(E124:E148)</f>
        <v>7</v>
      </c>
      <c r="F149" s="48">
        <f t="shared" si="118"/>
        <v>20</v>
      </c>
      <c r="G149" s="22">
        <f>SUM(G124:G148)</f>
        <v>7</v>
      </c>
      <c r="H149" s="30">
        <f>SUM(H124:H148)</f>
        <v>7</v>
      </c>
      <c r="I149" s="23">
        <f>SUM(I124:I148)</f>
        <v>5</v>
      </c>
      <c r="J149" s="24">
        <f>SUM(J124:J148)</f>
        <v>6</v>
      </c>
      <c r="K149" s="48">
        <f>SUM(G149:J149)</f>
        <v>25</v>
      </c>
      <c r="L149" s="122">
        <f t="shared" si="108"/>
        <v>45</v>
      </c>
      <c r="N149" s="49" t="s">
        <v>8</v>
      </c>
      <c r="O149" s="22">
        <f>SUM(O124:O148)</f>
        <v>7</v>
      </c>
      <c r="P149" s="30">
        <f>SUM(P124:P148)</f>
        <v>10</v>
      </c>
      <c r="Q149" s="23">
        <f>SUM(Q124:Q148)</f>
        <v>13</v>
      </c>
      <c r="R149" s="24">
        <f>SUM(R124:R148)</f>
        <v>9</v>
      </c>
      <c r="S149" s="48">
        <f t="shared" ref="S149" si="150">SUM(O149:R149)</f>
        <v>39</v>
      </c>
      <c r="T149" s="22">
        <f>SUM(T124:T148)</f>
        <v>45</v>
      </c>
      <c r="U149" s="30">
        <f>SUM(U124:U148)</f>
        <v>59</v>
      </c>
      <c r="V149" s="23">
        <f>SUM(V124:V148)</f>
        <v>40</v>
      </c>
      <c r="W149" s="24">
        <f>SUM(W124:W148)</f>
        <v>65</v>
      </c>
      <c r="X149" s="48">
        <f t="shared" ref="X149" si="151">SUM(T149:W149)</f>
        <v>209</v>
      </c>
      <c r="Y149" s="122">
        <f t="shared" si="117"/>
        <v>248</v>
      </c>
    </row>
    <row r="150" spans="1:28" ht="14.25" thickBot="1" x14ac:dyDescent="0.2">
      <c r="A150" s="14" t="s">
        <v>9</v>
      </c>
      <c r="B150" s="25">
        <f t="shared" ref="B150:K150" si="152">B123-B149</f>
        <v>8</v>
      </c>
      <c r="C150" s="31">
        <f t="shared" si="152"/>
        <v>4</v>
      </c>
      <c r="D150" s="26">
        <f t="shared" si="152"/>
        <v>1</v>
      </c>
      <c r="E150" s="27">
        <f t="shared" si="152"/>
        <v>3</v>
      </c>
      <c r="F150" s="83">
        <f t="shared" si="152"/>
        <v>16</v>
      </c>
      <c r="G150" s="25">
        <f t="shared" si="152"/>
        <v>4</v>
      </c>
      <c r="H150" s="31">
        <f t="shared" si="152"/>
        <v>8</v>
      </c>
      <c r="I150" s="26">
        <f t="shared" si="152"/>
        <v>5</v>
      </c>
      <c r="J150" s="27">
        <f t="shared" si="152"/>
        <v>0</v>
      </c>
      <c r="K150" s="83">
        <f t="shared" si="152"/>
        <v>17</v>
      </c>
      <c r="L150" s="102">
        <f t="shared" si="108"/>
        <v>33</v>
      </c>
      <c r="N150" s="13" t="s">
        <v>9</v>
      </c>
      <c r="O150" s="25">
        <f t="shared" ref="O150:X150" si="153">O123-O149</f>
        <v>39</v>
      </c>
      <c r="P150" s="31">
        <f t="shared" si="153"/>
        <v>52</v>
      </c>
      <c r="Q150" s="26">
        <f t="shared" si="153"/>
        <v>36</v>
      </c>
      <c r="R150" s="27">
        <f t="shared" si="153"/>
        <v>41</v>
      </c>
      <c r="S150" s="36">
        <f t="shared" si="153"/>
        <v>168</v>
      </c>
      <c r="T150" s="25">
        <f t="shared" si="153"/>
        <v>48</v>
      </c>
      <c r="U150" s="31">
        <f t="shared" si="153"/>
        <v>142</v>
      </c>
      <c r="V150" s="26">
        <f t="shared" si="153"/>
        <v>122</v>
      </c>
      <c r="W150" s="27">
        <f t="shared" si="153"/>
        <v>100</v>
      </c>
      <c r="X150" s="36">
        <f t="shared" si="153"/>
        <v>412</v>
      </c>
      <c r="Y150" s="102">
        <f t="shared" si="117"/>
        <v>580</v>
      </c>
    </row>
    <row r="151" spans="1:28" x14ac:dyDescent="0.15">
      <c r="O151" s="55"/>
      <c r="P151" s="55"/>
      <c r="Q151" s="55"/>
      <c r="R151" s="55"/>
      <c r="S151" s="55"/>
      <c r="T151" s="55"/>
      <c r="U151" s="55"/>
      <c r="V151" s="55"/>
      <c r="W151" s="55"/>
      <c r="X151" s="55"/>
    </row>
    <row r="153" spans="1:28" ht="19.5" thickBot="1" x14ac:dyDescent="0.25">
      <c r="A153" s="2" t="s">
        <v>16</v>
      </c>
      <c r="B153" s="2"/>
      <c r="C153" s="1"/>
      <c r="D153" s="1"/>
      <c r="E153" s="1"/>
      <c r="F153" s="84"/>
      <c r="G153" s="2"/>
      <c r="H153" s="1" t="s">
        <v>156</v>
      </c>
      <c r="I153" s="1"/>
      <c r="J153" s="1"/>
      <c r="K153" s="84" t="s">
        <v>13</v>
      </c>
      <c r="L153" s="84"/>
      <c r="N153" s="2" t="s">
        <v>17</v>
      </c>
      <c r="O153" s="71"/>
      <c r="P153" s="71"/>
      <c r="Q153" s="71"/>
      <c r="R153" s="71"/>
      <c r="T153" s="71"/>
      <c r="U153" s="1" t="s">
        <v>156</v>
      </c>
      <c r="V153" s="71"/>
      <c r="W153" s="71"/>
      <c r="X153" s="84" t="s">
        <v>13</v>
      </c>
      <c r="Y153" s="84"/>
    </row>
    <row r="154" spans="1:28" ht="14.25" thickBot="1" x14ac:dyDescent="0.2">
      <c r="A154" s="5" t="s">
        <v>0</v>
      </c>
      <c r="B154" s="328" t="s">
        <v>120</v>
      </c>
      <c r="C154" s="329"/>
      <c r="D154" s="329"/>
      <c r="E154" s="329"/>
      <c r="F154" s="330"/>
      <c r="G154" s="331" t="s">
        <v>14</v>
      </c>
      <c r="H154" s="332"/>
      <c r="I154" s="332"/>
      <c r="J154" s="332"/>
      <c r="K154" s="333"/>
      <c r="L154" s="320" t="s">
        <v>30</v>
      </c>
      <c r="N154" s="5" t="s">
        <v>0</v>
      </c>
      <c r="O154" s="328" t="s">
        <v>202</v>
      </c>
      <c r="P154" s="329"/>
      <c r="Q154" s="329"/>
      <c r="R154" s="329"/>
      <c r="S154" s="330"/>
      <c r="T154" s="331" t="s">
        <v>203</v>
      </c>
      <c r="U154" s="332"/>
      <c r="V154" s="332"/>
      <c r="W154" s="332"/>
      <c r="X154" s="333"/>
      <c r="Y154" s="320" t="s">
        <v>30</v>
      </c>
    </row>
    <row r="155" spans="1:28" ht="14.25" thickBot="1" x14ac:dyDescent="0.2">
      <c r="A155" s="5" t="s">
        <v>1</v>
      </c>
      <c r="B155" s="3" t="s">
        <v>22</v>
      </c>
      <c r="C155" s="28" t="s">
        <v>23</v>
      </c>
      <c r="D155" s="4" t="s">
        <v>24</v>
      </c>
      <c r="E155" s="15" t="s">
        <v>25</v>
      </c>
      <c r="F155" s="19" t="s">
        <v>2</v>
      </c>
      <c r="G155" s="3" t="s">
        <v>22</v>
      </c>
      <c r="H155" s="28" t="s">
        <v>23</v>
      </c>
      <c r="I155" s="4" t="s">
        <v>24</v>
      </c>
      <c r="J155" s="15" t="s">
        <v>25</v>
      </c>
      <c r="K155" s="19" t="s">
        <v>2</v>
      </c>
      <c r="L155" s="321"/>
      <c r="N155" s="5" t="s">
        <v>1</v>
      </c>
      <c r="O155" s="3" t="s">
        <v>22</v>
      </c>
      <c r="P155" s="28" t="s">
        <v>23</v>
      </c>
      <c r="Q155" s="4" t="s">
        <v>24</v>
      </c>
      <c r="R155" s="15" t="s">
        <v>25</v>
      </c>
      <c r="S155" s="19" t="s">
        <v>2</v>
      </c>
      <c r="T155" s="3" t="s">
        <v>22</v>
      </c>
      <c r="U155" s="28" t="s">
        <v>23</v>
      </c>
      <c r="V155" s="4" t="s">
        <v>24</v>
      </c>
      <c r="W155" s="15" t="s">
        <v>25</v>
      </c>
      <c r="X155" s="19" t="s">
        <v>2</v>
      </c>
      <c r="Y155" s="321"/>
    </row>
    <row r="156" spans="1:28" x14ac:dyDescent="0.15">
      <c r="A156" s="78" t="s">
        <v>10</v>
      </c>
      <c r="B156" s="79">
        <f>B150</f>
        <v>8</v>
      </c>
      <c r="C156" s="80">
        <f>C150</f>
        <v>4</v>
      </c>
      <c r="D156" s="80">
        <f>D150</f>
        <v>1</v>
      </c>
      <c r="E156" s="81">
        <f>E150</f>
        <v>3</v>
      </c>
      <c r="F156" s="82">
        <f>SUM(B156:E156)</f>
        <v>16</v>
      </c>
      <c r="G156" s="79">
        <f>G150</f>
        <v>4</v>
      </c>
      <c r="H156" s="80">
        <f>H150</f>
        <v>8</v>
      </c>
      <c r="I156" s="80">
        <f>I150</f>
        <v>5</v>
      </c>
      <c r="J156" s="81">
        <f>J150</f>
        <v>0</v>
      </c>
      <c r="K156" s="82">
        <f>SUM(G156:J156)</f>
        <v>17</v>
      </c>
      <c r="L156" s="98">
        <f>F156+K156</f>
        <v>33</v>
      </c>
      <c r="N156" s="78" t="s">
        <v>10</v>
      </c>
      <c r="O156" s="79">
        <f>O150</f>
        <v>39</v>
      </c>
      <c r="P156" s="80">
        <f>P150</f>
        <v>52</v>
      </c>
      <c r="Q156" s="80">
        <f>Q150</f>
        <v>36</v>
      </c>
      <c r="R156" s="81">
        <f>R150</f>
        <v>41</v>
      </c>
      <c r="S156" s="82">
        <f>SUM(O156:R156)</f>
        <v>168</v>
      </c>
      <c r="T156" s="79">
        <f>T150</f>
        <v>48</v>
      </c>
      <c r="U156" s="80">
        <f>U150</f>
        <v>142</v>
      </c>
      <c r="V156" s="80">
        <f>V150</f>
        <v>122</v>
      </c>
      <c r="W156" s="81">
        <f>W150</f>
        <v>100</v>
      </c>
      <c r="X156" s="82">
        <f>SUM(T156:W156)</f>
        <v>412</v>
      </c>
      <c r="Y156" s="98">
        <f>S156+X156</f>
        <v>580</v>
      </c>
    </row>
    <row r="157" spans="1:28" x14ac:dyDescent="0.15">
      <c r="A157" s="47" t="s">
        <v>366</v>
      </c>
      <c r="B157" s="51">
        <v>2</v>
      </c>
      <c r="C157" s="52">
        <v>2</v>
      </c>
      <c r="D157" s="53"/>
      <c r="E157" s="54">
        <v>2</v>
      </c>
      <c r="F157" s="61">
        <f>SUM(B157:E157)</f>
        <v>6</v>
      </c>
      <c r="G157" s="51">
        <v>3</v>
      </c>
      <c r="H157" s="52"/>
      <c r="I157" s="53">
        <v>1</v>
      </c>
      <c r="J157" s="54"/>
      <c r="K157" s="61">
        <f>SUM(G157:J157)</f>
        <v>4</v>
      </c>
      <c r="L157" s="99">
        <f t="shared" ref="L157:L188" si="154">F157+K157</f>
        <v>10</v>
      </c>
      <c r="M157" s="56">
        <v>45797</v>
      </c>
      <c r="N157" s="12" t="s">
        <v>268</v>
      </c>
      <c r="O157" s="16">
        <v>18</v>
      </c>
      <c r="P157" s="29">
        <v>11</v>
      </c>
      <c r="Q157" s="17">
        <v>21</v>
      </c>
      <c r="R157" s="20">
        <v>11</v>
      </c>
      <c r="S157" s="45">
        <f t="shared" ref="S157" si="155">SUM(O157:R157)</f>
        <v>61</v>
      </c>
      <c r="T157" s="16"/>
      <c r="U157" s="29"/>
      <c r="V157" s="17"/>
      <c r="W157" s="20"/>
      <c r="X157" s="45">
        <f t="shared" ref="X157" si="156">SUM(T157:W157)</f>
        <v>0</v>
      </c>
      <c r="Y157" s="100">
        <f t="shared" ref="Y157" si="157">S157+X157</f>
        <v>61</v>
      </c>
      <c r="Z157" s="56">
        <v>45793</v>
      </c>
      <c r="AA157" s="35"/>
      <c r="AB157" s="35"/>
    </row>
    <row r="158" spans="1:28" x14ac:dyDescent="0.15">
      <c r="A158" s="12" t="s">
        <v>4</v>
      </c>
      <c r="B158" s="6"/>
      <c r="C158" s="18"/>
      <c r="D158" s="7">
        <v>3</v>
      </c>
      <c r="E158" s="8"/>
      <c r="F158" s="9">
        <f>SUM(B158:E158)</f>
        <v>3</v>
      </c>
      <c r="G158" s="6"/>
      <c r="H158" s="18"/>
      <c r="I158" s="7"/>
      <c r="J158" s="8">
        <v>3</v>
      </c>
      <c r="K158" s="9">
        <f>SUM(G158:J158)</f>
        <v>3</v>
      </c>
      <c r="L158" s="100">
        <f t="shared" si="154"/>
        <v>6</v>
      </c>
      <c r="M158" s="56">
        <v>45803</v>
      </c>
      <c r="N158" s="12" t="s">
        <v>71</v>
      </c>
      <c r="O158" s="16">
        <v>20</v>
      </c>
      <c r="P158" s="29">
        <v>50</v>
      </c>
      <c r="Q158" s="17">
        <v>50</v>
      </c>
      <c r="R158" s="20">
        <v>55</v>
      </c>
      <c r="S158" s="45">
        <f t="shared" ref="S158:S160" si="158">SUM(O158:R158)</f>
        <v>175</v>
      </c>
      <c r="T158" s="16">
        <v>20</v>
      </c>
      <c r="U158" s="29">
        <v>40</v>
      </c>
      <c r="V158" s="17">
        <v>61</v>
      </c>
      <c r="W158" s="20">
        <v>54</v>
      </c>
      <c r="X158" s="45">
        <f t="shared" ref="X158:X160" si="159">SUM(T158:W158)</f>
        <v>175</v>
      </c>
      <c r="Y158" s="100">
        <f t="shared" ref="Y158:Y160" si="160">S158+X158</f>
        <v>350</v>
      </c>
      <c r="Z158" s="56">
        <v>45801</v>
      </c>
      <c r="AA158" s="50"/>
      <c r="AB158" s="35"/>
    </row>
    <row r="159" spans="1:28" x14ac:dyDescent="0.15">
      <c r="A159" s="12" t="s">
        <v>5</v>
      </c>
      <c r="B159" s="6"/>
      <c r="C159" s="18"/>
      <c r="D159" s="7"/>
      <c r="E159" s="8">
        <v>2</v>
      </c>
      <c r="F159" s="9">
        <f>SUM(B159:E159)</f>
        <v>2</v>
      </c>
      <c r="G159" s="6">
        <v>2</v>
      </c>
      <c r="H159" s="18"/>
      <c r="I159" s="7"/>
      <c r="J159" s="8">
        <v>2</v>
      </c>
      <c r="K159" s="9">
        <f>SUM(G159:J159)</f>
        <v>4</v>
      </c>
      <c r="L159" s="100">
        <f t="shared" si="154"/>
        <v>6</v>
      </c>
      <c r="M159" s="56">
        <v>45807</v>
      </c>
      <c r="N159" s="12" t="s">
        <v>72</v>
      </c>
      <c r="O159" s="16">
        <v>20</v>
      </c>
      <c r="P159" s="29">
        <v>55</v>
      </c>
      <c r="Q159" s="17">
        <v>45</v>
      </c>
      <c r="R159" s="20">
        <v>55</v>
      </c>
      <c r="S159" s="45">
        <f t="shared" ref="S159" si="161">SUM(O159:R159)</f>
        <v>175</v>
      </c>
      <c r="T159" s="16"/>
      <c r="U159" s="29"/>
      <c r="V159" s="17"/>
      <c r="W159" s="20"/>
      <c r="X159" s="45">
        <f t="shared" ref="X159" si="162">SUM(T159:W159)</f>
        <v>0</v>
      </c>
      <c r="Y159" s="100">
        <f t="shared" ref="Y159" si="163">S159+X159</f>
        <v>175</v>
      </c>
      <c r="Z159" s="56">
        <v>45801</v>
      </c>
      <c r="AA159" s="50"/>
      <c r="AB159" s="35"/>
    </row>
    <row r="160" spans="1:28" ht="14.25" thickBot="1" x14ac:dyDescent="0.2">
      <c r="A160" s="12" t="s">
        <v>6</v>
      </c>
      <c r="B160" s="6"/>
      <c r="C160" s="18"/>
      <c r="D160" s="7">
        <v>3</v>
      </c>
      <c r="E160" s="8"/>
      <c r="F160" s="10">
        <f>SUM(B160:E160)</f>
        <v>3</v>
      </c>
      <c r="G160" s="6"/>
      <c r="H160" s="18"/>
      <c r="I160" s="7">
        <v>3</v>
      </c>
      <c r="J160" s="8"/>
      <c r="K160" s="10">
        <f>SUM(G160:J160)</f>
        <v>3</v>
      </c>
      <c r="L160" s="101">
        <f t="shared" si="154"/>
        <v>6</v>
      </c>
      <c r="M160" s="56">
        <v>45815</v>
      </c>
      <c r="N160" s="12" t="s">
        <v>47</v>
      </c>
      <c r="O160" s="16"/>
      <c r="P160" s="29">
        <v>3</v>
      </c>
      <c r="Q160" s="17">
        <v>4</v>
      </c>
      <c r="R160" s="20">
        <v>2</v>
      </c>
      <c r="S160" s="45">
        <f t="shared" si="158"/>
        <v>9</v>
      </c>
      <c r="T160" s="16"/>
      <c r="U160" s="29"/>
      <c r="V160" s="17"/>
      <c r="W160" s="20"/>
      <c r="X160" s="45">
        <f t="shared" si="159"/>
        <v>0</v>
      </c>
      <c r="Y160" s="100">
        <f t="shared" si="160"/>
        <v>9</v>
      </c>
      <c r="Z160" s="56"/>
      <c r="AA160" s="35"/>
      <c r="AB160" s="35"/>
    </row>
    <row r="161" spans="1:27" ht="14.25" thickBot="1" x14ac:dyDescent="0.2">
      <c r="A161" s="14" t="s">
        <v>7</v>
      </c>
      <c r="B161" s="62">
        <f t="shared" ref="B161:K161" si="164">SUM(B156:B160)</f>
        <v>10</v>
      </c>
      <c r="C161" s="63">
        <f t="shared" si="164"/>
        <v>6</v>
      </c>
      <c r="D161" s="64">
        <f t="shared" si="164"/>
        <v>7</v>
      </c>
      <c r="E161" s="65">
        <f t="shared" si="164"/>
        <v>7</v>
      </c>
      <c r="F161" s="66">
        <f t="shared" si="164"/>
        <v>30</v>
      </c>
      <c r="G161" s="62">
        <f t="shared" si="164"/>
        <v>9</v>
      </c>
      <c r="H161" s="63">
        <f t="shared" si="164"/>
        <v>8</v>
      </c>
      <c r="I161" s="64">
        <f t="shared" si="164"/>
        <v>9</v>
      </c>
      <c r="J161" s="65">
        <f t="shared" si="164"/>
        <v>5</v>
      </c>
      <c r="K161" s="66">
        <f t="shared" si="164"/>
        <v>31</v>
      </c>
      <c r="L161" s="102">
        <f t="shared" si="154"/>
        <v>61</v>
      </c>
      <c r="N161" s="13" t="s">
        <v>7</v>
      </c>
      <c r="O161" s="25">
        <f t="shared" ref="O161:X161" si="165">SUM(O156:O160)</f>
        <v>97</v>
      </c>
      <c r="P161" s="31">
        <f t="shared" si="165"/>
        <v>171</v>
      </c>
      <c r="Q161" s="26">
        <f t="shared" si="165"/>
        <v>156</v>
      </c>
      <c r="R161" s="67">
        <f t="shared" si="165"/>
        <v>164</v>
      </c>
      <c r="S161" s="68">
        <f t="shared" si="165"/>
        <v>588</v>
      </c>
      <c r="T161" s="25">
        <f t="shared" si="165"/>
        <v>68</v>
      </c>
      <c r="U161" s="31">
        <f t="shared" si="165"/>
        <v>182</v>
      </c>
      <c r="V161" s="26">
        <f t="shared" si="165"/>
        <v>183</v>
      </c>
      <c r="W161" s="67">
        <f t="shared" si="165"/>
        <v>154</v>
      </c>
      <c r="X161" s="68">
        <f t="shared" si="165"/>
        <v>587</v>
      </c>
      <c r="Y161" s="102">
        <f t="shared" ref="Y161:Y188" si="166">S161+X161</f>
        <v>1175</v>
      </c>
    </row>
    <row r="162" spans="1:27" x14ac:dyDescent="0.15">
      <c r="A162" s="47" t="s">
        <v>376</v>
      </c>
      <c r="B162" s="41"/>
      <c r="C162" s="42"/>
      <c r="D162" s="43"/>
      <c r="E162" s="44"/>
      <c r="F162" s="70">
        <f t="shared" ref="F162:F187" si="167">SUM(B162:E162)</f>
        <v>0</v>
      </c>
      <c r="G162" s="41">
        <v>2</v>
      </c>
      <c r="H162" s="42">
        <v>1</v>
      </c>
      <c r="I162" s="43">
        <v>1</v>
      </c>
      <c r="J162" s="44"/>
      <c r="K162" s="70">
        <f t="shared" ref="K162:K186" si="168">SUM(G162:J162)</f>
        <v>4</v>
      </c>
      <c r="L162" s="103">
        <f t="shared" si="154"/>
        <v>4</v>
      </c>
      <c r="M162" s="56">
        <v>45803</v>
      </c>
      <c r="N162" s="33" t="s">
        <v>379</v>
      </c>
      <c r="O162" s="16"/>
      <c r="P162" s="29"/>
      <c r="Q162" s="17"/>
      <c r="R162" s="32"/>
      <c r="S162" s="9">
        <f t="shared" ref="S162:S163" si="169">SUM(O162:R162)</f>
        <v>0</v>
      </c>
      <c r="T162" s="16"/>
      <c r="U162" s="29">
        <v>10</v>
      </c>
      <c r="V162" s="17"/>
      <c r="W162" s="32"/>
      <c r="X162" s="9">
        <f t="shared" ref="X162:X163" si="170">SUM(T162:W162)</f>
        <v>10</v>
      </c>
      <c r="Y162" s="104">
        <f t="shared" si="166"/>
        <v>10</v>
      </c>
      <c r="Z162" s="56">
        <v>45820</v>
      </c>
    </row>
    <row r="163" spans="1:27" x14ac:dyDescent="0.15">
      <c r="A163" s="47" t="s">
        <v>377</v>
      </c>
      <c r="B163" s="16"/>
      <c r="C163" s="29">
        <v>-1</v>
      </c>
      <c r="D163" s="17"/>
      <c r="E163" s="20">
        <v>1</v>
      </c>
      <c r="F163" s="45">
        <f t="shared" si="167"/>
        <v>0</v>
      </c>
      <c r="G163" s="16"/>
      <c r="H163" s="29"/>
      <c r="I163" s="17">
        <v>-1</v>
      </c>
      <c r="J163" s="20">
        <v>1</v>
      </c>
      <c r="K163" s="45">
        <f t="shared" si="168"/>
        <v>0</v>
      </c>
      <c r="L163" s="104">
        <f t="shared" si="154"/>
        <v>0</v>
      </c>
      <c r="M163" s="56">
        <v>45800</v>
      </c>
      <c r="N163" s="11" t="s">
        <v>390</v>
      </c>
      <c r="O163" s="16"/>
      <c r="P163" s="29">
        <v>1</v>
      </c>
      <c r="Q163" s="17"/>
      <c r="R163" s="32"/>
      <c r="S163" s="9">
        <f t="shared" si="169"/>
        <v>1</v>
      </c>
      <c r="T163" s="16"/>
      <c r="U163" s="29"/>
      <c r="V163" s="17"/>
      <c r="W163" s="32"/>
      <c r="X163" s="9">
        <f t="shared" si="170"/>
        <v>0</v>
      </c>
      <c r="Y163" s="104">
        <f t="shared" ref="Y163" si="171">S163+X163</f>
        <v>1</v>
      </c>
      <c r="Z163" s="56">
        <v>45812</v>
      </c>
    </row>
    <row r="164" spans="1:27" x14ac:dyDescent="0.15">
      <c r="A164" s="47" t="s">
        <v>378</v>
      </c>
      <c r="B164" s="16"/>
      <c r="C164" s="29"/>
      <c r="D164" s="17"/>
      <c r="E164" s="20"/>
      <c r="F164" s="45">
        <f t="shared" si="167"/>
        <v>0</v>
      </c>
      <c r="G164" s="16">
        <v>1</v>
      </c>
      <c r="H164" s="29"/>
      <c r="I164" s="17"/>
      <c r="J164" s="20"/>
      <c r="K164" s="45">
        <f t="shared" si="168"/>
        <v>1</v>
      </c>
      <c r="L164" s="104">
        <f t="shared" si="154"/>
        <v>1</v>
      </c>
      <c r="M164" s="56">
        <v>45805</v>
      </c>
      <c r="N164" s="33" t="s">
        <v>393</v>
      </c>
      <c r="O164" s="16"/>
      <c r="P164" s="29"/>
      <c r="Q164" s="17"/>
      <c r="R164" s="32"/>
      <c r="S164" s="9">
        <f t="shared" ref="S164:S167" si="172">SUM(O164:R164)</f>
        <v>0</v>
      </c>
      <c r="T164" s="16">
        <v>5</v>
      </c>
      <c r="U164" s="29">
        <v>5</v>
      </c>
      <c r="V164" s="17">
        <v>10</v>
      </c>
      <c r="W164" s="32"/>
      <c r="X164" s="9">
        <f t="shared" ref="X164:X167" si="173">SUM(T164:W164)</f>
        <v>20</v>
      </c>
      <c r="Y164" s="104">
        <f t="shared" si="166"/>
        <v>20</v>
      </c>
      <c r="Z164" s="56">
        <v>45821</v>
      </c>
      <c r="AA164" s="35"/>
    </row>
    <row r="165" spans="1:27" x14ac:dyDescent="0.15">
      <c r="A165" s="47" t="s">
        <v>45</v>
      </c>
      <c r="B165" s="16"/>
      <c r="C165" s="29"/>
      <c r="D165" s="17">
        <v>1</v>
      </c>
      <c r="E165" s="20"/>
      <c r="F165" s="45">
        <f t="shared" si="167"/>
        <v>1</v>
      </c>
      <c r="G165" s="16">
        <v>1</v>
      </c>
      <c r="H165" s="29">
        <v>2</v>
      </c>
      <c r="I165" s="17"/>
      <c r="J165" s="20"/>
      <c r="K165" s="45">
        <f t="shared" si="168"/>
        <v>3</v>
      </c>
      <c r="L165" s="104">
        <f t="shared" si="154"/>
        <v>4</v>
      </c>
      <c r="M165" s="56">
        <v>45803</v>
      </c>
      <c r="N165" s="11" t="s">
        <v>398</v>
      </c>
      <c r="O165" s="16"/>
      <c r="P165" s="29"/>
      <c r="Q165" s="17">
        <v>4</v>
      </c>
      <c r="R165" s="32"/>
      <c r="S165" s="9">
        <f t="shared" si="172"/>
        <v>4</v>
      </c>
      <c r="T165" s="16"/>
      <c r="U165" s="29"/>
      <c r="V165" s="17"/>
      <c r="W165" s="32"/>
      <c r="X165" s="9">
        <f t="shared" si="173"/>
        <v>0</v>
      </c>
      <c r="Y165" s="104">
        <f t="shared" si="166"/>
        <v>4</v>
      </c>
      <c r="Z165" s="56">
        <v>45817</v>
      </c>
      <c r="AA165" s="35"/>
    </row>
    <row r="166" spans="1:27" x14ac:dyDescent="0.15">
      <c r="A166" s="47" t="s">
        <v>249</v>
      </c>
      <c r="B166" s="16"/>
      <c r="C166" s="29"/>
      <c r="D166" s="17">
        <v>-1</v>
      </c>
      <c r="E166" s="20"/>
      <c r="F166" s="45">
        <f t="shared" ref="F166" si="174">SUM(B166:E166)</f>
        <v>-1</v>
      </c>
      <c r="G166" s="16"/>
      <c r="H166" s="29"/>
      <c r="I166" s="17">
        <v>-1</v>
      </c>
      <c r="J166" s="20">
        <v>2</v>
      </c>
      <c r="K166" s="45">
        <f t="shared" ref="K166" si="175">SUM(G166:J166)</f>
        <v>1</v>
      </c>
      <c r="L166" s="104">
        <f t="shared" ref="L166" si="176">F166+K166</f>
        <v>0</v>
      </c>
      <c r="M166" s="56">
        <v>45806</v>
      </c>
      <c r="N166" s="11" t="s">
        <v>40</v>
      </c>
      <c r="O166" s="16"/>
      <c r="P166" s="29"/>
      <c r="Q166" s="17">
        <v>3</v>
      </c>
      <c r="R166" s="32"/>
      <c r="S166" s="9">
        <f>SUM(O166:R166)</f>
        <v>3</v>
      </c>
      <c r="T166" s="16"/>
      <c r="U166" s="29"/>
      <c r="V166" s="17">
        <v>3</v>
      </c>
      <c r="W166" s="32"/>
      <c r="X166" s="9">
        <f>SUM(T166:W166)</f>
        <v>3</v>
      </c>
      <c r="Y166" s="104">
        <f t="shared" si="166"/>
        <v>6</v>
      </c>
      <c r="Z166" s="56">
        <v>45815</v>
      </c>
    </row>
    <row r="167" spans="1:27" x14ac:dyDescent="0.15">
      <c r="A167" s="11" t="s">
        <v>385</v>
      </c>
      <c r="B167" s="16"/>
      <c r="C167" s="29">
        <v>1</v>
      </c>
      <c r="D167" s="17"/>
      <c r="E167" s="20"/>
      <c r="F167" s="45">
        <f t="shared" si="167"/>
        <v>1</v>
      </c>
      <c r="G167" s="16"/>
      <c r="H167" s="29"/>
      <c r="I167" s="17"/>
      <c r="J167" s="20"/>
      <c r="K167" s="45">
        <f t="shared" si="168"/>
        <v>0</v>
      </c>
      <c r="L167" s="104">
        <f t="shared" si="154"/>
        <v>1</v>
      </c>
      <c r="M167" s="56">
        <v>45807</v>
      </c>
      <c r="N167" s="11" t="s">
        <v>400</v>
      </c>
      <c r="O167" s="16">
        <v>2</v>
      </c>
      <c r="P167" s="29">
        <v>3</v>
      </c>
      <c r="Q167" s="17">
        <v>2</v>
      </c>
      <c r="R167" s="32">
        <v>2</v>
      </c>
      <c r="S167" s="9">
        <f t="shared" si="172"/>
        <v>9</v>
      </c>
      <c r="T167" s="16">
        <v>3</v>
      </c>
      <c r="U167" s="29">
        <v>7</v>
      </c>
      <c r="V167" s="17">
        <v>6</v>
      </c>
      <c r="W167" s="32">
        <v>3</v>
      </c>
      <c r="X167" s="9">
        <f t="shared" si="173"/>
        <v>19</v>
      </c>
      <c r="Y167" s="104">
        <f t="shared" si="166"/>
        <v>28</v>
      </c>
      <c r="Z167" s="56">
        <v>45831</v>
      </c>
    </row>
    <row r="168" spans="1:27" x14ac:dyDescent="0.15">
      <c r="A168" s="47" t="s">
        <v>45</v>
      </c>
      <c r="B168" s="16"/>
      <c r="C168" s="29">
        <v>1</v>
      </c>
      <c r="D168" s="17"/>
      <c r="E168" s="20"/>
      <c r="F168" s="45">
        <f t="shared" si="167"/>
        <v>1</v>
      </c>
      <c r="G168" s="16"/>
      <c r="H168" s="29"/>
      <c r="I168" s="17">
        <v>1</v>
      </c>
      <c r="J168" s="20"/>
      <c r="K168" s="45">
        <f t="shared" si="168"/>
        <v>1</v>
      </c>
      <c r="L168" s="104">
        <f t="shared" si="154"/>
        <v>2</v>
      </c>
      <c r="M168" s="58">
        <v>45805</v>
      </c>
      <c r="N168" s="47" t="s">
        <v>402</v>
      </c>
      <c r="O168" s="16"/>
      <c r="P168" s="29"/>
      <c r="Q168" s="17"/>
      <c r="R168" s="32"/>
      <c r="S168" s="9">
        <f>SUM(O168:R168)</f>
        <v>0</v>
      </c>
      <c r="T168" s="16"/>
      <c r="U168" s="29">
        <v>2</v>
      </c>
      <c r="V168" s="17">
        <v>2</v>
      </c>
      <c r="W168" s="32"/>
      <c r="X168" s="9">
        <f>SUM(T168:W168)</f>
        <v>4</v>
      </c>
      <c r="Y168" s="104">
        <f t="shared" si="166"/>
        <v>4</v>
      </c>
      <c r="Z168" s="56">
        <v>45819</v>
      </c>
      <c r="AA168" s="35"/>
    </row>
    <row r="169" spans="1:27" x14ac:dyDescent="0.15">
      <c r="A169" s="47" t="s">
        <v>249</v>
      </c>
      <c r="B169" s="16"/>
      <c r="C169" s="29">
        <v>-2</v>
      </c>
      <c r="D169" s="17">
        <v>2</v>
      </c>
      <c r="E169" s="20">
        <v>1</v>
      </c>
      <c r="F169" s="45">
        <f t="shared" si="167"/>
        <v>1</v>
      </c>
      <c r="G169" s="16"/>
      <c r="H169" s="29">
        <v>-1</v>
      </c>
      <c r="I169" s="17"/>
      <c r="J169" s="20"/>
      <c r="K169" s="45">
        <f t="shared" si="168"/>
        <v>-1</v>
      </c>
      <c r="L169" s="104">
        <f t="shared" si="154"/>
        <v>0</v>
      </c>
      <c r="M169" s="58">
        <v>45804</v>
      </c>
      <c r="N169" s="33" t="s">
        <v>405</v>
      </c>
      <c r="O169" s="16"/>
      <c r="P169" s="29"/>
      <c r="Q169" s="17"/>
      <c r="R169" s="32"/>
      <c r="S169" s="9">
        <f t="shared" ref="S169:S173" si="177">SUM(O169:R169)</f>
        <v>0</v>
      </c>
      <c r="T169" s="16"/>
      <c r="U169" s="29"/>
      <c r="V169" s="17">
        <v>6</v>
      </c>
      <c r="W169" s="32">
        <v>6</v>
      </c>
      <c r="X169" s="9">
        <f t="shared" ref="X169:X173" si="178">SUM(T169:W169)</f>
        <v>12</v>
      </c>
      <c r="Y169" s="104">
        <f t="shared" si="166"/>
        <v>12</v>
      </c>
      <c r="Z169" s="56">
        <v>45828</v>
      </c>
    </row>
    <row r="170" spans="1:27" x14ac:dyDescent="0.15">
      <c r="A170" s="47" t="s">
        <v>45</v>
      </c>
      <c r="B170" s="16">
        <v>1</v>
      </c>
      <c r="C170" s="29"/>
      <c r="D170" s="17"/>
      <c r="E170" s="20"/>
      <c r="F170" s="45">
        <f t="shared" si="167"/>
        <v>1</v>
      </c>
      <c r="G170" s="16"/>
      <c r="H170" s="29"/>
      <c r="I170" s="17"/>
      <c r="J170" s="20"/>
      <c r="K170" s="45">
        <f t="shared" si="168"/>
        <v>0</v>
      </c>
      <c r="L170" s="104">
        <f t="shared" si="154"/>
        <v>1</v>
      </c>
      <c r="M170" s="58">
        <v>45808</v>
      </c>
      <c r="N170" s="11" t="s">
        <v>410</v>
      </c>
      <c r="O170" s="16"/>
      <c r="P170" s="29"/>
      <c r="Q170" s="17"/>
      <c r="R170" s="32"/>
      <c r="S170" s="9">
        <f t="shared" si="177"/>
        <v>0</v>
      </c>
      <c r="T170" s="16"/>
      <c r="U170" s="29"/>
      <c r="V170" s="17">
        <v>3</v>
      </c>
      <c r="W170" s="32">
        <v>6</v>
      </c>
      <c r="X170" s="9">
        <f t="shared" si="178"/>
        <v>9</v>
      </c>
      <c r="Y170" s="104">
        <f t="shared" si="166"/>
        <v>9</v>
      </c>
      <c r="Z170" s="56">
        <v>45820</v>
      </c>
      <c r="AA170" s="35"/>
    </row>
    <row r="171" spans="1:27" x14ac:dyDescent="0.15">
      <c r="A171" s="47" t="s">
        <v>45</v>
      </c>
      <c r="B171" s="16"/>
      <c r="C171" s="29">
        <v>1</v>
      </c>
      <c r="D171" s="17"/>
      <c r="E171" s="20"/>
      <c r="F171" s="45">
        <f t="shared" si="167"/>
        <v>1</v>
      </c>
      <c r="G171" s="16"/>
      <c r="H171" s="29">
        <v>1</v>
      </c>
      <c r="I171" s="17">
        <v>2</v>
      </c>
      <c r="J171" s="20"/>
      <c r="K171" s="45">
        <f t="shared" si="168"/>
        <v>3</v>
      </c>
      <c r="L171" s="104">
        <f t="shared" si="154"/>
        <v>4</v>
      </c>
      <c r="M171" s="58">
        <v>45810</v>
      </c>
      <c r="N171" s="11" t="s">
        <v>367</v>
      </c>
      <c r="O171" s="16"/>
      <c r="P171" s="29">
        <v>1</v>
      </c>
      <c r="Q171" s="17"/>
      <c r="R171" s="32">
        <v>2</v>
      </c>
      <c r="S171" s="9">
        <f t="shared" si="177"/>
        <v>3</v>
      </c>
      <c r="T171" s="16"/>
      <c r="U171" s="29"/>
      <c r="V171" s="17"/>
      <c r="W171" s="32"/>
      <c r="X171" s="9">
        <f t="shared" si="178"/>
        <v>0</v>
      </c>
      <c r="Y171" s="104">
        <f t="shared" si="166"/>
        <v>3</v>
      </c>
      <c r="Z171" s="56">
        <v>45821</v>
      </c>
    </row>
    <row r="172" spans="1:27" x14ac:dyDescent="0.15">
      <c r="A172" s="47" t="s">
        <v>249</v>
      </c>
      <c r="B172" s="16"/>
      <c r="C172" s="29"/>
      <c r="D172" s="17">
        <v>1</v>
      </c>
      <c r="E172" s="20"/>
      <c r="F172" s="45">
        <f t="shared" si="167"/>
        <v>1</v>
      </c>
      <c r="G172" s="16">
        <v>-1</v>
      </c>
      <c r="H172" s="29"/>
      <c r="I172" s="17"/>
      <c r="J172" s="20"/>
      <c r="K172" s="45">
        <f t="shared" si="168"/>
        <v>-1</v>
      </c>
      <c r="L172" s="104">
        <f t="shared" si="154"/>
        <v>0</v>
      </c>
      <c r="M172" s="58">
        <v>45812</v>
      </c>
      <c r="N172" s="11" t="s">
        <v>418</v>
      </c>
      <c r="O172" s="16"/>
      <c r="P172" s="29"/>
      <c r="Q172" s="17"/>
      <c r="R172" s="32"/>
      <c r="S172" s="9">
        <f t="shared" si="177"/>
        <v>0</v>
      </c>
      <c r="T172" s="16">
        <v>3</v>
      </c>
      <c r="U172" s="29"/>
      <c r="V172" s="17"/>
      <c r="W172" s="32">
        <v>4</v>
      </c>
      <c r="X172" s="9">
        <f t="shared" si="178"/>
        <v>7</v>
      </c>
      <c r="Y172" s="104">
        <f t="shared" si="166"/>
        <v>7</v>
      </c>
      <c r="Z172" s="56">
        <v>45824</v>
      </c>
    </row>
    <row r="173" spans="1:27" x14ac:dyDescent="0.15">
      <c r="A173" s="47" t="s">
        <v>45</v>
      </c>
      <c r="B173" s="16"/>
      <c r="C173" s="29"/>
      <c r="D173" s="17"/>
      <c r="E173" s="20"/>
      <c r="F173" s="45">
        <f t="shared" si="167"/>
        <v>0</v>
      </c>
      <c r="G173" s="16"/>
      <c r="H173" s="29">
        <v>1</v>
      </c>
      <c r="I173" s="17"/>
      <c r="J173" s="20"/>
      <c r="K173" s="45">
        <f t="shared" si="168"/>
        <v>1</v>
      </c>
      <c r="L173" s="104">
        <f t="shared" si="154"/>
        <v>1</v>
      </c>
      <c r="M173" s="56">
        <v>45812</v>
      </c>
      <c r="N173" s="11" t="s">
        <v>425</v>
      </c>
      <c r="O173" s="16"/>
      <c r="P173" s="29"/>
      <c r="Q173" s="17"/>
      <c r="R173" s="32"/>
      <c r="S173" s="9">
        <f t="shared" si="177"/>
        <v>0</v>
      </c>
      <c r="T173" s="16">
        <v>2</v>
      </c>
      <c r="U173" s="29">
        <v>2</v>
      </c>
      <c r="V173" s="17">
        <v>2</v>
      </c>
      <c r="W173" s="32">
        <v>2</v>
      </c>
      <c r="X173" s="9">
        <f t="shared" si="178"/>
        <v>8</v>
      </c>
      <c r="Y173" s="104">
        <f t="shared" si="166"/>
        <v>8</v>
      </c>
      <c r="Z173" s="56">
        <v>45825</v>
      </c>
    </row>
    <row r="174" spans="1:27" x14ac:dyDescent="0.15">
      <c r="A174" s="47" t="s">
        <v>384</v>
      </c>
      <c r="B174" s="16"/>
      <c r="C174" s="29"/>
      <c r="D174" s="17"/>
      <c r="E174" s="20"/>
      <c r="F174" s="45">
        <f t="shared" si="167"/>
        <v>0</v>
      </c>
      <c r="G174" s="16"/>
      <c r="H174" s="29"/>
      <c r="I174" s="17">
        <v>2</v>
      </c>
      <c r="J174" s="20"/>
      <c r="K174" s="45">
        <f t="shared" si="168"/>
        <v>2</v>
      </c>
      <c r="L174" s="104">
        <f t="shared" si="154"/>
        <v>2</v>
      </c>
      <c r="M174" s="56">
        <v>45814</v>
      </c>
      <c r="N174" s="11" t="s">
        <v>40</v>
      </c>
      <c r="O174" s="16"/>
      <c r="P174" s="29"/>
      <c r="Q174" s="17"/>
      <c r="R174" s="32">
        <v>3</v>
      </c>
      <c r="S174" s="9">
        <f>SUM(O174:R174)</f>
        <v>3</v>
      </c>
      <c r="T174" s="16"/>
      <c r="U174" s="29">
        <v>5</v>
      </c>
      <c r="V174" s="17"/>
      <c r="W174" s="32">
        <v>3</v>
      </c>
      <c r="X174" s="9">
        <f>SUM(T174:W174)</f>
        <v>8</v>
      </c>
      <c r="Y174" s="104">
        <f t="shared" si="166"/>
        <v>11</v>
      </c>
      <c r="Z174" s="56">
        <v>45821</v>
      </c>
    </row>
    <row r="175" spans="1:27" x14ac:dyDescent="0.15">
      <c r="A175" s="47" t="s">
        <v>45</v>
      </c>
      <c r="B175" s="16"/>
      <c r="C175" s="29">
        <v>1</v>
      </c>
      <c r="D175" s="17"/>
      <c r="E175" s="20"/>
      <c r="F175" s="45">
        <f t="shared" si="167"/>
        <v>1</v>
      </c>
      <c r="G175" s="16">
        <v>1</v>
      </c>
      <c r="H175" s="29"/>
      <c r="I175" s="17"/>
      <c r="J175" s="20"/>
      <c r="K175" s="45">
        <f t="shared" si="168"/>
        <v>1</v>
      </c>
      <c r="L175" s="104">
        <f t="shared" si="154"/>
        <v>2</v>
      </c>
      <c r="M175" s="56">
        <v>45813</v>
      </c>
      <c r="N175" s="47" t="s">
        <v>431</v>
      </c>
      <c r="O175" s="16"/>
      <c r="P175" s="29"/>
      <c r="Q175" s="17">
        <v>3</v>
      </c>
      <c r="R175" s="32">
        <v>1</v>
      </c>
      <c r="S175" s="9">
        <f>SUM(O175:R175)</f>
        <v>4</v>
      </c>
      <c r="T175" s="16"/>
      <c r="U175" s="29">
        <v>1</v>
      </c>
      <c r="V175" s="17"/>
      <c r="W175" s="32">
        <v>5</v>
      </c>
      <c r="X175" s="9">
        <f>SUM(T175:W175)</f>
        <v>6</v>
      </c>
      <c r="Y175" s="104">
        <f t="shared" si="166"/>
        <v>10</v>
      </c>
      <c r="Z175" s="56">
        <v>45824</v>
      </c>
    </row>
    <row r="176" spans="1:27" x14ac:dyDescent="0.15">
      <c r="A176" s="47" t="s">
        <v>45</v>
      </c>
      <c r="B176" s="16"/>
      <c r="C176" s="29"/>
      <c r="D176" s="17">
        <v>1</v>
      </c>
      <c r="E176" s="20"/>
      <c r="F176" s="45">
        <f t="shared" si="167"/>
        <v>1</v>
      </c>
      <c r="G176" s="16"/>
      <c r="H176" s="29"/>
      <c r="I176" s="17"/>
      <c r="J176" s="20"/>
      <c r="K176" s="45">
        <f t="shared" si="168"/>
        <v>0</v>
      </c>
      <c r="L176" s="104">
        <f t="shared" si="154"/>
        <v>1</v>
      </c>
      <c r="M176" s="56">
        <v>45814</v>
      </c>
      <c r="N176" s="47" t="s">
        <v>434</v>
      </c>
      <c r="O176" s="16"/>
      <c r="P176" s="29"/>
      <c r="Q176" s="17"/>
      <c r="R176" s="32"/>
      <c r="S176" s="9">
        <f t="shared" ref="S176:S182" si="179">SUM(O176:R176)</f>
        <v>0</v>
      </c>
      <c r="T176" s="16"/>
      <c r="U176" s="29">
        <v>5</v>
      </c>
      <c r="V176" s="17"/>
      <c r="W176" s="32">
        <v>1</v>
      </c>
      <c r="X176" s="9">
        <f t="shared" ref="X176:X182" si="180">SUM(T176:W176)</f>
        <v>6</v>
      </c>
      <c r="Y176" s="104">
        <f t="shared" si="166"/>
        <v>6</v>
      </c>
      <c r="Z176" s="56">
        <v>45826</v>
      </c>
    </row>
    <row r="177" spans="1:26" x14ac:dyDescent="0.15">
      <c r="A177" s="47" t="s">
        <v>45</v>
      </c>
      <c r="B177" s="16"/>
      <c r="C177" s="29"/>
      <c r="D177" s="17"/>
      <c r="E177" s="20"/>
      <c r="F177" s="45">
        <f t="shared" si="167"/>
        <v>0</v>
      </c>
      <c r="G177" s="16"/>
      <c r="H177" s="29"/>
      <c r="I177" s="17">
        <v>1</v>
      </c>
      <c r="J177" s="20"/>
      <c r="K177" s="45">
        <f t="shared" si="168"/>
        <v>1</v>
      </c>
      <c r="L177" s="104">
        <f t="shared" si="154"/>
        <v>1</v>
      </c>
      <c r="M177" s="56">
        <v>45815</v>
      </c>
      <c r="N177" s="33" t="s">
        <v>436</v>
      </c>
      <c r="O177" s="16"/>
      <c r="P177" s="29"/>
      <c r="Q177" s="17"/>
      <c r="R177" s="32"/>
      <c r="S177" s="9">
        <f t="shared" si="179"/>
        <v>0</v>
      </c>
      <c r="T177" s="16">
        <v>4</v>
      </c>
      <c r="U177" s="29"/>
      <c r="V177" s="17"/>
      <c r="W177" s="32"/>
      <c r="X177" s="9">
        <f t="shared" si="180"/>
        <v>4</v>
      </c>
      <c r="Y177" s="104">
        <f t="shared" si="166"/>
        <v>4</v>
      </c>
      <c r="Z177" s="56">
        <v>45838</v>
      </c>
    </row>
    <row r="178" spans="1:26" x14ac:dyDescent="0.15">
      <c r="A178" s="47" t="s">
        <v>45</v>
      </c>
      <c r="B178" s="16"/>
      <c r="C178" s="29">
        <v>1</v>
      </c>
      <c r="D178" s="17"/>
      <c r="E178" s="20"/>
      <c r="F178" s="45">
        <f t="shared" si="167"/>
        <v>1</v>
      </c>
      <c r="G178" s="16"/>
      <c r="H178" s="29"/>
      <c r="I178" s="17"/>
      <c r="J178" s="20"/>
      <c r="K178" s="45">
        <f t="shared" si="168"/>
        <v>0</v>
      </c>
      <c r="L178" s="104">
        <f t="shared" si="154"/>
        <v>1</v>
      </c>
      <c r="M178" s="56">
        <v>45817</v>
      </c>
      <c r="N178" s="11" t="s">
        <v>439</v>
      </c>
      <c r="O178" s="16">
        <v>2</v>
      </c>
      <c r="P178" s="29"/>
      <c r="Q178" s="17"/>
      <c r="R178" s="32">
        <v>1</v>
      </c>
      <c r="S178" s="9">
        <f t="shared" si="179"/>
        <v>3</v>
      </c>
      <c r="T178" s="16"/>
      <c r="U178" s="29"/>
      <c r="V178" s="17"/>
      <c r="W178" s="32"/>
      <c r="X178" s="9">
        <f t="shared" si="180"/>
        <v>0</v>
      </c>
      <c r="Y178" s="104">
        <f t="shared" si="166"/>
        <v>3</v>
      </c>
      <c r="Z178" s="56">
        <v>45827</v>
      </c>
    </row>
    <row r="179" spans="1:26" x14ac:dyDescent="0.15">
      <c r="A179" s="47" t="s">
        <v>415</v>
      </c>
      <c r="B179" s="16"/>
      <c r="C179" s="29"/>
      <c r="D179" s="17"/>
      <c r="E179" s="20">
        <v>1</v>
      </c>
      <c r="F179" s="45">
        <f t="shared" si="167"/>
        <v>1</v>
      </c>
      <c r="G179" s="16"/>
      <c r="H179" s="29">
        <v>1</v>
      </c>
      <c r="I179" s="17"/>
      <c r="J179" s="20"/>
      <c r="K179" s="45">
        <f t="shared" si="168"/>
        <v>1</v>
      </c>
      <c r="L179" s="104">
        <f t="shared" si="154"/>
        <v>2</v>
      </c>
      <c r="M179" s="56">
        <v>45820</v>
      </c>
      <c r="N179" s="11"/>
      <c r="O179" s="16"/>
      <c r="P179" s="17"/>
      <c r="Q179" s="29"/>
      <c r="R179" s="60"/>
      <c r="S179" s="9">
        <f t="shared" si="179"/>
        <v>0</v>
      </c>
      <c r="T179" s="16"/>
      <c r="U179" s="17"/>
      <c r="V179" s="29"/>
      <c r="W179" s="60"/>
      <c r="X179" s="9">
        <f t="shared" si="180"/>
        <v>0</v>
      </c>
      <c r="Y179" s="104">
        <f t="shared" si="166"/>
        <v>0</v>
      </c>
      <c r="Z179" s="157"/>
    </row>
    <row r="180" spans="1:26" x14ac:dyDescent="0.15">
      <c r="A180" s="47" t="s">
        <v>45</v>
      </c>
      <c r="B180" s="16"/>
      <c r="C180" s="29"/>
      <c r="D180" s="17"/>
      <c r="E180" s="20">
        <v>1</v>
      </c>
      <c r="F180" s="45">
        <f t="shared" si="167"/>
        <v>1</v>
      </c>
      <c r="G180" s="16"/>
      <c r="H180" s="29"/>
      <c r="I180" s="17"/>
      <c r="J180" s="20"/>
      <c r="K180" s="45">
        <f t="shared" si="168"/>
        <v>0</v>
      </c>
      <c r="L180" s="104">
        <f t="shared" si="154"/>
        <v>1</v>
      </c>
      <c r="M180" s="56">
        <v>45818</v>
      </c>
      <c r="N180" s="11" t="s">
        <v>231</v>
      </c>
      <c r="O180" s="16"/>
      <c r="P180" s="17"/>
      <c r="Q180" s="29"/>
      <c r="R180" s="60"/>
      <c r="S180" s="9">
        <f t="shared" si="179"/>
        <v>0</v>
      </c>
      <c r="T180" s="16"/>
      <c r="U180" s="17"/>
      <c r="V180" s="29"/>
      <c r="W180" s="60"/>
      <c r="X180" s="9">
        <f t="shared" si="180"/>
        <v>0</v>
      </c>
      <c r="Y180" s="104">
        <f t="shared" si="166"/>
        <v>0</v>
      </c>
      <c r="Z180" s="157" t="s">
        <v>232</v>
      </c>
    </row>
    <row r="181" spans="1:26" x14ac:dyDescent="0.15">
      <c r="A181" s="47" t="s">
        <v>413</v>
      </c>
      <c r="B181" s="16">
        <v>-1</v>
      </c>
      <c r="C181" s="29"/>
      <c r="D181" s="17">
        <v>-1</v>
      </c>
      <c r="E181" s="20"/>
      <c r="F181" s="9">
        <f t="shared" si="167"/>
        <v>-2</v>
      </c>
      <c r="G181" s="16">
        <v>-1</v>
      </c>
      <c r="H181" s="29"/>
      <c r="I181" s="17"/>
      <c r="J181" s="20">
        <v>-1</v>
      </c>
      <c r="K181" s="9">
        <f t="shared" si="168"/>
        <v>-2</v>
      </c>
      <c r="L181" s="104">
        <f t="shared" si="154"/>
        <v>-4</v>
      </c>
      <c r="M181" s="56">
        <v>45817</v>
      </c>
      <c r="N181" s="11" t="s">
        <v>266</v>
      </c>
      <c r="O181" s="16"/>
      <c r="P181" s="17"/>
      <c r="Q181" s="29"/>
      <c r="R181" s="60"/>
      <c r="S181" s="9">
        <f t="shared" si="179"/>
        <v>0</v>
      </c>
      <c r="T181" s="16"/>
      <c r="U181" s="17"/>
      <c r="V181" s="29"/>
      <c r="W181" s="60"/>
      <c r="X181" s="9">
        <f t="shared" si="180"/>
        <v>0</v>
      </c>
      <c r="Y181" s="104">
        <f t="shared" si="166"/>
        <v>0</v>
      </c>
      <c r="Z181" s="157" t="s">
        <v>267</v>
      </c>
    </row>
    <row r="182" spans="1:26" x14ac:dyDescent="0.15">
      <c r="A182" s="47" t="s">
        <v>414</v>
      </c>
      <c r="B182" s="41">
        <v>1</v>
      </c>
      <c r="C182" s="42"/>
      <c r="D182" s="43"/>
      <c r="E182" s="44"/>
      <c r="F182" s="70">
        <f t="shared" si="167"/>
        <v>1</v>
      </c>
      <c r="G182" s="41">
        <v>1</v>
      </c>
      <c r="H182" s="42"/>
      <c r="I182" s="43"/>
      <c r="J182" s="44"/>
      <c r="K182" s="70">
        <f t="shared" si="168"/>
        <v>1</v>
      </c>
      <c r="L182" s="103">
        <f t="shared" si="154"/>
        <v>2</v>
      </c>
      <c r="M182" s="58">
        <v>45817</v>
      </c>
      <c r="N182" s="11" t="s">
        <v>210</v>
      </c>
      <c r="O182" s="16"/>
      <c r="P182" s="29"/>
      <c r="Q182" s="17"/>
      <c r="R182" s="32"/>
      <c r="S182" s="9">
        <f t="shared" si="179"/>
        <v>0</v>
      </c>
      <c r="T182" s="16"/>
      <c r="U182" s="29"/>
      <c r="V182" s="17"/>
      <c r="W182" s="32"/>
      <c r="X182" s="9">
        <f t="shared" si="180"/>
        <v>0</v>
      </c>
      <c r="Y182" s="104">
        <f t="shared" si="166"/>
        <v>0</v>
      </c>
      <c r="Z182" s="157" t="s">
        <v>211</v>
      </c>
    </row>
    <row r="183" spans="1:26" x14ac:dyDescent="0.15">
      <c r="A183" s="47" t="s">
        <v>420</v>
      </c>
      <c r="B183" s="16"/>
      <c r="C183" s="29"/>
      <c r="D183" s="17"/>
      <c r="E183" s="20"/>
      <c r="F183" s="45">
        <f t="shared" si="167"/>
        <v>0</v>
      </c>
      <c r="G183" s="16"/>
      <c r="H183" s="29"/>
      <c r="I183" s="17">
        <v>1</v>
      </c>
      <c r="J183" s="20"/>
      <c r="K183" s="45">
        <f t="shared" si="168"/>
        <v>1</v>
      </c>
      <c r="L183" s="104">
        <f t="shared" si="154"/>
        <v>1</v>
      </c>
      <c r="M183" s="56">
        <v>45821</v>
      </c>
      <c r="N183" s="11" t="s">
        <v>336</v>
      </c>
      <c r="O183" s="16"/>
      <c r="P183" s="17"/>
      <c r="Q183" s="29"/>
      <c r="R183" s="60"/>
      <c r="S183" s="9">
        <f t="shared" ref="S183" si="181">SUM(O183:R183)</f>
        <v>0</v>
      </c>
      <c r="T183" s="16"/>
      <c r="U183" s="17"/>
      <c r="V183" s="29"/>
      <c r="W183" s="60"/>
      <c r="X183" s="9">
        <f t="shared" ref="X183" si="182">SUM(T183:W183)</f>
        <v>0</v>
      </c>
      <c r="Y183" s="104">
        <f t="shared" ref="Y183" si="183">S183+X183</f>
        <v>0</v>
      </c>
      <c r="Z183" s="157" t="s">
        <v>337</v>
      </c>
    </row>
    <row r="184" spans="1:26" x14ac:dyDescent="0.15">
      <c r="A184" s="47" t="s">
        <v>421</v>
      </c>
      <c r="B184" s="16"/>
      <c r="C184" s="29"/>
      <c r="D184" s="17">
        <v>1</v>
      </c>
      <c r="E184" s="20"/>
      <c r="F184" s="45">
        <f t="shared" si="167"/>
        <v>1</v>
      </c>
      <c r="G184" s="16"/>
      <c r="H184" s="29"/>
      <c r="I184" s="17">
        <v>-1</v>
      </c>
      <c r="J184" s="20"/>
      <c r="K184" s="45">
        <f t="shared" si="168"/>
        <v>-1</v>
      </c>
      <c r="L184" s="104">
        <f t="shared" si="154"/>
        <v>0</v>
      </c>
      <c r="M184" s="56">
        <v>45819</v>
      </c>
      <c r="N184" s="11" t="s">
        <v>307</v>
      </c>
      <c r="O184" s="206"/>
      <c r="P184" s="207"/>
      <c r="Q184" s="208"/>
      <c r="R184" s="209"/>
      <c r="S184" s="9">
        <f t="shared" ref="S184:S186" si="184">SUM(O184:R184)</f>
        <v>0</v>
      </c>
      <c r="T184" s="16"/>
      <c r="U184" s="29"/>
      <c r="V184" s="17"/>
      <c r="W184" s="32"/>
      <c r="X184" s="9">
        <f t="shared" ref="X184:X186" si="185">SUM(T184:W184)</f>
        <v>0</v>
      </c>
      <c r="Y184" s="104">
        <f t="shared" ref="Y184:Y186" si="186">S184+X184</f>
        <v>0</v>
      </c>
      <c r="Z184" s="157" t="s">
        <v>308</v>
      </c>
    </row>
    <row r="185" spans="1:26" x14ac:dyDescent="0.15">
      <c r="A185" s="47" t="s">
        <v>162</v>
      </c>
      <c r="B185" s="16">
        <v>-1</v>
      </c>
      <c r="C185" s="29">
        <v>-1</v>
      </c>
      <c r="D185" s="17"/>
      <c r="E185" s="20"/>
      <c r="F185" s="45">
        <f t="shared" si="167"/>
        <v>-2</v>
      </c>
      <c r="G185" s="16"/>
      <c r="H185" s="29"/>
      <c r="I185" s="17"/>
      <c r="J185" s="20"/>
      <c r="K185" s="45">
        <f t="shared" si="168"/>
        <v>0</v>
      </c>
      <c r="L185" s="104">
        <f t="shared" si="154"/>
        <v>-2</v>
      </c>
      <c r="M185" s="58">
        <v>45819</v>
      </c>
      <c r="N185" s="137" t="s">
        <v>275</v>
      </c>
      <c r="O185" s="201"/>
      <c r="P185" s="202"/>
      <c r="Q185" s="203"/>
      <c r="R185" s="204"/>
      <c r="S185" s="175">
        <f t="shared" si="184"/>
        <v>0</v>
      </c>
      <c r="T185" s="171"/>
      <c r="U185" s="172"/>
      <c r="V185" s="173"/>
      <c r="W185" s="174"/>
      <c r="X185" s="175">
        <f t="shared" si="185"/>
        <v>0</v>
      </c>
      <c r="Y185" s="205">
        <f t="shared" si="186"/>
        <v>0</v>
      </c>
      <c r="Z185" s="224"/>
    </row>
    <row r="186" spans="1:26" ht="14.25" thickBot="1" x14ac:dyDescent="0.2">
      <c r="A186" s="47" t="s">
        <v>45</v>
      </c>
      <c r="B186" s="37"/>
      <c r="C186" s="38"/>
      <c r="D186" s="39"/>
      <c r="E186" s="40"/>
      <c r="F186" s="45">
        <f t="shared" si="167"/>
        <v>0</v>
      </c>
      <c r="G186" s="37"/>
      <c r="H186" s="38">
        <v>1</v>
      </c>
      <c r="I186" s="39"/>
      <c r="J186" s="40"/>
      <c r="K186" s="45">
        <f t="shared" si="168"/>
        <v>1</v>
      </c>
      <c r="L186" s="104">
        <f t="shared" si="154"/>
        <v>1</v>
      </c>
      <c r="M186" s="58">
        <v>45819</v>
      </c>
      <c r="N186" s="128" t="s">
        <v>274</v>
      </c>
      <c r="O186" s="123"/>
      <c r="P186" s="124"/>
      <c r="Q186" s="125"/>
      <c r="R186" s="126"/>
      <c r="S186" s="10">
        <f t="shared" si="184"/>
        <v>0</v>
      </c>
      <c r="T186" s="37"/>
      <c r="U186" s="38"/>
      <c r="V186" s="39"/>
      <c r="W186" s="129"/>
      <c r="X186" s="10">
        <f t="shared" si="185"/>
        <v>0</v>
      </c>
      <c r="Y186" s="101">
        <f t="shared" si="186"/>
        <v>0</v>
      </c>
      <c r="Z186" s="157" t="s">
        <v>73</v>
      </c>
    </row>
    <row r="187" spans="1:26" ht="14.25" thickBot="1" x14ac:dyDescent="0.2">
      <c r="A187" s="13" t="s">
        <v>8</v>
      </c>
      <c r="B187" s="22">
        <f>SUM(B162:B186)</f>
        <v>0</v>
      </c>
      <c r="C187" s="30">
        <f>SUM(C162:C186)</f>
        <v>1</v>
      </c>
      <c r="D187" s="23">
        <f>SUM(D162:D186)</f>
        <v>4</v>
      </c>
      <c r="E187" s="24">
        <f>SUM(E162:E186)</f>
        <v>4</v>
      </c>
      <c r="F187" s="21">
        <f t="shared" si="167"/>
        <v>9</v>
      </c>
      <c r="G187" s="22">
        <f>SUM(G162:G186)</f>
        <v>4</v>
      </c>
      <c r="H187" s="30">
        <f>SUM(H162:H186)</f>
        <v>6</v>
      </c>
      <c r="I187" s="23">
        <f>SUM(I162:I186)</f>
        <v>5</v>
      </c>
      <c r="J187" s="24">
        <f>SUM(J162:J186)</f>
        <v>2</v>
      </c>
      <c r="K187" s="21">
        <f>SUM(G187:J187)</f>
        <v>17</v>
      </c>
      <c r="L187" s="105">
        <f t="shared" si="154"/>
        <v>26</v>
      </c>
      <c r="N187" s="49" t="s">
        <v>8</v>
      </c>
      <c r="O187" s="22">
        <f>SUM(O162:O186)</f>
        <v>4</v>
      </c>
      <c r="P187" s="30">
        <f>SUM(P162:P186)</f>
        <v>5</v>
      </c>
      <c r="Q187" s="23">
        <f>SUM(Q162:Q186)</f>
        <v>12</v>
      </c>
      <c r="R187" s="24">
        <f>SUM(R162:R186)</f>
        <v>9</v>
      </c>
      <c r="S187" s="48">
        <f t="shared" ref="S187" si="187">SUM(O187:R187)</f>
        <v>30</v>
      </c>
      <c r="T187" s="22">
        <f>SUM(T162:T186)</f>
        <v>17</v>
      </c>
      <c r="U187" s="30">
        <f>SUM(U162:U186)</f>
        <v>37</v>
      </c>
      <c r="V187" s="23">
        <f>SUM(V162:V186)</f>
        <v>32</v>
      </c>
      <c r="W187" s="24">
        <f>SUM(W162:W186)</f>
        <v>30</v>
      </c>
      <c r="X187" s="48">
        <f t="shared" ref="X187" si="188">SUM(T187:W187)</f>
        <v>116</v>
      </c>
      <c r="Y187" s="122">
        <f t="shared" si="166"/>
        <v>146</v>
      </c>
    </row>
    <row r="188" spans="1:26" ht="14.25" thickBot="1" x14ac:dyDescent="0.2">
      <c r="A188" s="14" t="s">
        <v>9</v>
      </c>
      <c r="B188" s="25">
        <f t="shared" ref="B188:K188" si="189">B161-B187</f>
        <v>10</v>
      </c>
      <c r="C188" s="31">
        <f t="shared" si="189"/>
        <v>5</v>
      </c>
      <c r="D188" s="26">
        <f t="shared" si="189"/>
        <v>3</v>
      </c>
      <c r="E188" s="27">
        <f t="shared" si="189"/>
        <v>3</v>
      </c>
      <c r="F188" s="83">
        <f t="shared" si="189"/>
        <v>21</v>
      </c>
      <c r="G188" s="25">
        <f t="shared" si="189"/>
        <v>5</v>
      </c>
      <c r="H188" s="31">
        <f t="shared" si="189"/>
        <v>2</v>
      </c>
      <c r="I188" s="26">
        <f t="shared" si="189"/>
        <v>4</v>
      </c>
      <c r="J188" s="27">
        <f t="shared" si="189"/>
        <v>3</v>
      </c>
      <c r="K188" s="83">
        <f t="shared" si="189"/>
        <v>14</v>
      </c>
      <c r="L188" s="102">
        <f t="shared" si="154"/>
        <v>35</v>
      </c>
      <c r="N188" s="13" t="s">
        <v>9</v>
      </c>
      <c r="O188" s="25">
        <f t="shared" ref="O188:X188" si="190">O161-O187</f>
        <v>93</v>
      </c>
      <c r="P188" s="31">
        <f t="shared" si="190"/>
        <v>166</v>
      </c>
      <c r="Q188" s="26">
        <f t="shared" si="190"/>
        <v>144</v>
      </c>
      <c r="R188" s="27">
        <f t="shared" si="190"/>
        <v>155</v>
      </c>
      <c r="S188" s="36">
        <f t="shared" si="190"/>
        <v>558</v>
      </c>
      <c r="T188" s="25">
        <f t="shared" si="190"/>
        <v>51</v>
      </c>
      <c r="U188" s="31">
        <f t="shared" si="190"/>
        <v>145</v>
      </c>
      <c r="V188" s="26">
        <f t="shared" si="190"/>
        <v>151</v>
      </c>
      <c r="W188" s="27">
        <f t="shared" si="190"/>
        <v>124</v>
      </c>
      <c r="X188" s="36">
        <f t="shared" si="190"/>
        <v>471</v>
      </c>
      <c r="Y188" s="102">
        <f t="shared" si="166"/>
        <v>1029</v>
      </c>
    </row>
    <row r="189" spans="1:26" x14ac:dyDescent="0.15">
      <c r="N189" s="108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</row>
    <row r="190" spans="1:26" x14ac:dyDescent="0.15">
      <c r="O190" s="116"/>
      <c r="P190" s="116"/>
      <c r="Q190" s="149"/>
      <c r="R190" s="116"/>
      <c r="S190" s="116"/>
      <c r="T190" s="149"/>
      <c r="U190" s="149"/>
      <c r="V190" s="149"/>
      <c r="W190" s="149"/>
      <c r="X190" s="116"/>
    </row>
    <row r="191" spans="1:26" ht="19.5" thickBot="1" x14ac:dyDescent="0.25">
      <c r="A191" s="2" t="s">
        <v>16</v>
      </c>
      <c r="B191" s="2"/>
      <c r="C191" s="1"/>
      <c r="D191" s="1"/>
      <c r="E191" s="1"/>
      <c r="F191" s="84"/>
      <c r="G191" s="2"/>
      <c r="H191" s="1" t="s">
        <v>156</v>
      </c>
      <c r="I191" s="1"/>
      <c r="J191" s="1"/>
      <c r="K191" s="84" t="s">
        <v>13</v>
      </c>
      <c r="L191" s="84"/>
      <c r="N191" s="2" t="s">
        <v>17</v>
      </c>
      <c r="O191" s="71"/>
      <c r="P191" s="71"/>
      <c r="Q191" s="71"/>
      <c r="R191" s="71"/>
      <c r="T191" s="71"/>
      <c r="U191" s="1" t="s">
        <v>156</v>
      </c>
      <c r="V191" s="71"/>
      <c r="W191" s="71"/>
      <c r="X191" s="84" t="s">
        <v>13</v>
      </c>
      <c r="Y191" s="84"/>
    </row>
    <row r="192" spans="1:26" ht="14.25" thickBot="1" x14ac:dyDescent="0.2">
      <c r="A192" s="5" t="s">
        <v>0</v>
      </c>
      <c r="B192" s="328" t="s">
        <v>120</v>
      </c>
      <c r="C192" s="329"/>
      <c r="D192" s="329"/>
      <c r="E192" s="329"/>
      <c r="F192" s="330"/>
      <c r="G192" s="331" t="s">
        <v>14</v>
      </c>
      <c r="H192" s="332"/>
      <c r="I192" s="332"/>
      <c r="J192" s="332"/>
      <c r="K192" s="333"/>
      <c r="L192" s="320" t="s">
        <v>30</v>
      </c>
      <c r="N192" s="5" t="s">
        <v>0</v>
      </c>
      <c r="O192" s="328" t="s">
        <v>202</v>
      </c>
      <c r="P192" s="329"/>
      <c r="Q192" s="329"/>
      <c r="R192" s="329"/>
      <c r="S192" s="330"/>
      <c r="T192" s="331" t="s">
        <v>203</v>
      </c>
      <c r="U192" s="332"/>
      <c r="V192" s="332"/>
      <c r="W192" s="332"/>
      <c r="X192" s="333"/>
      <c r="Y192" s="320" t="s">
        <v>30</v>
      </c>
    </row>
    <row r="193" spans="1:27" ht="14.25" thickBot="1" x14ac:dyDescent="0.2">
      <c r="A193" s="5" t="s">
        <v>1</v>
      </c>
      <c r="B193" s="3" t="s">
        <v>22</v>
      </c>
      <c r="C193" s="28" t="s">
        <v>23</v>
      </c>
      <c r="D193" s="4" t="s">
        <v>24</v>
      </c>
      <c r="E193" s="15" t="s">
        <v>25</v>
      </c>
      <c r="F193" s="19" t="s">
        <v>2</v>
      </c>
      <c r="G193" s="3" t="s">
        <v>22</v>
      </c>
      <c r="H193" s="28" t="s">
        <v>23</v>
      </c>
      <c r="I193" s="4" t="s">
        <v>24</v>
      </c>
      <c r="J193" s="15" t="s">
        <v>25</v>
      </c>
      <c r="K193" s="19" t="s">
        <v>2</v>
      </c>
      <c r="L193" s="321"/>
      <c r="N193" s="5" t="s">
        <v>1</v>
      </c>
      <c r="O193" s="3" t="s">
        <v>22</v>
      </c>
      <c r="P193" s="28" t="s">
        <v>23</v>
      </c>
      <c r="Q193" s="4" t="s">
        <v>24</v>
      </c>
      <c r="R193" s="15" t="s">
        <v>25</v>
      </c>
      <c r="S193" s="19" t="s">
        <v>2</v>
      </c>
      <c r="T193" s="3" t="s">
        <v>22</v>
      </c>
      <c r="U193" s="28" t="s">
        <v>23</v>
      </c>
      <c r="V193" s="4" t="s">
        <v>24</v>
      </c>
      <c r="W193" s="15" t="s">
        <v>25</v>
      </c>
      <c r="X193" s="19" t="s">
        <v>2</v>
      </c>
      <c r="Y193" s="321"/>
    </row>
    <row r="194" spans="1:27" x14ac:dyDescent="0.15">
      <c r="A194" s="78" t="s">
        <v>10</v>
      </c>
      <c r="B194" s="79">
        <f>B188</f>
        <v>10</v>
      </c>
      <c r="C194" s="80">
        <f>C188</f>
        <v>5</v>
      </c>
      <c r="D194" s="80">
        <f>D188</f>
        <v>3</v>
      </c>
      <c r="E194" s="81">
        <f>E188</f>
        <v>3</v>
      </c>
      <c r="F194" s="82">
        <f>SUM(B194:E194)</f>
        <v>21</v>
      </c>
      <c r="G194" s="79">
        <f>G188</f>
        <v>5</v>
      </c>
      <c r="H194" s="80">
        <f>H188</f>
        <v>2</v>
      </c>
      <c r="I194" s="80">
        <f>I188</f>
        <v>4</v>
      </c>
      <c r="J194" s="81">
        <f>J188</f>
        <v>3</v>
      </c>
      <c r="K194" s="82">
        <f>SUM(G194:J194)</f>
        <v>14</v>
      </c>
      <c r="L194" s="98">
        <f>F194+K194</f>
        <v>35</v>
      </c>
      <c r="N194" s="78" t="s">
        <v>10</v>
      </c>
      <c r="O194" s="79">
        <f>O188</f>
        <v>93</v>
      </c>
      <c r="P194" s="80">
        <f>P188</f>
        <v>166</v>
      </c>
      <c r="Q194" s="80">
        <f>Q188</f>
        <v>144</v>
      </c>
      <c r="R194" s="81">
        <f>R188</f>
        <v>155</v>
      </c>
      <c r="S194" s="82">
        <f>SUM(O194:R194)</f>
        <v>558</v>
      </c>
      <c r="T194" s="79">
        <f>T188</f>
        <v>51</v>
      </c>
      <c r="U194" s="80">
        <f>U188</f>
        <v>145</v>
      </c>
      <c r="V194" s="80">
        <f>V188</f>
        <v>151</v>
      </c>
      <c r="W194" s="81">
        <f>W188</f>
        <v>124</v>
      </c>
      <c r="X194" s="82">
        <f>SUM(T194:W194)</f>
        <v>471</v>
      </c>
      <c r="Y194" s="98">
        <f>S194+X194</f>
        <v>1029</v>
      </c>
    </row>
    <row r="195" spans="1:27" x14ac:dyDescent="0.15">
      <c r="A195" s="12" t="s">
        <v>3</v>
      </c>
      <c r="B195" s="6"/>
      <c r="C195" s="18"/>
      <c r="D195" s="7"/>
      <c r="E195" s="8">
        <v>3</v>
      </c>
      <c r="F195" s="9">
        <f>SUM(B195:E195)</f>
        <v>3</v>
      </c>
      <c r="G195" s="6"/>
      <c r="H195" s="18">
        <v>5</v>
      </c>
      <c r="I195" s="7"/>
      <c r="J195" s="8">
        <v>3</v>
      </c>
      <c r="K195" s="9">
        <f>SUM(G195:J195)</f>
        <v>8</v>
      </c>
      <c r="L195" s="100">
        <f t="shared" ref="L195:L196" si="191">F195+K195</f>
        <v>11</v>
      </c>
      <c r="M195" s="56">
        <v>45821</v>
      </c>
      <c r="N195" s="12" t="s">
        <v>11</v>
      </c>
      <c r="O195" s="16"/>
      <c r="P195" s="29"/>
      <c r="Q195" s="17"/>
      <c r="R195" s="20"/>
      <c r="S195" s="45">
        <f t="shared" ref="S195:S197" si="192">SUM(O195:R195)</f>
        <v>0</v>
      </c>
      <c r="T195" s="16"/>
      <c r="U195" s="29"/>
      <c r="V195" s="17"/>
      <c r="W195" s="20"/>
      <c r="X195" s="45">
        <f t="shared" ref="X195:X197" si="193">SUM(T195:W195)</f>
        <v>0</v>
      </c>
      <c r="Y195" s="100">
        <f t="shared" ref="Y195:Y197" si="194">S195+X195</f>
        <v>0</v>
      </c>
      <c r="Z195" s="56"/>
    </row>
    <row r="196" spans="1:27" x14ac:dyDescent="0.15">
      <c r="A196" s="47" t="s">
        <v>366</v>
      </c>
      <c r="B196" s="51"/>
      <c r="C196" s="52"/>
      <c r="D196" s="53"/>
      <c r="E196" s="54"/>
      <c r="F196" s="61">
        <f>SUM(B196:E196)</f>
        <v>0</v>
      </c>
      <c r="G196" s="51"/>
      <c r="H196" s="52">
        <v>1</v>
      </c>
      <c r="I196" s="53">
        <v>3</v>
      </c>
      <c r="J196" s="54">
        <v>2</v>
      </c>
      <c r="K196" s="61">
        <f>SUM(G196:J196)</f>
        <v>6</v>
      </c>
      <c r="L196" s="99">
        <f t="shared" si="191"/>
        <v>6</v>
      </c>
      <c r="M196" s="56">
        <v>45826</v>
      </c>
      <c r="N196" s="12" t="s">
        <v>3</v>
      </c>
      <c r="O196" s="16"/>
      <c r="P196" s="29"/>
      <c r="Q196" s="17"/>
      <c r="R196" s="20"/>
      <c r="S196" s="45">
        <f t="shared" ref="S196" si="195">SUM(O196:R196)</f>
        <v>0</v>
      </c>
      <c r="T196" s="16">
        <v>60</v>
      </c>
      <c r="U196" s="29">
        <v>0</v>
      </c>
      <c r="V196" s="17">
        <v>16</v>
      </c>
      <c r="W196" s="20">
        <v>30</v>
      </c>
      <c r="X196" s="45">
        <f t="shared" si="193"/>
        <v>106</v>
      </c>
      <c r="Y196" s="100">
        <f t="shared" si="194"/>
        <v>106</v>
      </c>
      <c r="Z196" s="56" t="s">
        <v>457</v>
      </c>
    </row>
    <row r="197" spans="1:27" x14ac:dyDescent="0.15">
      <c r="A197" s="12" t="s">
        <v>5</v>
      </c>
      <c r="B197" s="6"/>
      <c r="C197" s="18">
        <v>3</v>
      </c>
      <c r="D197" s="7"/>
      <c r="E197" s="8">
        <v>3</v>
      </c>
      <c r="F197" s="9">
        <f>SUM(B197:E197)</f>
        <v>6</v>
      </c>
      <c r="G197" s="6"/>
      <c r="H197" s="18">
        <v>3</v>
      </c>
      <c r="I197" s="7"/>
      <c r="J197" s="8"/>
      <c r="K197" s="9">
        <f>SUM(G197:J197)</f>
        <v>3</v>
      </c>
      <c r="L197" s="100">
        <f t="shared" ref="L197:L226" si="196">F197+K197</f>
        <v>9</v>
      </c>
      <c r="M197" s="56">
        <v>45829</v>
      </c>
      <c r="N197" s="12" t="s">
        <v>4</v>
      </c>
      <c r="O197" s="16"/>
      <c r="P197" s="29"/>
      <c r="Q197" s="17"/>
      <c r="R197" s="20"/>
      <c r="S197" s="45">
        <f t="shared" si="192"/>
        <v>0</v>
      </c>
      <c r="T197" s="16"/>
      <c r="U197" s="29"/>
      <c r="V197" s="17"/>
      <c r="W197" s="20"/>
      <c r="X197" s="45">
        <f t="shared" si="193"/>
        <v>0</v>
      </c>
      <c r="Y197" s="100">
        <f t="shared" si="194"/>
        <v>0</v>
      </c>
      <c r="Z197" s="56"/>
    </row>
    <row r="198" spans="1:27" ht="14.25" thickBot="1" x14ac:dyDescent="0.2">
      <c r="A198" s="12" t="s">
        <v>6</v>
      </c>
      <c r="B198" s="6"/>
      <c r="C198" s="18"/>
      <c r="D198" s="7"/>
      <c r="E198" s="8"/>
      <c r="F198" s="10">
        <f>SUM(B198:E198)</f>
        <v>0</v>
      </c>
      <c r="G198" s="6"/>
      <c r="H198" s="18">
        <v>5</v>
      </c>
      <c r="I198" s="7"/>
      <c r="J198" s="8"/>
      <c r="K198" s="10">
        <f>SUM(G198:J198)</f>
        <v>5</v>
      </c>
      <c r="L198" s="101">
        <f t="shared" si="196"/>
        <v>5</v>
      </c>
      <c r="M198" s="56">
        <v>45833</v>
      </c>
      <c r="N198" s="12" t="s">
        <v>5</v>
      </c>
      <c r="O198" s="16"/>
      <c r="P198" s="29"/>
      <c r="Q198" s="17"/>
      <c r="R198" s="20"/>
      <c r="S198" s="45">
        <f t="shared" ref="S198" si="197">SUM(O198:R198)</f>
        <v>0</v>
      </c>
      <c r="T198" s="16"/>
      <c r="U198" s="29"/>
      <c r="V198" s="17"/>
      <c r="W198" s="20"/>
      <c r="X198" s="45">
        <f t="shared" ref="X198" si="198">SUM(T198:W198)</f>
        <v>0</v>
      </c>
      <c r="Y198" s="100">
        <f t="shared" ref="Y198" si="199">S198+X198</f>
        <v>0</v>
      </c>
      <c r="Z198" s="56"/>
    </row>
    <row r="199" spans="1:27" ht="14.25" thickBot="1" x14ac:dyDescent="0.2">
      <c r="A199" s="14" t="s">
        <v>7</v>
      </c>
      <c r="B199" s="62">
        <f t="shared" ref="B199:K199" si="200">SUM(B194:B198)</f>
        <v>10</v>
      </c>
      <c r="C199" s="63">
        <f t="shared" si="200"/>
        <v>8</v>
      </c>
      <c r="D199" s="64">
        <f t="shared" si="200"/>
        <v>3</v>
      </c>
      <c r="E199" s="65">
        <f t="shared" si="200"/>
        <v>9</v>
      </c>
      <c r="F199" s="66">
        <f t="shared" si="200"/>
        <v>30</v>
      </c>
      <c r="G199" s="62">
        <f t="shared" si="200"/>
        <v>5</v>
      </c>
      <c r="H199" s="63">
        <f t="shared" si="200"/>
        <v>16</v>
      </c>
      <c r="I199" s="64">
        <f t="shared" si="200"/>
        <v>7</v>
      </c>
      <c r="J199" s="65">
        <f t="shared" si="200"/>
        <v>8</v>
      </c>
      <c r="K199" s="66">
        <f t="shared" si="200"/>
        <v>36</v>
      </c>
      <c r="L199" s="102">
        <f t="shared" si="196"/>
        <v>66</v>
      </c>
      <c r="N199" s="13" t="s">
        <v>7</v>
      </c>
      <c r="O199" s="25">
        <f t="shared" ref="O199:X199" si="201">SUM(O194:O198)</f>
        <v>93</v>
      </c>
      <c r="P199" s="31">
        <f t="shared" si="201"/>
        <v>166</v>
      </c>
      <c r="Q199" s="26">
        <f t="shared" si="201"/>
        <v>144</v>
      </c>
      <c r="R199" s="67">
        <f t="shared" si="201"/>
        <v>155</v>
      </c>
      <c r="S199" s="68">
        <f t="shared" si="201"/>
        <v>558</v>
      </c>
      <c r="T199" s="25">
        <f t="shared" si="201"/>
        <v>111</v>
      </c>
      <c r="U199" s="31">
        <f t="shared" si="201"/>
        <v>145</v>
      </c>
      <c r="V199" s="26">
        <f t="shared" si="201"/>
        <v>167</v>
      </c>
      <c r="W199" s="67">
        <f t="shared" si="201"/>
        <v>154</v>
      </c>
      <c r="X199" s="68">
        <f t="shared" si="201"/>
        <v>577</v>
      </c>
      <c r="Y199" s="102">
        <f t="shared" ref="Y199:Y218" si="202">S199+X199</f>
        <v>1135</v>
      </c>
    </row>
    <row r="200" spans="1:27" x14ac:dyDescent="0.15">
      <c r="A200" s="47" t="s">
        <v>423</v>
      </c>
      <c r="B200" s="16"/>
      <c r="C200" s="29"/>
      <c r="D200" s="17"/>
      <c r="E200" s="20"/>
      <c r="F200" s="45">
        <f t="shared" ref="F200" si="203">SUM(B200:E200)</f>
        <v>0</v>
      </c>
      <c r="G200" s="16"/>
      <c r="H200" s="29">
        <v>1</v>
      </c>
      <c r="I200" s="17"/>
      <c r="J200" s="20">
        <v>1</v>
      </c>
      <c r="K200" s="45">
        <f t="shared" ref="K200" si="204">SUM(G200:J200)</f>
        <v>2</v>
      </c>
      <c r="L200" s="104">
        <f t="shared" ref="L200" si="205">F200+K200</f>
        <v>2</v>
      </c>
      <c r="M200" s="56">
        <v>45821</v>
      </c>
      <c r="N200" s="11" t="s">
        <v>445</v>
      </c>
      <c r="O200" s="16"/>
      <c r="P200" s="29"/>
      <c r="Q200" s="17">
        <v>2</v>
      </c>
      <c r="R200" s="32">
        <v>2</v>
      </c>
      <c r="S200" s="9">
        <f t="shared" ref="S200:S205" si="206">SUM(O200:R200)</f>
        <v>4</v>
      </c>
      <c r="T200" s="16">
        <v>2</v>
      </c>
      <c r="U200" s="29"/>
      <c r="V200" s="17">
        <v>1</v>
      </c>
      <c r="W200" s="32">
        <v>2</v>
      </c>
      <c r="X200" s="9">
        <f t="shared" ref="X200:X205" si="207">SUM(T200:W200)</f>
        <v>5</v>
      </c>
      <c r="Y200" s="103">
        <f t="shared" si="202"/>
        <v>9</v>
      </c>
      <c r="Z200" s="56">
        <v>45828</v>
      </c>
    </row>
    <row r="201" spans="1:27" x14ac:dyDescent="0.15">
      <c r="A201" s="47" t="s">
        <v>432</v>
      </c>
      <c r="B201" s="16"/>
      <c r="C201" s="29"/>
      <c r="D201" s="17">
        <v>-1</v>
      </c>
      <c r="E201" s="20"/>
      <c r="F201" s="45">
        <f t="shared" ref="F201:F225" si="208">SUM(B201:E201)</f>
        <v>-1</v>
      </c>
      <c r="G201" s="16"/>
      <c r="H201" s="29"/>
      <c r="I201" s="17"/>
      <c r="J201" s="20"/>
      <c r="K201" s="45">
        <f t="shared" ref="K201:K224" si="209">SUM(G201:J201)</f>
        <v>0</v>
      </c>
      <c r="L201" s="104">
        <f t="shared" si="196"/>
        <v>-1</v>
      </c>
      <c r="M201" s="56">
        <v>45821</v>
      </c>
      <c r="N201" s="11" t="s">
        <v>446</v>
      </c>
      <c r="O201" s="16"/>
      <c r="P201" s="29"/>
      <c r="Q201" s="17"/>
      <c r="R201" s="32"/>
      <c r="S201" s="9">
        <f t="shared" si="206"/>
        <v>0</v>
      </c>
      <c r="T201" s="16">
        <v>10</v>
      </c>
      <c r="U201" s="29"/>
      <c r="V201" s="17">
        <v>10</v>
      </c>
      <c r="W201" s="32">
        <v>2</v>
      </c>
      <c r="X201" s="9">
        <f t="shared" si="207"/>
        <v>22</v>
      </c>
      <c r="Y201" s="104">
        <f t="shared" si="202"/>
        <v>22</v>
      </c>
      <c r="Z201" s="56">
        <v>45827</v>
      </c>
      <c r="AA201" s="35"/>
    </row>
    <row r="202" spans="1:27" x14ac:dyDescent="0.15">
      <c r="A202" s="47" t="s">
        <v>45</v>
      </c>
      <c r="B202" s="16"/>
      <c r="C202" s="29">
        <v>1</v>
      </c>
      <c r="D202" s="17"/>
      <c r="E202" s="20"/>
      <c r="F202" s="45">
        <f t="shared" si="208"/>
        <v>1</v>
      </c>
      <c r="G202" s="16"/>
      <c r="H202" s="29">
        <v>1</v>
      </c>
      <c r="I202" s="17"/>
      <c r="J202" s="20"/>
      <c r="K202" s="45">
        <f t="shared" si="209"/>
        <v>1</v>
      </c>
      <c r="L202" s="104">
        <f t="shared" si="196"/>
        <v>2</v>
      </c>
      <c r="M202" s="56">
        <v>45824</v>
      </c>
      <c r="N202" s="11" t="s">
        <v>453</v>
      </c>
      <c r="O202" s="16"/>
      <c r="P202" s="29"/>
      <c r="Q202" s="17"/>
      <c r="R202" s="32"/>
      <c r="S202" s="9">
        <f t="shared" si="206"/>
        <v>0</v>
      </c>
      <c r="T202" s="16">
        <v>2</v>
      </c>
      <c r="U202" s="29"/>
      <c r="V202" s="17"/>
      <c r="W202" s="32">
        <v>2</v>
      </c>
      <c r="X202" s="9">
        <f t="shared" si="207"/>
        <v>4</v>
      </c>
      <c r="Y202" s="104">
        <f t="shared" si="202"/>
        <v>4</v>
      </c>
      <c r="Z202" s="56">
        <v>45828</v>
      </c>
      <c r="AA202" s="35"/>
    </row>
    <row r="203" spans="1:27" x14ac:dyDescent="0.15">
      <c r="A203" s="47" t="s">
        <v>431</v>
      </c>
      <c r="B203" s="16">
        <v>1</v>
      </c>
      <c r="C203" s="29"/>
      <c r="D203" s="17"/>
      <c r="E203" s="20"/>
      <c r="F203" s="45">
        <f t="shared" si="208"/>
        <v>1</v>
      </c>
      <c r="G203" s="16">
        <v>2</v>
      </c>
      <c r="H203" s="29">
        <v>2</v>
      </c>
      <c r="I203" s="17">
        <v>1</v>
      </c>
      <c r="J203" s="20">
        <v>1</v>
      </c>
      <c r="K203" s="45">
        <f t="shared" si="209"/>
        <v>6</v>
      </c>
      <c r="L203" s="104">
        <f t="shared" si="196"/>
        <v>7</v>
      </c>
      <c r="M203" s="56">
        <v>45827</v>
      </c>
      <c r="N203" s="11" t="s">
        <v>40</v>
      </c>
      <c r="O203" s="16"/>
      <c r="P203" s="29">
        <v>3</v>
      </c>
      <c r="Q203" s="17"/>
      <c r="R203" s="32">
        <v>3</v>
      </c>
      <c r="S203" s="9">
        <f>SUM(O203:R203)</f>
        <v>6</v>
      </c>
      <c r="T203" s="16"/>
      <c r="U203" s="29">
        <v>3</v>
      </c>
      <c r="V203" s="17"/>
      <c r="W203" s="32"/>
      <c r="X203" s="9">
        <f>SUM(T203:W203)</f>
        <v>3</v>
      </c>
      <c r="Y203" s="104">
        <f t="shared" si="202"/>
        <v>9</v>
      </c>
      <c r="Z203" s="56">
        <v>45829</v>
      </c>
      <c r="AA203" s="35"/>
    </row>
    <row r="204" spans="1:27" x14ac:dyDescent="0.15">
      <c r="A204" s="47" t="s">
        <v>441</v>
      </c>
      <c r="B204" s="16"/>
      <c r="C204" s="29">
        <v>1</v>
      </c>
      <c r="D204" s="17"/>
      <c r="E204" s="20"/>
      <c r="F204" s="45">
        <f t="shared" si="208"/>
        <v>1</v>
      </c>
      <c r="G204" s="16">
        <v>-1</v>
      </c>
      <c r="H204" s="29"/>
      <c r="I204" s="17"/>
      <c r="J204" s="20"/>
      <c r="K204" s="45">
        <f t="shared" si="209"/>
        <v>-1</v>
      </c>
      <c r="L204" s="104">
        <f t="shared" si="196"/>
        <v>0</v>
      </c>
      <c r="M204" s="56">
        <v>45825</v>
      </c>
      <c r="N204" s="33"/>
      <c r="O204" s="16"/>
      <c r="P204" s="29"/>
      <c r="Q204" s="17"/>
      <c r="R204" s="32"/>
      <c r="S204" s="9">
        <f t="shared" si="206"/>
        <v>0</v>
      </c>
      <c r="T204" s="16"/>
      <c r="U204" s="29"/>
      <c r="V204" s="17"/>
      <c r="W204" s="32"/>
      <c r="X204" s="9">
        <f t="shared" si="207"/>
        <v>0</v>
      </c>
      <c r="Y204" s="104">
        <f t="shared" si="202"/>
        <v>0</v>
      </c>
      <c r="Z204" s="56"/>
      <c r="AA204" s="35"/>
    </row>
    <row r="205" spans="1:27" x14ac:dyDescent="0.15">
      <c r="A205" s="47" t="s">
        <v>45</v>
      </c>
      <c r="B205" s="16"/>
      <c r="C205" s="29"/>
      <c r="D205" s="17">
        <v>1</v>
      </c>
      <c r="E205" s="20"/>
      <c r="F205" s="45">
        <f t="shared" si="208"/>
        <v>1</v>
      </c>
      <c r="G205" s="16"/>
      <c r="H205" s="29"/>
      <c r="I205" s="17"/>
      <c r="J205" s="20"/>
      <c r="K205" s="45">
        <f t="shared" si="209"/>
        <v>0</v>
      </c>
      <c r="L205" s="104">
        <f t="shared" si="196"/>
        <v>1</v>
      </c>
      <c r="M205" s="56">
        <v>45825</v>
      </c>
      <c r="N205" s="11" t="s">
        <v>470</v>
      </c>
      <c r="O205" s="16">
        <v>1</v>
      </c>
      <c r="P205" s="29"/>
      <c r="Q205" s="17">
        <v>2</v>
      </c>
      <c r="R205" s="32"/>
      <c r="S205" s="9">
        <f t="shared" si="206"/>
        <v>3</v>
      </c>
      <c r="T205" s="16"/>
      <c r="U205" s="29">
        <v>2</v>
      </c>
      <c r="V205" s="17"/>
      <c r="W205" s="32"/>
      <c r="X205" s="9">
        <f t="shared" si="207"/>
        <v>2</v>
      </c>
      <c r="Y205" s="104">
        <f t="shared" si="202"/>
        <v>5</v>
      </c>
      <c r="Z205" s="56">
        <v>45834</v>
      </c>
      <c r="AA205" s="35"/>
    </row>
    <row r="206" spans="1:27" x14ac:dyDescent="0.15">
      <c r="A206" s="47" t="s">
        <v>434</v>
      </c>
      <c r="B206" s="16">
        <v>1</v>
      </c>
      <c r="C206" s="29"/>
      <c r="D206" s="17"/>
      <c r="E206" s="20"/>
      <c r="F206" s="45">
        <f t="shared" si="208"/>
        <v>1</v>
      </c>
      <c r="G206" s="16"/>
      <c r="H206" s="29"/>
      <c r="I206" s="17"/>
      <c r="J206" s="20"/>
      <c r="K206" s="45">
        <f t="shared" si="209"/>
        <v>0</v>
      </c>
      <c r="L206" s="104">
        <f t="shared" si="196"/>
        <v>1</v>
      </c>
      <c r="M206" s="56">
        <v>45828</v>
      </c>
      <c r="N206" s="11" t="s">
        <v>40</v>
      </c>
      <c r="O206" s="16"/>
      <c r="P206" s="29"/>
      <c r="Q206" s="17"/>
      <c r="R206" s="32"/>
      <c r="S206" s="9">
        <f>SUM(O206:R206)</f>
        <v>0</v>
      </c>
      <c r="T206" s="16"/>
      <c r="U206" s="29">
        <v>5</v>
      </c>
      <c r="V206" s="17"/>
      <c r="W206" s="32"/>
      <c r="X206" s="9">
        <f>SUM(T206:W206)</f>
        <v>5</v>
      </c>
      <c r="Y206" s="104">
        <f t="shared" si="202"/>
        <v>5</v>
      </c>
      <c r="Z206" s="56">
        <v>45833</v>
      </c>
    </row>
    <row r="207" spans="1:27" x14ac:dyDescent="0.15">
      <c r="A207" s="11" t="s">
        <v>416</v>
      </c>
      <c r="B207" s="16"/>
      <c r="C207" s="29"/>
      <c r="D207" s="17"/>
      <c r="E207" s="20">
        <v>1</v>
      </c>
      <c r="F207" s="45">
        <f t="shared" si="208"/>
        <v>1</v>
      </c>
      <c r="G207" s="16"/>
      <c r="H207" s="29"/>
      <c r="I207" s="17"/>
      <c r="J207" s="20"/>
      <c r="K207" s="45">
        <f t="shared" si="209"/>
        <v>0</v>
      </c>
      <c r="L207" s="104">
        <f t="shared" si="196"/>
        <v>1</v>
      </c>
      <c r="M207" s="56">
        <v>45831</v>
      </c>
      <c r="N207" s="11" t="s">
        <v>471</v>
      </c>
      <c r="O207" s="16"/>
      <c r="P207" s="29">
        <v>1</v>
      </c>
      <c r="Q207" s="17"/>
      <c r="R207" s="32">
        <v>2</v>
      </c>
      <c r="S207" s="9">
        <f t="shared" ref="S207:S210" si="210">SUM(O207:R207)</f>
        <v>3</v>
      </c>
      <c r="T207" s="16"/>
      <c r="U207" s="29"/>
      <c r="V207" s="17"/>
      <c r="W207" s="32"/>
      <c r="X207" s="9">
        <f t="shared" ref="X207:X210" si="211">SUM(T207:W207)</f>
        <v>0</v>
      </c>
      <c r="Y207" s="104">
        <f t="shared" si="202"/>
        <v>3</v>
      </c>
      <c r="Z207" s="56">
        <v>45834</v>
      </c>
    </row>
    <row r="208" spans="1:27" x14ac:dyDescent="0.15">
      <c r="A208" s="47" t="s">
        <v>45</v>
      </c>
      <c r="B208" s="16"/>
      <c r="C208" s="29">
        <v>1</v>
      </c>
      <c r="D208" s="17"/>
      <c r="E208" s="20">
        <v>2</v>
      </c>
      <c r="F208" s="45">
        <f t="shared" si="208"/>
        <v>3</v>
      </c>
      <c r="G208" s="16"/>
      <c r="H208" s="29"/>
      <c r="I208" s="17"/>
      <c r="J208" s="20"/>
      <c r="K208" s="45">
        <f t="shared" si="209"/>
        <v>0</v>
      </c>
      <c r="L208" s="104">
        <f t="shared" si="196"/>
        <v>3</v>
      </c>
      <c r="M208" s="56">
        <v>45826</v>
      </c>
      <c r="N208" s="11" t="s">
        <v>474</v>
      </c>
      <c r="O208" s="16">
        <v>20</v>
      </c>
      <c r="P208" s="29">
        <v>20</v>
      </c>
      <c r="Q208" s="17">
        <v>20</v>
      </c>
      <c r="R208" s="32">
        <v>20</v>
      </c>
      <c r="S208" s="9">
        <f t="shared" si="210"/>
        <v>80</v>
      </c>
      <c r="T208" s="16">
        <v>5</v>
      </c>
      <c r="U208" s="29">
        <v>15</v>
      </c>
      <c r="V208" s="17">
        <v>10</v>
      </c>
      <c r="W208" s="32">
        <v>10</v>
      </c>
      <c r="X208" s="9">
        <f t="shared" si="211"/>
        <v>40</v>
      </c>
      <c r="Y208" s="104">
        <f t="shared" si="202"/>
        <v>120</v>
      </c>
      <c r="Z208" s="56">
        <v>45838</v>
      </c>
    </row>
    <row r="209" spans="1:27" x14ac:dyDescent="0.15">
      <c r="A209" s="47" t="s">
        <v>455</v>
      </c>
      <c r="B209" s="16"/>
      <c r="C209" s="29"/>
      <c r="D209" s="17"/>
      <c r="E209" s="20"/>
      <c r="F209" s="45">
        <f t="shared" si="208"/>
        <v>0</v>
      </c>
      <c r="G209" s="16"/>
      <c r="H209" s="29"/>
      <c r="I209" s="17">
        <v>2</v>
      </c>
      <c r="J209" s="20"/>
      <c r="K209" s="45">
        <f t="shared" si="209"/>
        <v>2</v>
      </c>
      <c r="L209" s="104">
        <f t="shared" si="196"/>
        <v>2</v>
      </c>
      <c r="M209" s="56">
        <v>45831</v>
      </c>
      <c r="N209" s="47" t="s">
        <v>477</v>
      </c>
      <c r="O209" s="16"/>
      <c r="P209" s="29"/>
      <c r="Q209" s="17">
        <v>1</v>
      </c>
      <c r="R209" s="32">
        <v>6</v>
      </c>
      <c r="S209" s="9">
        <f t="shared" si="210"/>
        <v>7</v>
      </c>
      <c r="T209" s="16">
        <v>1</v>
      </c>
      <c r="U209" s="29">
        <v>1</v>
      </c>
      <c r="V209" s="17"/>
      <c r="W209" s="32"/>
      <c r="X209" s="9">
        <f t="shared" si="211"/>
        <v>2</v>
      </c>
      <c r="Y209" s="104">
        <f t="shared" si="202"/>
        <v>9</v>
      </c>
      <c r="Z209" s="56">
        <v>45840</v>
      </c>
    </row>
    <row r="210" spans="1:27" x14ac:dyDescent="0.15">
      <c r="A210" s="47" t="s">
        <v>460</v>
      </c>
      <c r="B210" s="16"/>
      <c r="C210" s="29"/>
      <c r="D210" s="17"/>
      <c r="E210" s="20"/>
      <c r="F210" s="45">
        <f t="shared" si="208"/>
        <v>0</v>
      </c>
      <c r="G210" s="16"/>
      <c r="H210" s="29">
        <v>2</v>
      </c>
      <c r="I210" s="17"/>
      <c r="J210" s="20"/>
      <c r="K210" s="45">
        <f t="shared" si="209"/>
        <v>2</v>
      </c>
      <c r="L210" s="104">
        <f t="shared" si="196"/>
        <v>2</v>
      </c>
      <c r="M210" s="56">
        <v>45833</v>
      </c>
      <c r="N210" s="11" t="s">
        <v>40</v>
      </c>
      <c r="O210" s="16">
        <v>3</v>
      </c>
      <c r="P210" s="29">
        <v>3</v>
      </c>
      <c r="Q210" s="17"/>
      <c r="R210" s="32"/>
      <c r="S210" s="9">
        <f t="shared" si="210"/>
        <v>6</v>
      </c>
      <c r="T210" s="16"/>
      <c r="U210" s="29">
        <v>3</v>
      </c>
      <c r="V210" s="17">
        <v>3</v>
      </c>
      <c r="W210" s="32">
        <v>3</v>
      </c>
      <c r="X210" s="9">
        <f t="shared" si="211"/>
        <v>9</v>
      </c>
      <c r="Y210" s="104">
        <f t="shared" si="202"/>
        <v>15</v>
      </c>
      <c r="Z210" s="56">
        <v>45840</v>
      </c>
      <c r="AA210" s="35"/>
    </row>
    <row r="211" spans="1:27" x14ac:dyDescent="0.15">
      <c r="A211" s="47" t="s">
        <v>45</v>
      </c>
      <c r="B211" s="16"/>
      <c r="C211" s="29"/>
      <c r="D211" s="17"/>
      <c r="E211" s="20"/>
      <c r="F211" s="45">
        <f t="shared" si="208"/>
        <v>0</v>
      </c>
      <c r="G211" s="16"/>
      <c r="H211" s="29"/>
      <c r="I211" s="17"/>
      <c r="J211" s="20">
        <v>1</v>
      </c>
      <c r="K211" s="45">
        <f t="shared" si="209"/>
        <v>1</v>
      </c>
      <c r="L211" s="104">
        <f t="shared" si="196"/>
        <v>1</v>
      </c>
      <c r="M211" s="56">
        <v>45829</v>
      </c>
      <c r="N211" s="11" t="s">
        <v>40</v>
      </c>
      <c r="O211" s="16"/>
      <c r="P211" s="29"/>
      <c r="Q211" s="17"/>
      <c r="R211" s="32">
        <v>3</v>
      </c>
      <c r="S211" s="9">
        <f>SUM(O211:R211)</f>
        <v>3</v>
      </c>
      <c r="T211" s="16"/>
      <c r="U211" s="29"/>
      <c r="V211" s="17"/>
      <c r="W211" s="32"/>
      <c r="X211" s="9">
        <f>SUM(T211:W211)</f>
        <v>0</v>
      </c>
      <c r="Y211" s="104">
        <f t="shared" si="202"/>
        <v>3</v>
      </c>
      <c r="Z211" s="56">
        <v>45841</v>
      </c>
      <c r="AA211" s="35"/>
    </row>
    <row r="212" spans="1:27" x14ac:dyDescent="0.15">
      <c r="A212" s="47" t="s">
        <v>45</v>
      </c>
      <c r="B212" s="16"/>
      <c r="C212" s="29">
        <v>1</v>
      </c>
      <c r="D212" s="17"/>
      <c r="E212" s="20"/>
      <c r="F212" s="45">
        <f t="shared" si="208"/>
        <v>1</v>
      </c>
      <c r="G212" s="16"/>
      <c r="H212" s="29">
        <v>2</v>
      </c>
      <c r="I212" s="17">
        <v>1</v>
      </c>
      <c r="J212" s="20">
        <v>1</v>
      </c>
      <c r="K212" s="45">
        <f t="shared" si="209"/>
        <v>4</v>
      </c>
      <c r="L212" s="104">
        <f t="shared" si="196"/>
        <v>5</v>
      </c>
      <c r="M212" s="56">
        <v>45831</v>
      </c>
      <c r="N212" s="33" t="s">
        <v>463</v>
      </c>
      <c r="O212" s="16"/>
      <c r="P212" s="29"/>
      <c r="Q212" s="17"/>
      <c r="R212" s="32"/>
      <c r="S212" s="9">
        <f t="shared" ref="S212" si="212">SUM(O212:R212)</f>
        <v>0</v>
      </c>
      <c r="T212" s="16"/>
      <c r="U212" s="29"/>
      <c r="V212" s="17">
        <v>2</v>
      </c>
      <c r="W212" s="32"/>
      <c r="X212" s="9">
        <f t="shared" ref="X212" si="213">SUM(T212:W212)</f>
        <v>2</v>
      </c>
      <c r="Y212" s="104">
        <f t="shared" si="202"/>
        <v>2</v>
      </c>
      <c r="Z212" s="56">
        <v>45848</v>
      </c>
    </row>
    <row r="213" spans="1:27" x14ac:dyDescent="0.15">
      <c r="A213" s="47" t="s">
        <v>467</v>
      </c>
      <c r="B213" s="16"/>
      <c r="C213" s="29"/>
      <c r="D213" s="17"/>
      <c r="E213" s="20">
        <v>1</v>
      </c>
      <c r="F213" s="45">
        <f t="shared" si="208"/>
        <v>1</v>
      </c>
      <c r="G213" s="16"/>
      <c r="H213" s="29"/>
      <c r="I213" s="17"/>
      <c r="J213" s="20"/>
      <c r="K213" s="45">
        <f t="shared" si="209"/>
        <v>0</v>
      </c>
      <c r="L213" s="104">
        <f t="shared" si="196"/>
        <v>1</v>
      </c>
      <c r="M213" s="56">
        <v>45834</v>
      </c>
      <c r="N213" s="11" t="s">
        <v>494</v>
      </c>
      <c r="O213" s="16">
        <v>10</v>
      </c>
      <c r="P213" s="29">
        <v>15</v>
      </c>
      <c r="Q213" s="17">
        <v>10</v>
      </c>
      <c r="R213" s="32">
        <v>5</v>
      </c>
      <c r="S213" s="9">
        <f>SUM(O213:R213)</f>
        <v>40</v>
      </c>
      <c r="T213" s="16"/>
      <c r="U213" s="29"/>
      <c r="V213" s="17">
        <v>15</v>
      </c>
      <c r="W213" s="32"/>
      <c r="X213" s="9">
        <f>SUM(T213:W213)</f>
        <v>15</v>
      </c>
      <c r="Y213" s="104">
        <f t="shared" si="202"/>
        <v>55</v>
      </c>
      <c r="Z213" s="56">
        <v>45845</v>
      </c>
      <c r="AA213" s="35"/>
    </row>
    <row r="214" spans="1:27" x14ac:dyDescent="0.15">
      <c r="A214" s="47" t="s">
        <v>45</v>
      </c>
      <c r="B214" s="16"/>
      <c r="C214" s="29">
        <v>1</v>
      </c>
      <c r="D214" s="17"/>
      <c r="E214" s="20"/>
      <c r="F214" s="45">
        <f t="shared" si="208"/>
        <v>1</v>
      </c>
      <c r="G214" s="16"/>
      <c r="H214" s="29">
        <v>1</v>
      </c>
      <c r="I214" s="17"/>
      <c r="J214" s="20"/>
      <c r="K214" s="45">
        <f t="shared" si="209"/>
        <v>1</v>
      </c>
      <c r="L214" s="104">
        <f t="shared" si="196"/>
        <v>2</v>
      </c>
      <c r="M214" s="56">
        <v>45832</v>
      </c>
      <c r="N214" s="11" t="s">
        <v>40</v>
      </c>
      <c r="O214" s="16"/>
      <c r="P214" s="29">
        <v>3</v>
      </c>
      <c r="Q214" s="17"/>
      <c r="R214" s="32"/>
      <c r="S214" s="9">
        <f>SUM(O214:R214)</f>
        <v>3</v>
      </c>
      <c r="T214" s="16"/>
      <c r="U214" s="29"/>
      <c r="V214" s="17">
        <v>3</v>
      </c>
      <c r="W214" s="32">
        <v>3</v>
      </c>
      <c r="X214" s="9">
        <f>SUM(T214:W214)</f>
        <v>6</v>
      </c>
      <c r="Y214" s="104">
        <f t="shared" si="202"/>
        <v>9</v>
      </c>
      <c r="Z214" s="56">
        <v>45843</v>
      </c>
      <c r="AA214" s="35"/>
    </row>
    <row r="215" spans="1:27" x14ac:dyDescent="0.15">
      <c r="A215" s="47" t="s">
        <v>473</v>
      </c>
      <c r="B215" s="16"/>
      <c r="C215" s="29"/>
      <c r="D215" s="17"/>
      <c r="E215" s="20"/>
      <c r="F215" s="45">
        <f t="shared" si="208"/>
        <v>0</v>
      </c>
      <c r="G215" s="16"/>
      <c r="H215" s="29">
        <v>1</v>
      </c>
      <c r="I215" s="17"/>
      <c r="J215" s="20"/>
      <c r="K215" s="45">
        <f t="shared" si="209"/>
        <v>1</v>
      </c>
      <c r="L215" s="104">
        <f t="shared" si="196"/>
        <v>1</v>
      </c>
      <c r="M215" s="56">
        <v>45835</v>
      </c>
      <c r="N215" s="33" t="s">
        <v>500</v>
      </c>
      <c r="O215" s="16"/>
      <c r="P215" s="29"/>
      <c r="Q215" s="17"/>
      <c r="R215" s="32"/>
      <c r="S215" s="9">
        <f t="shared" ref="S215:S225" si="214">SUM(O215:R215)</f>
        <v>0</v>
      </c>
      <c r="T215" s="16"/>
      <c r="U215" s="29">
        <v>2</v>
      </c>
      <c r="V215" s="17"/>
      <c r="W215" s="32">
        <v>2</v>
      </c>
      <c r="X215" s="9">
        <f t="shared" ref="X215:X225" si="215">SUM(T215:W215)</f>
        <v>4</v>
      </c>
      <c r="Y215" s="104">
        <f t="shared" si="202"/>
        <v>4</v>
      </c>
      <c r="Z215" s="56">
        <v>45854</v>
      </c>
      <c r="AA215" s="35"/>
    </row>
    <row r="216" spans="1:27" x14ac:dyDescent="0.15">
      <c r="A216" s="47" t="s">
        <v>45</v>
      </c>
      <c r="B216" s="16"/>
      <c r="C216" s="29"/>
      <c r="D216" s="17"/>
      <c r="E216" s="20"/>
      <c r="F216" s="45">
        <f t="shared" si="208"/>
        <v>0</v>
      </c>
      <c r="G216" s="16"/>
      <c r="H216" s="29"/>
      <c r="I216" s="17"/>
      <c r="J216" s="20">
        <v>1</v>
      </c>
      <c r="K216" s="45">
        <f t="shared" si="209"/>
        <v>1</v>
      </c>
      <c r="L216" s="104">
        <f t="shared" si="196"/>
        <v>1</v>
      </c>
      <c r="M216" s="56">
        <v>45836</v>
      </c>
      <c r="N216" s="11" t="s">
        <v>504</v>
      </c>
      <c r="O216" s="16">
        <v>2</v>
      </c>
      <c r="P216" s="29">
        <v>2</v>
      </c>
      <c r="Q216" s="17">
        <v>2</v>
      </c>
      <c r="R216" s="32">
        <v>2</v>
      </c>
      <c r="S216" s="9">
        <f t="shared" si="214"/>
        <v>8</v>
      </c>
      <c r="T216" s="16">
        <v>2</v>
      </c>
      <c r="U216" s="29">
        <v>2</v>
      </c>
      <c r="V216" s="17">
        <v>2</v>
      </c>
      <c r="W216" s="32">
        <v>2</v>
      </c>
      <c r="X216" s="9">
        <f t="shared" si="215"/>
        <v>8</v>
      </c>
      <c r="Y216" s="104">
        <f t="shared" si="202"/>
        <v>16</v>
      </c>
      <c r="Z216" s="56">
        <v>45848</v>
      </c>
      <c r="AA216" s="35"/>
    </row>
    <row r="217" spans="1:27" x14ac:dyDescent="0.15">
      <c r="A217" s="47" t="s">
        <v>45</v>
      </c>
      <c r="B217" s="16"/>
      <c r="C217" s="29"/>
      <c r="D217" s="17"/>
      <c r="E217" s="20"/>
      <c r="F217" s="45">
        <f t="shared" si="208"/>
        <v>0</v>
      </c>
      <c r="G217" s="16"/>
      <c r="H217" s="29">
        <v>1</v>
      </c>
      <c r="I217" s="17"/>
      <c r="J217" s="20"/>
      <c r="K217" s="45">
        <f t="shared" si="209"/>
        <v>1</v>
      </c>
      <c r="L217" s="104">
        <f t="shared" si="196"/>
        <v>1</v>
      </c>
      <c r="M217" s="58">
        <v>45834</v>
      </c>
      <c r="N217" s="11" t="s">
        <v>508</v>
      </c>
      <c r="O217" s="41">
        <v>6</v>
      </c>
      <c r="P217" s="42"/>
      <c r="Q217" s="43"/>
      <c r="R217" s="59"/>
      <c r="S217" s="61">
        <f t="shared" si="214"/>
        <v>6</v>
      </c>
      <c r="T217" s="41"/>
      <c r="U217" s="42"/>
      <c r="V217" s="43"/>
      <c r="W217" s="59"/>
      <c r="X217" s="61">
        <f t="shared" si="215"/>
        <v>0</v>
      </c>
      <c r="Y217" s="104">
        <f t="shared" si="202"/>
        <v>6</v>
      </c>
      <c r="Z217" s="56">
        <v>45849</v>
      </c>
      <c r="AA217" s="35"/>
    </row>
    <row r="218" spans="1:27" x14ac:dyDescent="0.15">
      <c r="A218" s="47" t="s">
        <v>249</v>
      </c>
      <c r="B218" s="16"/>
      <c r="C218" s="29">
        <v>1</v>
      </c>
      <c r="D218" s="17"/>
      <c r="E218" s="20">
        <v>-1</v>
      </c>
      <c r="F218" s="45">
        <f t="shared" si="208"/>
        <v>0</v>
      </c>
      <c r="G218" s="16"/>
      <c r="H218" s="29"/>
      <c r="I218" s="17"/>
      <c r="J218" s="20"/>
      <c r="K218" s="45">
        <f t="shared" si="209"/>
        <v>0</v>
      </c>
      <c r="L218" s="104">
        <f t="shared" si="196"/>
        <v>0</v>
      </c>
      <c r="M218" s="58">
        <v>45834</v>
      </c>
      <c r="N218" s="11" t="s">
        <v>517</v>
      </c>
      <c r="O218" s="16"/>
      <c r="P218" s="17"/>
      <c r="Q218" s="29"/>
      <c r="R218" s="60">
        <v>2</v>
      </c>
      <c r="S218" s="9">
        <f t="shared" si="214"/>
        <v>2</v>
      </c>
      <c r="T218" s="16"/>
      <c r="U218" s="17"/>
      <c r="V218" s="29">
        <v>2</v>
      </c>
      <c r="W218" s="60"/>
      <c r="X218" s="9">
        <f t="shared" si="215"/>
        <v>2</v>
      </c>
      <c r="Y218" s="104">
        <f t="shared" si="202"/>
        <v>4</v>
      </c>
      <c r="Z218" s="56">
        <v>45849</v>
      </c>
      <c r="AA218" s="35"/>
    </row>
    <row r="219" spans="1:27" x14ac:dyDescent="0.15">
      <c r="A219" s="47" t="s">
        <v>476</v>
      </c>
      <c r="B219" s="16"/>
      <c r="C219" s="29"/>
      <c r="D219" s="17">
        <v>1</v>
      </c>
      <c r="E219" s="20"/>
      <c r="F219" s="45">
        <f t="shared" si="208"/>
        <v>1</v>
      </c>
      <c r="G219" s="16"/>
      <c r="H219" s="29">
        <v>1</v>
      </c>
      <c r="I219" s="17"/>
      <c r="J219" s="20"/>
      <c r="K219" s="45">
        <f t="shared" si="209"/>
        <v>1</v>
      </c>
      <c r="L219" s="104">
        <f t="shared" si="196"/>
        <v>2</v>
      </c>
      <c r="M219" s="56">
        <v>45838</v>
      </c>
      <c r="N219" s="11"/>
      <c r="O219" s="16"/>
      <c r="P219" s="17"/>
      <c r="Q219" s="29"/>
      <c r="R219" s="60"/>
      <c r="S219" s="9">
        <f t="shared" ref="S219:S220" si="216">SUM(O219:R219)</f>
        <v>0</v>
      </c>
      <c r="T219" s="16"/>
      <c r="U219" s="17"/>
      <c r="V219" s="29"/>
      <c r="W219" s="60"/>
      <c r="X219" s="9">
        <f t="shared" ref="X219:X220" si="217">SUM(T219:W219)</f>
        <v>0</v>
      </c>
      <c r="Y219" s="104">
        <f t="shared" ref="Y219:Y220" si="218">S219+X219</f>
        <v>0</v>
      </c>
      <c r="Z219" s="157"/>
      <c r="AA219" s="35"/>
    </row>
    <row r="220" spans="1:27" x14ac:dyDescent="0.15">
      <c r="A220" s="47" t="s">
        <v>45</v>
      </c>
      <c r="B220" s="16">
        <v>1</v>
      </c>
      <c r="C220" s="29"/>
      <c r="D220" s="17"/>
      <c r="E220" s="20"/>
      <c r="F220" s="45">
        <f t="shared" si="208"/>
        <v>1</v>
      </c>
      <c r="G220" s="16"/>
      <c r="H220" s="29"/>
      <c r="I220" s="17"/>
      <c r="J220" s="20"/>
      <c r="K220" s="45">
        <f t="shared" si="209"/>
        <v>0</v>
      </c>
      <c r="L220" s="104">
        <f t="shared" si="196"/>
        <v>1</v>
      </c>
      <c r="M220" s="56">
        <v>45838</v>
      </c>
      <c r="N220" s="11"/>
      <c r="O220" s="16"/>
      <c r="P220" s="17"/>
      <c r="Q220" s="29"/>
      <c r="R220" s="60"/>
      <c r="S220" s="9">
        <f t="shared" si="216"/>
        <v>0</v>
      </c>
      <c r="T220" s="16"/>
      <c r="U220" s="17"/>
      <c r="V220" s="29"/>
      <c r="W220" s="60"/>
      <c r="X220" s="9">
        <f t="shared" si="217"/>
        <v>0</v>
      </c>
      <c r="Y220" s="104">
        <f t="shared" si="218"/>
        <v>0</v>
      </c>
      <c r="Z220" s="157"/>
    </row>
    <row r="221" spans="1:27" x14ac:dyDescent="0.15">
      <c r="A221" s="47" t="s">
        <v>480</v>
      </c>
      <c r="B221" s="16">
        <v>1</v>
      </c>
      <c r="C221" s="29"/>
      <c r="D221" s="17"/>
      <c r="E221" s="20"/>
      <c r="F221" s="45">
        <f t="shared" si="208"/>
        <v>1</v>
      </c>
      <c r="G221" s="16"/>
      <c r="H221" s="29"/>
      <c r="I221" s="17">
        <v>1</v>
      </c>
      <c r="J221" s="20">
        <v>2</v>
      </c>
      <c r="K221" s="45">
        <f t="shared" si="209"/>
        <v>3</v>
      </c>
      <c r="L221" s="104">
        <f t="shared" si="196"/>
        <v>4</v>
      </c>
      <c r="M221" s="56">
        <v>45841</v>
      </c>
      <c r="N221" s="11" t="s">
        <v>349</v>
      </c>
      <c r="O221" s="16"/>
      <c r="P221" s="17"/>
      <c r="Q221" s="29"/>
      <c r="R221" s="60"/>
      <c r="S221" s="9">
        <f t="shared" si="214"/>
        <v>0</v>
      </c>
      <c r="T221" s="16"/>
      <c r="U221" s="17"/>
      <c r="V221" s="29"/>
      <c r="W221" s="60"/>
      <c r="X221" s="9">
        <f t="shared" si="215"/>
        <v>0</v>
      </c>
      <c r="Y221" s="104">
        <f t="shared" ref="Y221:Y226" si="219">S221+X221</f>
        <v>0</v>
      </c>
      <c r="Z221" s="157" t="s">
        <v>350</v>
      </c>
    </row>
    <row r="222" spans="1:27" x14ac:dyDescent="0.15">
      <c r="A222" s="47" t="s">
        <v>45</v>
      </c>
      <c r="B222" s="16"/>
      <c r="C222" s="29"/>
      <c r="D222" s="17"/>
      <c r="E222" s="20"/>
      <c r="F222" s="45">
        <f t="shared" si="208"/>
        <v>0</v>
      </c>
      <c r="G222" s="16"/>
      <c r="H222" s="29"/>
      <c r="I222" s="17"/>
      <c r="J222" s="20">
        <v>1</v>
      </c>
      <c r="K222" s="45">
        <f t="shared" si="209"/>
        <v>1</v>
      </c>
      <c r="L222" s="104">
        <f t="shared" si="196"/>
        <v>1</v>
      </c>
      <c r="M222" s="56">
        <v>45839</v>
      </c>
      <c r="N222" s="72" t="s">
        <v>247</v>
      </c>
      <c r="O222" s="166"/>
      <c r="P222" s="167"/>
      <c r="Q222" s="160"/>
      <c r="R222" s="168"/>
      <c r="S222" s="165">
        <f t="shared" si="214"/>
        <v>0</v>
      </c>
      <c r="T222" s="166"/>
      <c r="U222" s="167"/>
      <c r="V222" s="160"/>
      <c r="W222" s="168"/>
      <c r="X222" s="165">
        <f t="shared" si="215"/>
        <v>0</v>
      </c>
      <c r="Y222" s="169">
        <f t="shared" si="219"/>
        <v>0</v>
      </c>
      <c r="Z222" s="157" t="s">
        <v>350</v>
      </c>
    </row>
    <row r="223" spans="1:27" x14ac:dyDescent="0.15">
      <c r="A223" s="47" t="s">
        <v>482</v>
      </c>
      <c r="B223" s="16">
        <v>-3</v>
      </c>
      <c r="C223" s="29">
        <v>-3</v>
      </c>
      <c r="D223" s="17"/>
      <c r="E223" s="20"/>
      <c r="F223" s="45">
        <f t="shared" si="208"/>
        <v>-6</v>
      </c>
      <c r="G223" s="16"/>
      <c r="H223" s="29"/>
      <c r="I223" s="17">
        <v>-3</v>
      </c>
      <c r="J223" s="20">
        <v>-3</v>
      </c>
      <c r="K223" s="45">
        <f t="shared" si="209"/>
        <v>-6</v>
      </c>
      <c r="L223" s="104">
        <f t="shared" si="196"/>
        <v>-12</v>
      </c>
      <c r="M223" s="56">
        <v>45840</v>
      </c>
      <c r="N223" s="33" t="s">
        <v>239</v>
      </c>
      <c r="O223" s="171"/>
      <c r="P223" s="172"/>
      <c r="Q223" s="173"/>
      <c r="R223" s="174"/>
      <c r="S223" s="61">
        <f t="shared" si="214"/>
        <v>0</v>
      </c>
      <c r="T223" s="171"/>
      <c r="U223" s="172"/>
      <c r="V223" s="173"/>
      <c r="W223" s="174"/>
      <c r="X223" s="61">
        <f t="shared" si="215"/>
        <v>0</v>
      </c>
      <c r="Y223" s="103">
        <f t="shared" si="219"/>
        <v>0</v>
      </c>
      <c r="Z223" s="157" t="s">
        <v>238</v>
      </c>
    </row>
    <row r="224" spans="1:27" ht="14.25" thickBot="1" x14ac:dyDescent="0.2">
      <c r="A224" s="128" t="s">
        <v>483</v>
      </c>
      <c r="B224" s="37"/>
      <c r="C224" s="38"/>
      <c r="D224" s="39"/>
      <c r="E224" s="129">
        <v>2</v>
      </c>
      <c r="F224" s="10">
        <f t="shared" si="208"/>
        <v>2</v>
      </c>
      <c r="G224" s="37"/>
      <c r="H224" s="38"/>
      <c r="I224" s="39"/>
      <c r="J224" s="40"/>
      <c r="K224" s="9">
        <f t="shared" si="209"/>
        <v>0</v>
      </c>
      <c r="L224" s="104">
        <f t="shared" si="196"/>
        <v>2</v>
      </c>
      <c r="M224" s="56">
        <v>45841</v>
      </c>
      <c r="N224" s="128" t="s">
        <v>217</v>
      </c>
      <c r="O224" s="37"/>
      <c r="P224" s="38"/>
      <c r="Q224" s="39"/>
      <c r="R224" s="129"/>
      <c r="S224" s="10">
        <f t="shared" si="214"/>
        <v>0</v>
      </c>
      <c r="T224" s="37"/>
      <c r="U224" s="38"/>
      <c r="V224" s="39"/>
      <c r="W224" s="129"/>
      <c r="X224" s="10">
        <f t="shared" si="215"/>
        <v>0</v>
      </c>
      <c r="Y224" s="101">
        <f t="shared" si="219"/>
        <v>0</v>
      </c>
      <c r="Z224" s="157" t="s">
        <v>215</v>
      </c>
    </row>
    <row r="225" spans="1:27" ht="14.25" thickBot="1" x14ac:dyDescent="0.2">
      <c r="A225" s="49" t="s">
        <v>8</v>
      </c>
      <c r="B225" s="22">
        <f>SUM(B200:B224)</f>
        <v>1</v>
      </c>
      <c r="C225" s="30">
        <f>SUM(C200:C224)</f>
        <v>3</v>
      </c>
      <c r="D225" s="23">
        <f>SUM(D200:D224)</f>
        <v>1</v>
      </c>
      <c r="E225" s="24">
        <f>SUM(E200:E224)</f>
        <v>5</v>
      </c>
      <c r="F225" s="48">
        <f t="shared" si="208"/>
        <v>10</v>
      </c>
      <c r="G225" s="22">
        <f>SUM(G200:G224)</f>
        <v>1</v>
      </c>
      <c r="H225" s="30">
        <f>SUM(H200:H224)</f>
        <v>12</v>
      </c>
      <c r="I225" s="23">
        <f>SUM(I200:I224)</f>
        <v>2</v>
      </c>
      <c r="J225" s="24">
        <f>SUM(J200:J224)</f>
        <v>5</v>
      </c>
      <c r="K225" s="21">
        <f>SUM(G225:J225)</f>
        <v>20</v>
      </c>
      <c r="L225" s="105">
        <f t="shared" si="196"/>
        <v>30</v>
      </c>
      <c r="N225" s="49" t="s">
        <v>8</v>
      </c>
      <c r="O225" s="22">
        <f>SUM(O200:O224)</f>
        <v>42</v>
      </c>
      <c r="P225" s="30">
        <f>SUM(P200:P224)</f>
        <v>47</v>
      </c>
      <c r="Q225" s="23">
        <f>SUM(Q200:Q224)</f>
        <v>37</v>
      </c>
      <c r="R225" s="24">
        <f>SUM(R200:R224)</f>
        <v>45</v>
      </c>
      <c r="S225" s="48">
        <f t="shared" si="214"/>
        <v>171</v>
      </c>
      <c r="T225" s="22">
        <f>SUM(T200:T224)</f>
        <v>22</v>
      </c>
      <c r="U225" s="30">
        <f>SUM(U200:U224)</f>
        <v>33</v>
      </c>
      <c r="V225" s="23">
        <f>SUM(V200:V224)</f>
        <v>48</v>
      </c>
      <c r="W225" s="24">
        <f>SUM(W200:W224)</f>
        <v>26</v>
      </c>
      <c r="X225" s="48">
        <f t="shared" si="215"/>
        <v>129</v>
      </c>
      <c r="Y225" s="122">
        <f t="shared" si="219"/>
        <v>300</v>
      </c>
    </row>
    <row r="226" spans="1:27" ht="14.25" thickBot="1" x14ac:dyDescent="0.2">
      <c r="A226" s="14" t="s">
        <v>9</v>
      </c>
      <c r="B226" s="25">
        <f t="shared" ref="B226:K226" si="220">B199-B225</f>
        <v>9</v>
      </c>
      <c r="C226" s="31">
        <f t="shared" si="220"/>
        <v>5</v>
      </c>
      <c r="D226" s="26">
        <f t="shared" si="220"/>
        <v>2</v>
      </c>
      <c r="E226" s="27">
        <f t="shared" si="220"/>
        <v>4</v>
      </c>
      <c r="F226" s="83">
        <f t="shared" si="220"/>
        <v>20</v>
      </c>
      <c r="G226" s="25">
        <f t="shared" si="220"/>
        <v>4</v>
      </c>
      <c r="H226" s="31">
        <f t="shared" si="220"/>
        <v>4</v>
      </c>
      <c r="I226" s="26">
        <f t="shared" si="220"/>
        <v>5</v>
      </c>
      <c r="J226" s="27">
        <f t="shared" si="220"/>
        <v>3</v>
      </c>
      <c r="K226" s="83">
        <f t="shared" si="220"/>
        <v>16</v>
      </c>
      <c r="L226" s="102">
        <f t="shared" si="196"/>
        <v>36</v>
      </c>
      <c r="N226" s="13" t="s">
        <v>9</v>
      </c>
      <c r="O226" s="25">
        <f t="shared" ref="O226:X226" si="221">O199-O225</f>
        <v>51</v>
      </c>
      <c r="P226" s="31">
        <f t="shared" si="221"/>
        <v>119</v>
      </c>
      <c r="Q226" s="26">
        <f t="shared" si="221"/>
        <v>107</v>
      </c>
      <c r="R226" s="27">
        <f t="shared" si="221"/>
        <v>110</v>
      </c>
      <c r="S226" s="36">
        <f t="shared" si="221"/>
        <v>387</v>
      </c>
      <c r="T226" s="25">
        <f t="shared" si="221"/>
        <v>89</v>
      </c>
      <c r="U226" s="31">
        <f t="shared" si="221"/>
        <v>112</v>
      </c>
      <c r="V226" s="26">
        <f t="shared" si="221"/>
        <v>119</v>
      </c>
      <c r="W226" s="27">
        <f t="shared" si="221"/>
        <v>128</v>
      </c>
      <c r="X226" s="36">
        <f t="shared" si="221"/>
        <v>448</v>
      </c>
      <c r="Y226" s="102">
        <f t="shared" si="219"/>
        <v>835</v>
      </c>
    </row>
    <row r="227" spans="1:27" x14ac:dyDescent="0.15">
      <c r="N227" s="108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</row>
    <row r="228" spans="1:27" x14ac:dyDescent="0.15">
      <c r="O228" s="116"/>
      <c r="P228" s="116"/>
      <c r="Q228" s="149"/>
      <c r="R228" s="116"/>
      <c r="S228" s="116"/>
      <c r="T228" s="149"/>
      <c r="U228" s="149"/>
      <c r="V228" s="149"/>
      <c r="W228" s="149"/>
      <c r="X228" s="116"/>
    </row>
    <row r="229" spans="1:27" ht="19.5" thickBot="1" x14ac:dyDescent="0.25">
      <c r="A229" s="2" t="s">
        <v>16</v>
      </c>
      <c r="B229" s="2"/>
      <c r="C229" s="1"/>
      <c r="D229" s="1"/>
      <c r="E229" s="1"/>
      <c r="F229" s="84"/>
      <c r="G229" s="2"/>
      <c r="H229" s="1" t="s">
        <v>156</v>
      </c>
      <c r="I229" s="1"/>
      <c r="J229" s="1"/>
      <c r="K229" s="84" t="s">
        <v>13</v>
      </c>
      <c r="L229" s="84"/>
      <c r="N229" s="2" t="s">
        <v>17</v>
      </c>
      <c r="O229" s="71"/>
      <c r="P229" s="71"/>
      <c r="Q229" s="71"/>
      <c r="R229" s="71"/>
      <c r="T229" s="71"/>
      <c r="U229" s="1" t="s">
        <v>156</v>
      </c>
      <c r="V229" s="71"/>
      <c r="W229" s="71"/>
      <c r="X229" s="84" t="s">
        <v>13</v>
      </c>
      <c r="Y229" s="84"/>
    </row>
    <row r="230" spans="1:27" ht="14.25" thickBot="1" x14ac:dyDescent="0.2">
      <c r="A230" s="5" t="s">
        <v>0</v>
      </c>
      <c r="B230" s="328" t="s">
        <v>120</v>
      </c>
      <c r="C230" s="329"/>
      <c r="D230" s="329"/>
      <c r="E230" s="329"/>
      <c r="F230" s="330"/>
      <c r="G230" s="331" t="s">
        <v>14</v>
      </c>
      <c r="H230" s="332"/>
      <c r="I230" s="332"/>
      <c r="J230" s="332"/>
      <c r="K230" s="333"/>
      <c r="L230" s="320" t="s">
        <v>30</v>
      </c>
      <c r="N230" s="5" t="s">
        <v>0</v>
      </c>
      <c r="O230" s="328" t="s">
        <v>202</v>
      </c>
      <c r="P230" s="329"/>
      <c r="Q230" s="329"/>
      <c r="R230" s="329"/>
      <c r="S230" s="330"/>
      <c r="T230" s="331" t="s">
        <v>203</v>
      </c>
      <c r="U230" s="332"/>
      <c r="V230" s="332"/>
      <c r="W230" s="332"/>
      <c r="X230" s="333"/>
      <c r="Y230" s="320" t="s">
        <v>30</v>
      </c>
    </row>
    <row r="231" spans="1:27" ht="14.25" thickBot="1" x14ac:dyDescent="0.2">
      <c r="A231" s="5" t="s">
        <v>1</v>
      </c>
      <c r="B231" s="3" t="s">
        <v>22</v>
      </c>
      <c r="C231" s="28" t="s">
        <v>23</v>
      </c>
      <c r="D231" s="4" t="s">
        <v>24</v>
      </c>
      <c r="E231" s="15" t="s">
        <v>25</v>
      </c>
      <c r="F231" s="19" t="s">
        <v>2</v>
      </c>
      <c r="G231" s="3" t="s">
        <v>22</v>
      </c>
      <c r="H231" s="28" t="s">
        <v>23</v>
      </c>
      <c r="I231" s="4" t="s">
        <v>24</v>
      </c>
      <c r="J231" s="15" t="s">
        <v>25</v>
      </c>
      <c r="K231" s="19" t="s">
        <v>2</v>
      </c>
      <c r="L231" s="321"/>
      <c r="N231" s="5" t="s">
        <v>1</v>
      </c>
      <c r="O231" s="3" t="s">
        <v>22</v>
      </c>
      <c r="P231" s="28" t="s">
        <v>23</v>
      </c>
      <c r="Q231" s="4" t="s">
        <v>24</v>
      </c>
      <c r="R231" s="15" t="s">
        <v>25</v>
      </c>
      <c r="S231" s="19" t="s">
        <v>2</v>
      </c>
      <c r="T231" s="3" t="s">
        <v>22</v>
      </c>
      <c r="U231" s="28" t="s">
        <v>23</v>
      </c>
      <c r="V231" s="4" t="s">
        <v>24</v>
      </c>
      <c r="W231" s="15" t="s">
        <v>25</v>
      </c>
      <c r="X231" s="19" t="s">
        <v>2</v>
      </c>
      <c r="Y231" s="321"/>
    </row>
    <row r="232" spans="1:27" x14ac:dyDescent="0.15">
      <c r="A232" s="78" t="s">
        <v>10</v>
      </c>
      <c r="B232" s="79">
        <f>B226</f>
        <v>9</v>
      </c>
      <c r="C232" s="80">
        <f>C226</f>
        <v>5</v>
      </c>
      <c r="D232" s="80">
        <f>D226</f>
        <v>2</v>
      </c>
      <c r="E232" s="81">
        <f>E226</f>
        <v>4</v>
      </c>
      <c r="F232" s="82">
        <f>SUM(B232:E232)</f>
        <v>20</v>
      </c>
      <c r="G232" s="79">
        <f>G226</f>
        <v>4</v>
      </c>
      <c r="H232" s="80">
        <f>H226</f>
        <v>4</v>
      </c>
      <c r="I232" s="80">
        <f>I226</f>
        <v>5</v>
      </c>
      <c r="J232" s="81">
        <f>J226</f>
        <v>3</v>
      </c>
      <c r="K232" s="82">
        <f>SUM(G232:J232)</f>
        <v>16</v>
      </c>
      <c r="L232" s="98">
        <f>F232+K232</f>
        <v>36</v>
      </c>
      <c r="N232" s="78" t="s">
        <v>10</v>
      </c>
      <c r="O232" s="79">
        <f>O226</f>
        <v>51</v>
      </c>
      <c r="P232" s="80">
        <f>P226</f>
        <v>119</v>
      </c>
      <c r="Q232" s="80">
        <f>Q226</f>
        <v>107</v>
      </c>
      <c r="R232" s="81">
        <f>R226</f>
        <v>110</v>
      </c>
      <c r="S232" s="82">
        <f>SUM(O232:R232)</f>
        <v>387</v>
      </c>
      <c r="T232" s="79">
        <f>T226</f>
        <v>89</v>
      </c>
      <c r="U232" s="80">
        <f>U226</f>
        <v>112</v>
      </c>
      <c r="V232" s="80">
        <f>V226</f>
        <v>119</v>
      </c>
      <c r="W232" s="81">
        <f>W226</f>
        <v>128</v>
      </c>
      <c r="X232" s="82">
        <f>SUM(T232:W232)</f>
        <v>448</v>
      </c>
      <c r="Y232" s="98">
        <f>S232+X232</f>
        <v>835</v>
      </c>
    </row>
    <row r="233" spans="1:27" x14ac:dyDescent="0.15">
      <c r="A233" s="12" t="s">
        <v>3</v>
      </c>
      <c r="B233" s="6"/>
      <c r="C233" s="18"/>
      <c r="D233" s="7"/>
      <c r="E233" s="8">
        <v>3</v>
      </c>
      <c r="F233" s="9">
        <f>SUM(B233:E233)</f>
        <v>3</v>
      </c>
      <c r="G233" s="6"/>
      <c r="H233" s="18"/>
      <c r="I233" s="7"/>
      <c r="J233" s="8"/>
      <c r="K233" s="9">
        <f>SUM(G233:J233)</f>
        <v>0</v>
      </c>
      <c r="L233" s="100">
        <f t="shared" ref="L233" si="222">F233+K233</f>
        <v>3</v>
      </c>
      <c r="M233" s="56">
        <v>45841</v>
      </c>
      <c r="N233" s="12" t="s">
        <v>533</v>
      </c>
      <c r="O233" s="16"/>
      <c r="P233" s="29"/>
      <c r="Q233" s="17"/>
      <c r="R233" s="20"/>
      <c r="S233" s="45">
        <f>SUM(O233:R233)</f>
        <v>0</v>
      </c>
      <c r="T233" s="16">
        <v>3</v>
      </c>
      <c r="U233" s="29">
        <v>2</v>
      </c>
      <c r="V233" s="17">
        <v>3</v>
      </c>
      <c r="W233" s="20">
        <v>3</v>
      </c>
      <c r="X233" s="45">
        <f>SUM(T233:W233)</f>
        <v>11</v>
      </c>
      <c r="Y233" s="100">
        <f t="shared" ref="Y233" si="223">S233+X233</f>
        <v>11</v>
      </c>
      <c r="Z233" s="56">
        <v>45854</v>
      </c>
    </row>
    <row r="234" spans="1:27" x14ac:dyDescent="0.15">
      <c r="A234" s="12" t="s">
        <v>4</v>
      </c>
      <c r="B234" s="6"/>
      <c r="C234" s="18">
        <v>3</v>
      </c>
      <c r="D234" s="7"/>
      <c r="E234" s="8"/>
      <c r="F234" s="9">
        <f>SUM(B234:E234)</f>
        <v>3</v>
      </c>
      <c r="G234" s="6"/>
      <c r="H234" s="18"/>
      <c r="I234" s="7">
        <v>3</v>
      </c>
      <c r="J234" s="8">
        <v>3</v>
      </c>
      <c r="K234" s="9">
        <f>SUM(G234:J234)</f>
        <v>6</v>
      </c>
      <c r="L234" s="100">
        <f t="shared" ref="L234:L236" si="224">F234+K234</f>
        <v>9</v>
      </c>
      <c r="M234" s="56">
        <v>45843</v>
      </c>
      <c r="N234" s="12" t="s">
        <v>71</v>
      </c>
      <c r="O234" s="16">
        <v>50</v>
      </c>
      <c r="P234" s="29">
        <v>20</v>
      </c>
      <c r="Q234" s="17">
        <v>30</v>
      </c>
      <c r="R234" s="20">
        <v>50</v>
      </c>
      <c r="S234" s="45">
        <f t="shared" ref="S234:S236" si="225">SUM(O234:R234)</f>
        <v>150</v>
      </c>
      <c r="T234" s="16">
        <v>0</v>
      </c>
      <c r="U234" s="29">
        <v>50</v>
      </c>
      <c r="V234" s="17">
        <v>30</v>
      </c>
      <c r="W234" s="20">
        <v>20</v>
      </c>
      <c r="X234" s="45">
        <f t="shared" ref="X234:X236" si="226">SUM(T234:W234)</f>
        <v>100</v>
      </c>
      <c r="Y234" s="100">
        <f t="shared" ref="Y234:Y264" si="227">S234+X234</f>
        <v>250</v>
      </c>
      <c r="Z234" s="56" t="s">
        <v>538</v>
      </c>
    </row>
    <row r="235" spans="1:27" x14ac:dyDescent="0.15">
      <c r="A235" s="47" t="s">
        <v>497</v>
      </c>
      <c r="B235" s="6"/>
      <c r="C235" s="18"/>
      <c r="D235" s="7">
        <v>1</v>
      </c>
      <c r="E235" s="8">
        <v>1</v>
      </c>
      <c r="F235" s="9">
        <f>SUM(B235:E235)</f>
        <v>2</v>
      </c>
      <c r="G235" s="6">
        <v>1</v>
      </c>
      <c r="H235" s="18">
        <v>1</v>
      </c>
      <c r="I235" s="7"/>
      <c r="J235" s="8"/>
      <c r="K235" s="9">
        <f>SUM(G235:J235)</f>
        <v>2</v>
      </c>
      <c r="L235" s="104">
        <f t="shared" si="224"/>
        <v>4</v>
      </c>
      <c r="M235" s="56">
        <v>45843</v>
      </c>
      <c r="N235" s="12" t="s">
        <v>4</v>
      </c>
      <c r="O235" s="16">
        <v>1</v>
      </c>
      <c r="P235" s="29"/>
      <c r="Q235" s="17"/>
      <c r="R235" s="20">
        <v>1</v>
      </c>
      <c r="S235" s="45">
        <f t="shared" ref="S235" si="228">SUM(O235:R235)</f>
        <v>2</v>
      </c>
      <c r="T235" s="16"/>
      <c r="U235" s="29"/>
      <c r="V235" s="17"/>
      <c r="W235" s="20"/>
      <c r="X235" s="45">
        <f t="shared" ref="X235" si="229">SUM(T235:W235)</f>
        <v>0</v>
      </c>
      <c r="Y235" s="100">
        <f t="shared" ref="Y235" si="230">S235+X235</f>
        <v>2</v>
      </c>
      <c r="Z235" s="56" t="s">
        <v>553</v>
      </c>
      <c r="AA235" s="35"/>
    </row>
    <row r="236" spans="1:27" ht="14.25" thickBot="1" x14ac:dyDescent="0.2">
      <c r="A236" s="12" t="s">
        <v>5</v>
      </c>
      <c r="B236" s="16"/>
      <c r="C236" s="29"/>
      <c r="D236" s="17"/>
      <c r="E236" s="20"/>
      <c r="F236" s="45">
        <f t="shared" ref="F236" si="231">SUM(B236:E236)</f>
        <v>0</v>
      </c>
      <c r="G236" s="16">
        <v>5</v>
      </c>
      <c r="H236" s="29">
        <v>1</v>
      </c>
      <c r="I236" s="17"/>
      <c r="J236" s="20"/>
      <c r="K236" s="45">
        <f t="shared" ref="K236" si="232">SUM(G236:J236)</f>
        <v>6</v>
      </c>
      <c r="L236" s="100">
        <f t="shared" si="224"/>
        <v>6</v>
      </c>
      <c r="M236" s="56">
        <v>45861</v>
      </c>
      <c r="N236" s="12" t="s">
        <v>5</v>
      </c>
      <c r="O236" s="16"/>
      <c r="P236" s="29"/>
      <c r="Q236" s="17"/>
      <c r="R236" s="20"/>
      <c r="S236" s="45">
        <f t="shared" si="225"/>
        <v>0</v>
      </c>
      <c r="T236" s="16"/>
      <c r="U236" s="29"/>
      <c r="V236" s="17"/>
      <c r="W236" s="20"/>
      <c r="X236" s="45">
        <f t="shared" si="226"/>
        <v>0</v>
      </c>
      <c r="Y236" s="100">
        <f t="shared" si="227"/>
        <v>0</v>
      </c>
    </row>
    <row r="237" spans="1:27" ht="14.25" thickBot="1" x14ac:dyDescent="0.2">
      <c r="A237" s="14" t="s">
        <v>7</v>
      </c>
      <c r="B237" s="62">
        <f t="shared" ref="B237:K237" si="233">SUM(B232:B236)</f>
        <v>9</v>
      </c>
      <c r="C237" s="63">
        <f t="shared" si="233"/>
        <v>8</v>
      </c>
      <c r="D237" s="64">
        <f t="shared" si="233"/>
        <v>3</v>
      </c>
      <c r="E237" s="65">
        <f t="shared" si="233"/>
        <v>8</v>
      </c>
      <c r="F237" s="66">
        <f t="shared" si="233"/>
        <v>28</v>
      </c>
      <c r="G237" s="62">
        <f t="shared" si="233"/>
        <v>10</v>
      </c>
      <c r="H237" s="63">
        <f t="shared" si="233"/>
        <v>6</v>
      </c>
      <c r="I237" s="64">
        <f t="shared" si="233"/>
        <v>8</v>
      </c>
      <c r="J237" s="65">
        <f t="shared" si="233"/>
        <v>6</v>
      </c>
      <c r="K237" s="66">
        <f t="shared" si="233"/>
        <v>30</v>
      </c>
      <c r="L237" s="102">
        <f t="shared" ref="L237:L264" si="234">F237+K237</f>
        <v>58</v>
      </c>
      <c r="N237" s="13" t="s">
        <v>7</v>
      </c>
      <c r="O237" s="25">
        <f t="shared" ref="O237:X237" si="235">SUM(O232:O236)</f>
        <v>102</v>
      </c>
      <c r="P237" s="31">
        <f t="shared" si="235"/>
        <v>139</v>
      </c>
      <c r="Q237" s="26">
        <f t="shared" si="235"/>
        <v>137</v>
      </c>
      <c r="R237" s="67">
        <f t="shared" si="235"/>
        <v>161</v>
      </c>
      <c r="S237" s="68">
        <f t="shared" si="235"/>
        <v>539</v>
      </c>
      <c r="T237" s="25">
        <f t="shared" si="235"/>
        <v>92</v>
      </c>
      <c r="U237" s="31">
        <f t="shared" si="235"/>
        <v>164</v>
      </c>
      <c r="V237" s="26">
        <f t="shared" si="235"/>
        <v>152</v>
      </c>
      <c r="W237" s="67">
        <f t="shared" si="235"/>
        <v>151</v>
      </c>
      <c r="X237" s="68">
        <f t="shared" si="235"/>
        <v>559</v>
      </c>
      <c r="Y237" s="102">
        <f t="shared" si="227"/>
        <v>1098</v>
      </c>
    </row>
    <row r="238" spans="1:27" x14ac:dyDescent="0.15">
      <c r="A238" s="11" t="s">
        <v>530</v>
      </c>
      <c r="B238" s="41"/>
      <c r="C238" s="42"/>
      <c r="D238" s="43"/>
      <c r="E238" s="44"/>
      <c r="F238" s="70">
        <f t="shared" ref="F238:F263" si="236">SUM(B238:E238)</f>
        <v>0</v>
      </c>
      <c r="G238" s="41">
        <v>-1</v>
      </c>
      <c r="H238" s="42"/>
      <c r="I238" s="43"/>
      <c r="J238" s="44"/>
      <c r="K238" s="70">
        <f t="shared" ref="K238:K262" si="237">SUM(G238:J238)</f>
        <v>-1</v>
      </c>
      <c r="L238" s="103">
        <f t="shared" si="234"/>
        <v>-1</v>
      </c>
      <c r="M238" s="56">
        <v>45840</v>
      </c>
      <c r="N238" s="11" t="s">
        <v>489</v>
      </c>
      <c r="O238" s="16">
        <v>5</v>
      </c>
      <c r="P238" s="29"/>
      <c r="Q238" s="17">
        <v>15</v>
      </c>
      <c r="R238" s="32">
        <v>15</v>
      </c>
      <c r="S238" s="9">
        <f t="shared" ref="S238:S240" si="238">SUM(O238:R238)</f>
        <v>35</v>
      </c>
      <c r="T238" s="16">
        <v>10</v>
      </c>
      <c r="U238" s="29">
        <v>10</v>
      </c>
      <c r="V238" s="17">
        <v>5</v>
      </c>
      <c r="W238" s="32">
        <v>10</v>
      </c>
      <c r="X238" s="9">
        <f t="shared" ref="X238:X240" si="239">SUM(T238:W238)</f>
        <v>35</v>
      </c>
      <c r="Y238" s="104">
        <f t="shared" si="227"/>
        <v>70</v>
      </c>
      <c r="Z238" s="56">
        <v>45860</v>
      </c>
    </row>
    <row r="239" spans="1:27" x14ac:dyDescent="0.15">
      <c r="A239" s="11" t="s">
        <v>486</v>
      </c>
      <c r="B239" s="41">
        <v>1</v>
      </c>
      <c r="C239" s="42">
        <v>2</v>
      </c>
      <c r="D239" s="43"/>
      <c r="E239" s="44"/>
      <c r="F239" s="70">
        <f t="shared" ref="F239:F252" si="240">SUM(B239:E239)</f>
        <v>3</v>
      </c>
      <c r="G239" s="41"/>
      <c r="H239" s="42"/>
      <c r="I239" s="43">
        <v>1</v>
      </c>
      <c r="J239" s="44"/>
      <c r="K239" s="70">
        <f t="shared" ref="K239:K252" si="241">SUM(G239:J239)</f>
        <v>1</v>
      </c>
      <c r="L239" s="103">
        <f t="shared" ref="L239:L252" si="242">F239+K239</f>
        <v>4</v>
      </c>
      <c r="M239" s="56">
        <v>45841</v>
      </c>
      <c r="N239" s="11" t="s">
        <v>519</v>
      </c>
      <c r="O239" s="16"/>
      <c r="P239" s="29">
        <v>6</v>
      </c>
      <c r="Q239" s="17"/>
      <c r="R239" s="32">
        <v>10</v>
      </c>
      <c r="S239" s="9">
        <f t="shared" si="238"/>
        <v>16</v>
      </c>
      <c r="T239" s="16"/>
      <c r="U239" s="29">
        <v>5</v>
      </c>
      <c r="V239" s="17">
        <v>20</v>
      </c>
      <c r="W239" s="32">
        <v>10</v>
      </c>
      <c r="X239" s="9">
        <f t="shared" si="239"/>
        <v>35</v>
      </c>
      <c r="Y239" s="104">
        <f t="shared" ref="Y239:Y240" si="243">S239+X239</f>
        <v>51</v>
      </c>
      <c r="Z239" s="56">
        <v>45860</v>
      </c>
    </row>
    <row r="240" spans="1:27" x14ac:dyDescent="0.15">
      <c r="A240" s="47" t="s">
        <v>45</v>
      </c>
      <c r="B240" s="16"/>
      <c r="C240" s="29"/>
      <c r="D240" s="17"/>
      <c r="E240" s="20">
        <v>2</v>
      </c>
      <c r="F240" s="45">
        <f t="shared" si="240"/>
        <v>2</v>
      </c>
      <c r="G240" s="16">
        <v>1</v>
      </c>
      <c r="H240" s="29"/>
      <c r="I240" s="17">
        <v>1</v>
      </c>
      <c r="J240" s="20">
        <v>1</v>
      </c>
      <c r="K240" s="45">
        <f t="shared" si="241"/>
        <v>3</v>
      </c>
      <c r="L240" s="104">
        <f t="shared" si="242"/>
        <v>5</v>
      </c>
      <c r="M240" s="56">
        <v>45840</v>
      </c>
      <c r="N240" s="11" t="s">
        <v>40</v>
      </c>
      <c r="O240" s="16"/>
      <c r="P240" s="29"/>
      <c r="Q240" s="17"/>
      <c r="R240" s="32"/>
      <c r="S240" s="9">
        <f t="shared" si="238"/>
        <v>0</v>
      </c>
      <c r="T240" s="16"/>
      <c r="U240" s="29"/>
      <c r="V240" s="17">
        <v>5</v>
      </c>
      <c r="W240" s="32">
        <v>5</v>
      </c>
      <c r="X240" s="9">
        <f t="shared" si="239"/>
        <v>10</v>
      </c>
      <c r="Y240" s="104">
        <f t="shared" si="243"/>
        <v>10</v>
      </c>
      <c r="Z240" s="56">
        <v>45853</v>
      </c>
    </row>
    <row r="241" spans="1:27" x14ac:dyDescent="0.15">
      <c r="A241" s="47" t="s">
        <v>249</v>
      </c>
      <c r="B241" s="16"/>
      <c r="C241" s="29">
        <v>1</v>
      </c>
      <c r="D241" s="17"/>
      <c r="E241" s="20">
        <v>-1</v>
      </c>
      <c r="F241" s="45">
        <f t="shared" si="240"/>
        <v>0</v>
      </c>
      <c r="G241" s="16"/>
      <c r="H241" s="29"/>
      <c r="I241" s="17"/>
      <c r="J241" s="20"/>
      <c r="K241" s="45">
        <f t="shared" si="241"/>
        <v>0</v>
      </c>
      <c r="L241" s="104">
        <f t="shared" si="242"/>
        <v>0</v>
      </c>
      <c r="M241" s="56">
        <v>45840</v>
      </c>
      <c r="N241" s="11" t="s">
        <v>528</v>
      </c>
      <c r="O241" s="16"/>
      <c r="P241" s="29">
        <v>3</v>
      </c>
      <c r="Q241" s="17"/>
      <c r="R241" s="32"/>
      <c r="S241" s="9">
        <f t="shared" ref="S241:S244" si="244">SUM(O241:R241)</f>
        <v>3</v>
      </c>
      <c r="T241" s="16"/>
      <c r="U241" s="29"/>
      <c r="V241" s="17">
        <v>3</v>
      </c>
      <c r="W241" s="32"/>
      <c r="X241" s="9">
        <f t="shared" ref="X241:X244" si="245">SUM(T241:W241)</f>
        <v>3</v>
      </c>
      <c r="Y241" s="104">
        <f t="shared" si="227"/>
        <v>6</v>
      </c>
      <c r="Z241" s="56">
        <v>45862</v>
      </c>
    </row>
    <row r="242" spans="1:27" x14ac:dyDescent="0.15">
      <c r="A242" s="47" t="s">
        <v>491</v>
      </c>
      <c r="B242" s="16"/>
      <c r="C242" s="29"/>
      <c r="D242" s="17"/>
      <c r="E242" s="20"/>
      <c r="F242" s="45">
        <f t="shared" si="240"/>
        <v>0</v>
      </c>
      <c r="G242" s="16"/>
      <c r="H242" s="29"/>
      <c r="I242" s="17"/>
      <c r="J242" s="20">
        <v>2</v>
      </c>
      <c r="K242" s="45">
        <f t="shared" si="241"/>
        <v>2</v>
      </c>
      <c r="L242" s="104">
        <f t="shared" si="242"/>
        <v>2</v>
      </c>
      <c r="M242" s="56">
        <v>45842</v>
      </c>
      <c r="N242" s="11" t="s">
        <v>40</v>
      </c>
      <c r="O242" s="16"/>
      <c r="P242" s="29">
        <v>3</v>
      </c>
      <c r="Q242" s="17">
        <v>3</v>
      </c>
      <c r="R242" s="32"/>
      <c r="S242" s="9">
        <f t="shared" si="244"/>
        <v>6</v>
      </c>
      <c r="T242" s="16"/>
      <c r="U242" s="29"/>
      <c r="V242" s="17"/>
      <c r="W242" s="32"/>
      <c r="X242" s="9">
        <f t="shared" si="245"/>
        <v>0</v>
      </c>
      <c r="Y242" s="104">
        <f t="shared" si="227"/>
        <v>6</v>
      </c>
      <c r="Z242" s="56">
        <v>45857</v>
      </c>
    </row>
    <row r="243" spans="1:27" x14ac:dyDescent="0.15">
      <c r="A243" s="47" t="s">
        <v>498</v>
      </c>
      <c r="B243" s="16"/>
      <c r="C243" s="29"/>
      <c r="D243" s="17"/>
      <c r="E243" s="20"/>
      <c r="F243" s="45">
        <f t="shared" si="240"/>
        <v>0</v>
      </c>
      <c r="G243" s="16">
        <v>1</v>
      </c>
      <c r="H243" s="29"/>
      <c r="I243" s="17">
        <v>1</v>
      </c>
      <c r="J243" s="20"/>
      <c r="K243" s="45">
        <f t="shared" si="241"/>
        <v>2</v>
      </c>
      <c r="L243" s="104">
        <f t="shared" si="242"/>
        <v>2</v>
      </c>
      <c r="M243" s="56">
        <v>45845</v>
      </c>
      <c r="N243" s="33" t="s">
        <v>537</v>
      </c>
      <c r="O243" s="16"/>
      <c r="P243" s="29"/>
      <c r="Q243" s="17"/>
      <c r="R243" s="32"/>
      <c r="S243" s="9">
        <f t="shared" si="244"/>
        <v>0</v>
      </c>
      <c r="T243" s="16"/>
      <c r="U243" s="29">
        <v>4</v>
      </c>
      <c r="V243" s="17">
        <v>4</v>
      </c>
      <c r="W243" s="32">
        <v>3</v>
      </c>
      <c r="X243" s="9">
        <f t="shared" si="245"/>
        <v>11</v>
      </c>
      <c r="Y243" s="104">
        <f t="shared" si="227"/>
        <v>11</v>
      </c>
      <c r="Z243" s="56">
        <v>45873</v>
      </c>
    </row>
    <row r="244" spans="1:27" x14ac:dyDescent="0.15">
      <c r="A244" s="47" t="s">
        <v>506</v>
      </c>
      <c r="B244" s="16">
        <v>1</v>
      </c>
      <c r="C244" s="29"/>
      <c r="D244" s="17">
        <v>1</v>
      </c>
      <c r="E244" s="20"/>
      <c r="F244" s="45">
        <f t="shared" si="240"/>
        <v>2</v>
      </c>
      <c r="G244" s="16"/>
      <c r="H244" s="29"/>
      <c r="I244" s="17">
        <v>1</v>
      </c>
      <c r="J244" s="20"/>
      <c r="K244" s="45">
        <f t="shared" si="241"/>
        <v>1</v>
      </c>
      <c r="L244" s="104">
        <f t="shared" si="242"/>
        <v>3</v>
      </c>
      <c r="M244" s="56">
        <v>45848</v>
      </c>
      <c r="N244" s="11" t="s">
        <v>40</v>
      </c>
      <c r="O244" s="16"/>
      <c r="P244" s="29"/>
      <c r="Q244" s="17"/>
      <c r="R244" s="32"/>
      <c r="S244" s="9">
        <f t="shared" si="244"/>
        <v>0</v>
      </c>
      <c r="T244" s="16">
        <v>5</v>
      </c>
      <c r="U244" s="29"/>
      <c r="V244" s="17"/>
      <c r="W244" s="32"/>
      <c r="X244" s="9">
        <f t="shared" si="245"/>
        <v>5</v>
      </c>
      <c r="Y244" s="104">
        <f t="shared" si="227"/>
        <v>5</v>
      </c>
      <c r="Z244" s="56">
        <v>45861</v>
      </c>
    </row>
    <row r="245" spans="1:27" x14ac:dyDescent="0.15">
      <c r="A245" s="47" t="s">
        <v>513</v>
      </c>
      <c r="B245" s="16"/>
      <c r="C245" s="29"/>
      <c r="D245" s="17">
        <v>1</v>
      </c>
      <c r="E245" s="20"/>
      <c r="F245" s="45">
        <f t="shared" si="240"/>
        <v>1</v>
      </c>
      <c r="G245" s="16"/>
      <c r="H245" s="29">
        <v>1</v>
      </c>
      <c r="I245" s="17"/>
      <c r="J245" s="20"/>
      <c r="K245" s="45">
        <f t="shared" si="241"/>
        <v>1</v>
      </c>
      <c r="L245" s="104">
        <f t="shared" si="242"/>
        <v>2</v>
      </c>
      <c r="M245" s="56">
        <v>45849</v>
      </c>
      <c r="N245" s="11" t="s">
        <v>40</v>
      </c>
      <c r="O245" s="16"/>
      <c r="P245" s="29"/>
      <c r="Q245" s="17">
        <v>3</v>
      </c>
      <c r="R245" s="32"/>
      <c r="S245" s="9">
        <f>SUM(O245:R245)</f>
        <v>3</v>
      </c>
      <c r="T245" s="16">
        <v>5</v>
      </c>
      <c r="U245" s="29">
        <v>5</v>
      </c>
      <c r="V245" s="17">
        <v>3</v>
      </c>
      <c r="W245" s="32">
        <v>3</v>
      </c>
      <c r="X245" s="9">
        <f>SUM(T245:W245)</f>
        <v>16</v>
      </c>
      <c r="Y245" s="104">
        <f t="shared" si="227"/>
        <v>19</v>
      </c>
      <c r="Z245" s="56">
        <v>45866</v>
      </c>
    </row>
    <row r="246" spans="1:27" x14ac:dyDescent="0.15">
      <c r="A246" s="47" t="s">
        <v>45</v>
      </c>
      <c r="B246" s="16"/>
      <c r="C246" s="29"/>
      <c r="D246" s="17"/>
      <c r="E246" s="20"/>
      <c r="F246" s="45">
        <f t="shared" si="240"/>
        <v>0</v>
      </c>
      <c r="G246" s="16">
        <v>1</v>
      </c>
      <c r="H246" s="29"/>
      <c r="I246" s="17">
        <v>1</v>
      </c>
      <c r="J246" s="20"/>
      <c r="K246" s="45">
        <f t="shared" si="241"/>
        <v>2</v>
      </c>
      <c r="L246" s="104">
        <f t="shared" si="242"/>
        <v>2</v>
      </c>
      <c r="M246" s="56">
        <v>45848</v>
      </c>
      <c r="N246" s="33" t="s">
        <v>545</v>
      </c>
      <c r="O246" s="16"/>
      <c r="P246" s="29"/>
      <c r="Q246" s="17"/>
      <c r="R246" s="32"/>
      <c r="S246" s="9">
        <f t="shared" ref="S246:S248" si="246">SUM(O246:R246)</f>
        <v>0</v>
      </c>
      <c r="T246" s="16">
        <v>2</v>
      </c>
      <c r="U246" s="29"/>
      <c r="V246" s="17"/>
      <c r="W246" s="32">
        <v>2</v>
      </c>
      <c r="X246" s="9">
        <f t="shared" ref="X246:X248" si="247">SUM(T246:W246)</f>
        <v>4</v>
      </c>
      <c r="Y246" s="104">
        <f t="shared" si="227"/>
        <v>4</v>
      </c>
      <c r="Z246" s="56">
        <v>45875</v>
      </c>
      <c r="AA246" s="35"/>
    </row>
    <row r="247" spans="1:27" x14ac:dyDescent="0.15">
      <c r="A247" s="47" t="s">
        <v>45</v>
      </c>
      <c r="B247" s="16"/>
      <c r="C247" s="29">
        <v>1</v>
      </c>
      <c r="D247" s="17"/>
      <c r="E247" s="20">
        <v>1</v>
      </c>
      <c r="F247" s="45">
        <f t="shared" si="240"/>
        <v>2</v>
      </c>
      <c r="G247" s="16">
        <v>1</v>
      </c>
      <c r="H247" s="29"/>
      <c r="I247" s="17"/>
      <c r="J247" s="20"/>
      <c r="K247" s="45">
        <f t="shared" si="241"/>
        <v>1</v>
      </c>
      <c r="L247" s="104">
        <f t="shared" si="242"/>
        <v>3</v>
      </c>
      <c r="M247" s="58">
        <v>45849</v>
      </c>
      <c r="N247" s="11" t="s">
        <v>508</v>
      </c>
      <c r="O247" s="16"/>
      <c r="P247" s="29"/>
      <c r="Q247" s="17"/>
      <c r="R247" s="32"/>
      <c r="S247" s="9">
        <f t="shared" si="246"/>
        <v>0</v>
      </c>
      <c r="T247" s="16"/>
      <c r="U247" s="29">
        <v>1</v>
      </c>
      <c r="V247" s="17"/>
      <c r="W247" s="32"/>
      <c r="X247" s="9">
        <f t="shared" si="247"/>
        <v>1</v>
      </c>
      <c r="Y247" s="104">
        <f t="shared" si="227"/>
        <v>1</v>
      </c>
      <c r="Z247" s="56">
        <v>45873</v>
      </c>
    </row>
    <row r="248" spans="1:27" x14ac:dyDescent="0.15">
      <c r="A248" s="47" t="s">
        <v>45</v>
      </c>
      <c r="B248" s="16"/>
      <c r="C248" s="29"/>
      <c r="D248" s="17"/>
      <c r="E248" s="20"/>
      <c r="F248" s="45">
        <f t="shared" si="240"/>
        <v>0</v>
      </c>
      <c r="G248" s="16"/>
      <c r="H248" s="29"/>
      <c r="I248" s="17">
        <v>3</v>
      </c>
      <c r="J248" s="20">
        <v>3</v>
      </c>
      <c r="K248" s="45">
        <f t="shared" si="241"/>
        <v>6</v>
      </c>
      <c r="L248" s="104">
        <f t="shared" si="242"/>
        <v>6</v>
      </c>
      <c r="M248" s="58">
        <v>45852</v>
      </c>
      <c r="N248" s="11" t="s">
        <v>551</v>
      </c>
      <c r="O248" s="16"/>
      <c r="P248" s="29"/>
      <c r="Q248" s="17"/>
      <c r="R248" s="32"/>
      <c r="S248" s="9">
        <f t="shared" si="246"/>
        <v>0</v>
      </c>
      <c r="T248" s="16"/>
      <c r="U248" s="29"/>
      <c r="V248" s="17">
        <v>3</v>
      </c>
      <c r="W248" s="32">
        <v>5</v>
      </c>
      <c r="X248" s="9">
        <f t="shared" si="247"/>
        <v>8</v>
      </c>
      <c r="Y248" s="104">
        <f t="shared" si="227"/>
        <v>8</v>
      </c>
      <c r="Z248" s="56">
        <v>45874</v>
      </c>
    </row>
    <row r="249" spans="1:27" x14ac:dyDescent="0.15">
      <c r="A249" s="11" t="s">
        <v>502</v>
      </c>
      <c r="B249" s="16"/>
      <c r="C249" s="29">
        <v>1</v>
      </c>
      <c r="D249" s="17"/>
      <c r="E249" s="20"/>
      <c r="F249" s="45">
        <f t="shared" si="240"/>
        <v>1</v>
      </c>
      <c r="G249" s="16"/>
      <c r="H249" s="29"/>
      <c r="I249" s="17"/>
      <c r="J249" s="20"/>
      <c r="K249" s="45">
        <f t="shared" si="241"/>
        <v>0</v>
      </c>
      <c r="L249" s="104">
        <f t="shared" si="242"/>
        <v>1</v>
      </c>
      <c r="M249" s="56">
        <v>45855</v>
      </c>
      <c r="N249" s="11" t="s">
        <v>40</v>
      </c>
      <c r="O249" s="16"/>
      <c r="P249" s="29">
        <v>3</v>
      </c>
      <c r="Q249" s="17"/>
      <c r="R249" s="32"/>
      <c r="S249" s="9">
        <f>SUM(O249:R249)</f>
        <v>3</v>
      </c>
      <c r="T249" s="16"/>
      <c r="U249" s="29"/>
      <c r="V249" s="17"/>
      <c r="W249" s="32">
        <v>3</v>
      </c>
      <c r="X249" s="9">
        <f>SUM(T249:W249)</f>
        <v>3</v>
      </c>
      <c r="Y249" s="104">
        <f t="shared" si="227"/>
        <v>6</v>
      </c>
      <c r="Z249" s="56">
        <v>45870</v>
      </c>
      <c r="AA249" s="35"/>
    </row>
    <row r="250" spans="1:27" x14ac:dyDescent="0.15">
      <c r="A250" s="47" t="s">
        <v>150</v>
      </c>
      <c r="B250" s="16"/>
      <c r="C250" s="29"/>
      <c r="D250" s="17"/>
      <c r="E250" s="20"/>
      <c r="F250" s="45">
        <f t="shared" si="240"/>
        <v>0</v>
      </c>
      <c r="G250" s="16"/>
      <c r="H250" s="29"/>
      <c r="I250" s="17">
        <v>-5</v>
      </c>
      <c r="J250" s="20">
        <v>-5</v>
      </c>
      <c r="K250" s="45">
        <f t="shared" si="241"/>
        <v>-10</v>
      </c>
      <c r="L250" s="104">
        <f t="shared" si="242"/>
        <v>-10</v>
      </c>
      <c r="M250" s="56">
        <v>45853</v>
      </c>
      <c r="N250" s="11" t="s">
        <v>517</v>
      </c>
      <c r="O250" s="16"/>
      <c r="P250" s="29"/>
      <c r="Q250" s="17"/>
      <c r="R250" s="32"/>
      <c r="S250" s="9">
        <f>SUM(O250:R250)</f>
        <v>0</v>
      </c>
      <c r="T250" s="16"/>
      <c r="U250" s="29"/>
      <c r="V250" s="17">
        <v>1</v>
      </c>
      <c r="W250" s="32"/>
      <c r="X250" s="9">
        <f>SUM(T250:W250)</f>
        <v>1</v>
      </c>
      <c r="Y250" s="104">
        <f t="shared" si="227"/>
        <v>1</v>
      </c>
      <c r="Z250" s="56">
        <v>45875</v>
      </c>
      <c r="AA250" s="35"/>
    </row>
    <row r="251" spans="1:27" x14ac:dyDescent="0.15">
      <c r="A251" s="47" t="s">
        <v>526</v>
      </c>
      <c r="B251" s="16"/>
      <c r="C251" s="29"/>
      <c r="D251" s="17"/>
      <c r="E251" s="20"/>
      <c r="F251" s="45">
        <f t="shared" si="240"/>
        <v>0</v>
      </c>
      <c r="G251" s="16"/>
      <c r="H251" s="29"/>
      <c r="I251" s="17">
        <v>1</v>
      </c>
      <c r="J251" s="20">
        <v>1</v>
      </c>
      <c r="K251" s="45">
        <f t="shared" si="241"/>
        <v>2</v>
      </c>
      <c r="L251" s="104">
        <f t="shared" si="242"/>
        <v>2</v>
      </c>
      <c r="M251" s="56">
        <v>45855</v>
      </c>
      <c r="N251" s="33" t="s">
        <v>561</v>
      </c>
      <c r="O251" s="16"/>
      <c r="P251" s="29"/>
      <c r="Q251" s="17"/>
      <c r="R251" s="32"/>
      <c r="S251" s="9">
        <f>SUM(O251:R251)</f>
        <v>0</v>
      </c>
      <c r="T251" s="16"/>
      <c r="U251" s="29">
        <v>6</v>
      </c>
      <c r="V251" s="17"/>
      <c r="W251" s="32"/>
      <c r="X251" s="9">
        <f>SUM(T251:W251)</f>
        <v>6</v>
      </c>
      <c r="Y251" s="104">
        <f t="shared" si="227"/>
        <v>6</v>
      </c>
      <c r="Z251" s="56">
        <v>45890</v>
      </c>
      <c r="AA251" s="35"/>
    </row>
    <row r="252" spans="1:27" x14ac:dyDescent="0.15">
      <c r="A252" s="47" t="s">
        <v>45</v>
      </c>
      <c r="B252" s="16"/>
      <c r="C252" s="29">
        <v>1</v>
      </c>
      <c r="D252" s="17"/>
      <c r="E252" s="20"/>
      <c r="F252" s="45">
        <f t="shared" si="240"/>
        <v>1</v>
      </c>
      <c r="G252" s="16"/>
      <c r="H252" s="29"/>
      <c r="I252" s="17"/>
      <c r="J252" s="20">
        <v>1</v>
      </c>
      <c r="K252" s="45">
        <f t="shared" si="241"/>
        <v>1</v>
      </c>
      <c r="L252" s="104">
        <f t="shared" si="242"/>
        <v>2</v>
      </c>
      <c r="M252" s="56">
        <v>45854</v>
      </c>
      <c r="N252" s="11" t="s">
        <v>566</v>
      </c>
      <c r="O252" s="16"/>
      <c r="P252" s="29"/>
      <c r="Q252" s="17"/>
      <c r="R252" s="32"/>
      <c r="S252" s="9">
        <f t="shared" ref="S252:S255" si="248">SUM(O252:R252)</f>
        <v>0</v>
      </c>
      <c r="T252" s="16"/>
      <c r="U252" s="29">
        <v>1</v>
      </c>
      <c r="V252" s="17"/>
      <c r="W252" s="32"/>
      <c r="X252" s="9">
        <f t="shared" ref="X252:X255" si="249">SUM(T252:W252)</f>
        <v>1</v>
      </c>
      <c r="Y252" s="104">
        <f t="shared" si="227"/>
        <v>1</v>
      </c>
      <c r="Z252" s="56">
        <v>45877</v>
      </c>
      <c r="AA252" s="35"/>
    </row>
    <row r="253" spans="1:27" x14ac:dyDescent="0.15">
      <c r="A253" s="47" t="s">
        <v>531</v>
      </c>
      <c r="B253" s="16">
        <v>-1</v>
      </c>
      <c r="C253" s="29"/>
      <c r="D253" s="17"/>
      <c r="E253" s="20"/>
      <c r="F253" s="45">
        <f t="shared" si="236"/>
        <v>-1</v>
      </c>
      <c r="G253" s="16">
        <v>1</v>
      </c>
      <c r="H253" s="29"/>
      <c r="I253" s="17"/>
      <c r="J253" s="20"/>
      <c r="K253" s="45">
        <f t="shared" si="237"/>
        <v>1</v>
      </c>
      <c r="L253" s="104">
        <f t="shared" si="234"/>
        <v>0</v>
      </c>
      <c r="M253" s="58">
        <v>45856</v>
      </c>
      <c r="N253" s="11" t="s">
        <v>40</v>
      </c>
      <c r="O253" s="16">
        <v>3</v>
      </c>
      <c r="P253" s="29"/>
      <c r="Q253" s="17"/>
      <c r="R253" s="32"/>
      <c r="S253" s="9">
        <f>SUM(O253:R253)</f>
        <v>3</v>
      </c>
      <c r="T253" s="16"/>
      <c r="U253" s="29">
        <v>3</v>
      </c>
      <c r="V253" s="17">
        <v>5</v>
      </c>
      <c r="W253" s="32">
        <v>3</v>
      </c>
      <c r="X253" s="9">
        <f>SUM(T253:W253)</f>
        <v>11</v>
      </c>
      <c r="Y253" s="104">
        <f t="shared" si="227"/>
        <v>14</v>
      </c>
      <c r="Z253" s="56">
        <v>45875</v>
      </c>
      <c r="AA253" s="35"/>
    </row>
    <row r="254" spans="1:27" x14ac:dyDescent="0.15">
      <c r="A254" s="47" t="s">
        <v>45</v>
      </c>
      <c r="B254" s="16"/>
      <c r="C254" s="29"/>
      <c r="D254" s="17"/>
      <c r="E254" s="20"/>
      <c r="F254" s="45">
        <f t="shared" si="236"/>
        <v>0</v>
      </c>
      <c r="G254" s="16"/>
      <c r="H254" s="29">
        <v>1</v>
      </c>
      <c r="I254" s="17"/>
      <c r="J254" s="20"/>
      <c r="K254" s="45">
        <f t="shared" si="237"/>
        <v>1</v>
      </c>
      <c r="L254" s="104">
        <f t="shared" si="234"/>
        <v>1</v>
      </c>
      <c r="M254" s="58">
        <v>45856</v>
      </c>
      <c r="N254" s="47" t="s">
        <v>568</v>
      </c>
      <c r="O254" s="16"/>
      <c r="P254" s="29"/>
      <c r="Q254" s="17"/>
      <c r="R254" s="32">
        <v>5</v>
      </c>
      <c r="S254" s="9">
        <f t="shared" si="248"/>
        <v>5</v>
      </c>
      <c r="T254" s="16"/>
      <c r="U254" s="29">
        <v>3</v>
      </c>
      <c r="V254" s="17">
        <v>2</v>
      </c>
      <c r="W254" s="32"/>
      <c r="X254" s="9">
        <f t="shared" si="249"/>
        <v>5</v>
      </c>
      <c r="Y254" s="104">
        <f t="shared" si="227"/>
        <v>10</v>
      </c>
      <c r="Z254" s="56">
        <v>45877</v>
      </c>
      <c r="AA254" s="35"/>
    </row>
    <row r="255" spans="1:27" x14ac:dyDescent="0.15">
      <c r="A255" s="47" t="s">
        <v>532</v>
      </c>
      <c r="B255" s="16"/>
      <c r="C255" s="29">
        <v>-3</v>
      </c>
      <c r="D255" s="17">
        <v>-3</v>
      </c>
      <c r="E255" s="20"/>
      <c r="F255" s="45">
        <f t="shared" si="236"/>
        <v>-6</v>
      </c>
      <c r="G255" s="16"/>
      <c r="H255" s="29"/>
      <c r="I255" s="17"/>
      <c r="J255" s="20"/>
      <c r="K255" s="45">
        <f t="shared" si="237"/>
        <v>0</v>
      </c>
      <c r="L255" s="104">
        <f t="shared" si="234"/>
        <v>-6</v>
      </c>
      <c r="M255" s="56">
        <v>45857</v>
      </c>
      <c r="N255" s="11" t="s">
        <v>569</v>
      </c>
      <c r="O255" s="41"/>
      <c r="P255" s="42">
        <v>2</v>
      </c>
      <c r="Q255" s="43"/>
      <c r="R255" s="59"/>
      <c r="S255" s="61">
        <f t="shared" si="248"/>
        <v>2</v>
      </c>
      <c r="T255" s="41"/>
      <c r="U255" s="42"/>
      <c r="V255" s="43"/>
      <c r="W255" s="59"/>
      <c r="X255" s="61">
        <f t="shared" si="249"/>
        <v>0</v>
      </c>
      <c r="Y255" s="104">
        <f t="shared" si="227"/>
        <v>2</v>
      </c>
      <c r="Z255" s="56">
        <v>45890</v>
      </c>
    </row>
    <row r="256" spans="1:27" x14ac:dyDescent="0.15">
      <c r="A256" s="47" t="s">
        <v>534</v>
      </c>
      <c r="B256" s="16"/>
      <c r="C256" s="29"/>
      <c r="D256" s="17">
        <v>1</v>
      </c>
      <c r="E256" s="20"/>
      <c r="F256" s="45">
        <f t="shared" si="236"/>
        <v>1</v>
      </c>
      <c r="G256" s="16"/>
      <c r="H256" s="29">
        <v>1</v>
      </c>
      <c r="I256" s="17"/>
      <c r="J256" s="20"/>
      <c r="K256" s="45">
        <f t="shared" si="237"/>
        <v>1</v>
      </c>
      <c r="L256" s="104">
        <f t="shared" si="234"/>
        <v>2</v>
      </c>
      <c r="M256" s="56">
        <v>45862</v>
      </c>
      <c r="N256" s="33" t="s">
        <v>581</v>
      </c>
      <c r="O256" s="16"/>
      <c r="P256" s="29"/>
      <c r="Q256" s="17"/>
      <c r="R256" s="32"/>
      <c r="S256" s="9">
        <f>SUM(O256:R256)</f>
        <v>0</v>
      </c>
      <c r="T256" s="16"/>
      <c r="U256" s="29"/>
      <c r="V256" s="17"/>
      <c r="W256" s="32">
        <v>2</v>
      </c>
      <c r="X256" s="9">
        <f>SUM(T256:W256)</f>
        <v>2</v>
      </c>
      <c r="Y256" s="104">
        <f t="shared" si="227"/>
        <v>2</v>
      </c>
      <c r="Z256" s="56">
        <v>45889</v>
      </c>
      <c r="AA256" s="35"/>
    </row>
    <row r="257" spans="1:27" x14ac:dyDescent="0.15">
      <c r="A257" s="47" t="s">
        <v>45</v>
      </c>
      <c r="B257" s="16"/>
      <c r="C257" s="29">
        <v>1</v>
      </c>
      <c r="D257" s="17"/>
      <c r="E257" s="20"/>
      <c r="F257" s="45">
        <f t="shared" si="236"/>
        <v>1</v>
      </c>
      <c r="G257" s="16">
        <v>1</v>
      </c>
      <c r="H257" s="29"/>
      <c r="I257" s="17">
        <v>1</v>
      </c>
      <c r="J257" s="20"/>
      <c r="K257" s="45">
        <f t="shared" si="237"/>
        <v>2</v>
      </c>
      <c r="L257" s="104">
        <f t="shared" si="234"/>
        <v>3</v>
      </c>
      <c r="M257" s="56">
        <v>45860</v>
      </c>
      <c r="N257" s="11" t="s">
        <v>585</v>
      </c>
      <c r="O257" s="16"/>
      <c r="P257" s="17"/>
      <c r="Q257" s="29">
        <v>1</v>
      </c>
      <c r="R257" s="60"/>
      <c r="S257" s="9">
        <f t="shared" ref="S257" si="250">SUM(O257:R257)</f>
        <v>1</v>
      </c>
      <c r="T257" s="16"/>
      <c r="U257" s="17"/>
      <c r="V257" s="29"/>
      <c r="W257" s="60"/>
      <c r="X257" s="9">
        <f t="shared" ref="X257" si="251">SUM(T257:W257)</f>
        <v>0</v>
      </c>
      <c r="Y257" s="104">
        <f t="shared" si="227"/>
        <v>1</v>
      </c>
      <c r="Z257" s="56">
        <v>45891</v>
      </c>
    </row>
    <row r="258" spans="1:27" x14ac:dyDescent="0.15">
      <c r="A258" s="47" t="s">
        <v>540</v>
      </c>
      <c r="B258" s="16"/>
      <c r="C258" s="29"/>
      <c r="D258" s="17">
        <v>1</v>
      </c>
      <c r="E258" s="20"/>
      <c r="F258" s="45">
        <f t="shared" si="236"/>
        <v>1</v>
      </c>
      <c r="G258" s="16"/>
      <c r="H258" s="29"/>
      <c r="I258" s="17"/>
      <c r="J258" s="20">
        <v>1</v>
      </c>
      <c r="K258" s="45">
        <f t="shared" si="237"/>
        <v>1</v>
      </c>
      <c r="L258" s="104">
        <f t="shared" si="234"/>
        <v>2</v>
      </c>
      <c r="M258" s="56">
        <v>45863</v>
      </c>
      <c r="N258" s="11"/>
      <c r="O258" s="16"/>
      <c r="P258" s="17"/>
      <c r="Q258" s="29"/>
      <c r="R258" s="60"/>
      <c r="S258" s="9">
        <f t="shared" ref="S258:S259" si="252">SUM(O258:R258)</f>
        <v>0</v>
      </c>
      <c r="T258" s="16"/>
      <c r="U258" s="17"/>
      <c r="V258" s="29"/>
      <c r="W258" s="60"/>
      <c r="X258" s="9">
        <f t="shared" ref="X258:X259" si="253">SUM(T258:W258)</f>
        <v>0</v>
      </c>
      <c r="Y258" s="104">
        <f t="shared" ref="Y258:Y259" si="254">S258+X258</f>
        <v>0</v>
      </c>
    </row>
    <row r="259" spans="1:27" x14ac:dyDescent="0.15">
      <c r="A259" s="47" t="s">
        <v>45</v>
      </c>
      <c r="B259" s="16"/>
      <c r="C259" s="29"/>
      <c r="D259" s="17"/>
      <c r="E259" s="20"/>
      <c r="F259" s="45">
        <f t="shared" si="236"/>
        <v>0</v>
      </c>
      <c r="G259" s="16">
        <v>1</v>
      </c>
      <c r="H259" s="29"/>
      <c r="I259" s="17"/>
      <c r="J259" s="20"/>
      <c r="K259" s="45">
        <f t="shared" si="237"/>
        <v>1</v>
      </c>
      <c r="L259" s="104">
        <f t="shared" si="234"/>
        <v>1</v>
      </c>
      <c r="M259" s="56">
        <v>45861</v>
      </c>
      <c r="N259" s="11" t="s">
        <v>283</v>
      </c>
      <c r="O259" s="41"/>
      <c r="P259" s="42"/>
      <c r="Q259" s="43"/>
      <c r="R259" s="59"/>
      <c r="S259" s="61">
        <f t="shared" si="252"/>
        <v>0</v>
      </c>
      <c r="T259" s="41"/>
      <c r="U259" s="42"/>
      <c r="V259" s="43"/>
      <c r="W259" s="59"/>
      <c r="X259" s="61">
        <f t="shared" si="253"/>
        <v>0</v>
      </c>
      <c r="Y259" s="104">
        <f t="shared" si="254"/>
        <v>0</v>
      </c>
      <c r="Z259" s="157" t="s">
        <v>278</v>
      </c>
    </row>
    <row r="260" spans="1:27" x14ac:dyDescent="0.15">
      <c r="A260" s="47" t="s">
        <v>541</v>
      </c>
      <c r="B260" s="16"/>
      <c r="C260" s="29"/>
      <c r="D260" s="17"/>
      <c r="E260" s="20"/>
      <c r="F260" s="45">
        <f t="shared" si="236"/>
        <v>0</v>
      </c>
      <c r="G260" s="16"/>
      <c r="H260" s="29"/>
      <c r="I260" s="17">
        <v>1</v>
      </c>
      <c r="J260" s="20"/>
      <c r="K260" s="45">
        <f t="shared" si="237"/>
        <v>1</v>
      </c>
      <c r="L260" s="104">
        <f t="shared" si="234"/>
        <v>1</v>
      </c>
      <c r="M260" s="56">
        <v>45863</v>
      </c>
      <c r="N260" s="11" t="s">
        <v>134</v>
      </c>
      <c r="O260" s="41"/>
      <c r="P260" s="42"/>
      <c r="Q260" s="43"/>
      <c r="R260" s="59"/>
      <c r="S260" s="61">
        <f t="shared" ref="S260" si="255">SUM(O260:R260)</f>
        <v>0</v>
      </c>
      <c r="T260" s="41"/>
      <c r="U260" s="42"/>
      <c r="V260" s="43"/>
      <c r="W260" s="59"/>
      <c r="X260" s="61">
        <f t="shared" ref="X260" si="256">SUM(T260:W260)</f>
        <v>0</v>
      </c>
      <c r="Y260" s="104">
        <f t="shared" ref="Y260" si="257">S260+X260</f>
        <v>0</v>
      </c>
      <c r="Z260" s="157" t="s">
        <v>315</v>
      </c>
    </row>
    <row r="261" spans="1:27" x14ac:dyDescent="0.15">
      <c r="A261" s="47" t="s">
        <v>543</v>
      </c>
      <c r="B261" s="16">
        <v>1</v>
      </c>
      <c r="C261" s="29">
        <v>1</v>
      </c>
      <c r="D261" s="17">
        <v>2</v>
      </c>
      <c r="E261" s="20">
        <v>1</v>
      </c>
      <c r="F261" s="45">
        <f t="shared" si="236"/>
        <v>5</v>
      </c>
      <c r="G261" s="16">
        <v>2</v>
      </c>
      <c r="H261" s="29">
        <v>2</v>
      </c>
      <c r="I261" s="17">
        <v>1</v>
      </c>
      <c r="J261" s="20">
        <v>2</v>
      </c>
      <c r="K261" s="45">
        <f t="shared" si="237"/>
        <v>7</v>
      </c>
      <c r="L261" s="104">
        <f t="shared" si="234"/>
        <v>12</v>
      </c>
      <c r="M261" s="56">
        <v>45866</v>
      </c>
      <c r="N261" s="11" t="s">
        <v>343</v>
      </c>
      <c r="O261" s="16"/>
      <c r="P261" s="29"/>
      <c r="Q261" s="17"/>
      <c r="R261" s="32"/>
      <c r="S261" s="9">
        <f t="shared" ref="S261" si="258">SUM(O261:R261)</f>
        <v>0</v>
      </c>
      <c r="T261" s="16"/>
      <c r="U261" s="29"/>
      <c r="V261" s="17"/>
      <c r="W261" s="32"/>
      <c r="X261" s="9">
        <f t="shared" ref="X261" si="259">SUM(T261:W261)</f>
        <v>0</v>
      </c>
      <c r="Y261" s="104">
        <f t="shared" ref="Y261" si="260">S261+X261</f>
        <v>0</v>
      </c>
      <c r="Z261" s="157" t="s">
        <v>344</v>
      </c>
    </row>
    <row r="262" spans="1:27" ht="14.25" thickBot="1" x14ac:dyDescent="0.2">
      <c r="A262" s="47" t="s">
        <v>45</v>
      </c>
      <c r="B262" s="37"/>
      <c r="C262" s="38"/>
      <c r="D262" s="39"/>
      <c r="E262" s="40"/>
      <c r="F262" s="45">
        <f t="shared" si="236"/>
        <v>0</v>
      </c>
      <c r="G262" s="37">
        <v>1</v>
      </c>
      <c r="H262" s="38"/>
      <c r="I262" s="39"/>
      <c r="J262" s="40"/>
      <c r="K262" s="45">
        <f t="shared" si="237"/>
        <v>1</v>
      </c>
      <c r="L262" s="104">
        <f t="shared" si="234"/>
        <v>1</v>
      </c>
      <c r="M262" s="56">
        <v>45863</v>
      </c>
      <c r="N262" s="170" t="s">
        <v>371</v>
      </c>
      <c r="O262" s="229"/>
      <c r="P262" s="230"/>
      <c r="Q262" s="231"/>
      <c r="R262" s="232"/>
      <c r="S262" s="48">
        <f t="shared" ref="S262:S263" si="261">SUM(O262:R262)</f>
        <v>0</v>
      </c>
      <c r="T262" s="117"/>
      <c r="U262" s="118"/>
      <c r="V262" s="119"/>
      <c r="W262" s="233"/>
      <c r="X262" s="48">
        <f t="shared" ref="X262:X263" si="262">SUM(T262:W262)</f>
        <v>0</v>
      </c>
      <c r="Y262" s="122">
        <f t="shared" si="227"/>
        <v>0</v>
      </c>
      <c r="Z262" s="157" t="s">
        <v>372</v>
      </c>
      <c r="AA262" s="35"/>
    </row>
    <row r="263" spans="1:27" ht="14.25" thickBot="1" x14ac:dyDescent="0.2">
      <c r="A263" s="13" t="s">
        <v>8</v>
      </c>
      <c r="B263" s="22">
        <f>SUM(B238:B262)</f>
        <v>2</v>
      </c>
      <c r="C263" s="30">
        <f>SUM(C238:C262)</f>
        <v>5</v>
      </c>
      <c r="D263" s="23">
        <f>SUM(D238:D262)</f>
        <v>3</v>
      </c>
      <c r="E263" s="24">
        <f>SUM(E238:E262)</f>
        <v>3</v>
      </c>
      <c r="F263" s="21">
        <f t="shared" si="236"/>
        <v>13</v>
      </c>
      <c r="G263" s="22">
        <f>SUM(G238:G262)</f>
        <v>9</v>
      </c>
      <c r="H263" s="30">
        <f>SUM(H238:H262)</f>
        <v>5</v>
      </c>
      <c r="I263" s="23">
        <f>SUM(I238:I262)</f>
        <v>7</v>
      </c>
      <c r="J263" s="24">
        <f>SUM(J238:J262)</f>
        <v>6</v>
      </c>
      <c r="K263" s="21">
        <f>SUM(G263:J263)</f>
        <v>27</v>
      </c>
      <c r="L263" s="105">
        <f t="shared" si="234"/>
        <v>40</v>
      </c>
      <c r="N263" s="49" t="s">
        <v>8</v>
      </c>
      <c r="O263" s="22">
        <f>SUM(O238:O262)</f>
        <v>8</v>
      </c>
      <c r="P263" s="30">
        <f>SUM(P238:P262)</f>
        <v>17</v>
      </c>
      <c r="Q263" s="23">
        <f>SUM(Q238:Q262)</f>
        <v>22</v>
      </c>
      <c r="R263" s="24">
        <f>SUM(R238:R262)</f>
        <v>30</v>
      </c>
      <c r="S263" s="48">
        <f t="shared" si="261"/>
        <v>77</v>
      </c>
      <c r="T263" s="22">
        <f>SUM(T238:T262)</f>
        <v>22</v>
      </c>
      <c r="U263" s="30">
        <f>SUM(U238:U262)</f>
        <v>38</v>
      </c>
      <c r="V263" s="23">
        <f>SUM(V238:V262)</f>
        <v>51</v>
      </c>
      <c r="W263" s="24">
        <f>SUM(W238:W262)</f>
        <v>46</v>
      </c>
      <c r="X263" s="48">
        <f t="shared" si="262"/>
        <v>157</v>
      </c>
      <c r="Y263" s="122">
        <f t="shared" si="227"/>
        <v>234</v>
      </c>
    </row>
    <row r="264" spans="1:27" ht="14.25" thickBot="1" x14ac:dyDescent="0.2">
      <c r="A264" s="14" t="s">
        <v>9</v>
      </c>
      <c r="B264" s="25">
        <f t="shared" ref="B264:K264" si="263">B237-B263</f>
        <v>7</v>
      </c>
      <c r="C264" s="31">
        <f t="shared" si="263"/>
        <v>3</v>
      </c>
      <c r="D264" s="26">
        <f t="shared" si="263"/>
        <v>0</v>
      </c>
      <c r="E264" s="27">
        <f t="shared" si="263"/>
        <v>5</v>
      </c>
      <c r="F264" s="83">
        <f t="shared" si="263"/>
        <v>15</v>
      </c>
      <c r="G264" s="25">
        <f t="shared" si="263"/>
        <v>1</v>
      </c>
      <c r="H264" s="31">
        <f t="shared" si="263"/>
        <v>1</v>
      </c>
      <c r="I264" s="26">
        <f t="shared" si="263"/>
        <v>1</v>
      </c>
      <c r="J264" s="27">
        <f t="shared" si="263"/>
        <v>0</v>
      </c>
      <c r="K264" s="83">
        <f t="shared" si="263"/>
        <v>3</v>
      </c>
      <c r="L264" s="102">
        <f t="shared" si="234"/>
        <v>18</v>
      </c>
      <c r="N264" s="13" t="s">
        <v>9</v>
      </c>
      <c r="O264" s="25">
        <f t="shared" ref="O264:X264" si="264">O237-O263</f>
        <v>94</v>
      </c>
      <c r="P264" s="31">
        <f t="shared" si="264"/>
        <v>122</v>
      </c>
      <c r="Q264" s="26">
        <f t="shared" si="264"/>
        <v>115</v>
      </c>
      <c r="R264" s="27">
        <f t="shared" si="264"/>
        <v>131</v>
      </c>
      <c r="S264" s="36">
        <f t="shared" si="264"/>
        <v>462</v>
      </c>
      <c r="T264" s="25">
        <f t="shared" si="264"/>
        <v>70</v>
      </c>
      <c r="U264" s="31">
        <f t="shared" si="264"/>
        <v>126</v>
      </c>
      <c r="V264" s="26">
        <f t="shared" si="264"/>
        <v>101</v>
      </c>
      <c r="W264" s="27">
        <f t="shared" si="264"/>
        <v>105</v>
      </c>
      <c r="X264" s="36">
        <f t="shared" si="264"/>
        <v>402</v>
      </c>
      <c r="Y264" s="102">
        <f t="shared" si="227"/>
        <v>864</v>
      </c>
    </row>
    <row r="265" spans="1:27" x14ac:dyDescent="0.15">
      <c r="N265" s="190"/>
      <c r="O265" s="71"/>
      <c r="P265" s="71"/>
      <c r="Q265" s="71"/>
      <c r="R265" s="71"/>
      <c r="S265" s="71"/>
      <c r="T265" s="191"/>
      <c r="U265" s="191"/>
      <c r="V265" s="191"/>
      <c r="W265" s="191"/>
      <c r="X265" s="191"/>
    </row>
    <row r="266" spans="1:27" x14ac:dyDescent="0.15">
      <c r="N266" s="190"/>
      <c r="O266" s="116"/>
      <c r="P266" s="116"/>
      <c r="Q266" s="116"/>
      <c r="R266" s="116"/>
      <c r="S266" s="149"/>
      <c r="T266" s="192"/>
      <c r="U266" s="192"/>
      <c r="V266" s="192"/>
      <c r="W266" s="192"/>
      <c r="X266" s="193"/>
    </row>
    <row r="267" spans="1:27" ht="19.5" thickBot="1" x14ac:dyDescent="0.25">
      <c r="A267" s="2" t="s">
        <v>16</v>
      </c>
      <c r="B267" s="2"/>
      <c r="C267" s="1"/>
      <c r="D267" s="1"/>
      <c r="E267" s="1"/>
      <c r="F267" s="84"/>
      <c r="G267" s="2"/>
      <c r="H267" s="1" t="s">
        <v>156</v>
      </c>
      <c r="I267" s="1"/>
      <c r="J267" s="1"/>
      <c r="K267" s="84" t="s">
        <v>13</v>
      </c>
      <c r="L267" s="84"/>
      <c r="N267" s="2" t="s">
        <v>17</v>
      </c>
      <c r="O267" s="71"/>
      <c r="P267" s="71"/>
      <c r="Q267" s="71"/>
      <c r="R267" s="71"/>
      <c r="T267" s="71"/>
      <c r="U267" s="1" t="s">
        <v>156</v>
      </c>
      <c r="V267" s="71"/>
      <c r="W267" s="71"/>
      <c r="X267" s="84" t="s">
        <v>13</v>
      </c>
      <c r="Y267" s="84"/>
    </row>
    <row r="268" spans="1:27" ht="14.25" thickBot="1" x14ac:dyDescent="0.2">
      <c r="A268" s="5" t="s">
        <v>0</v>
      </c>
      <c r="B268" s="328" t="s">
        <v>120</v>
      </c>
      <c r="C268" s="329"/>
      <c r="D268" s="329"/>
      <c r="E268" s="329"/>
      <c r="F268" s="330"/>
      <c r="G268" s="331" t="s">
        <v>14</v>
      </c>
      <c r="H268" s="332"/>
      <c r="I268" s="332"/>
      <c r="J268" s="332"/>
      <c r="K268" s="333"/>
      <c r="L268" s="320" t="s">
        <v>30</v>
      </c>
      <c r="N268" s="5" t="s">
        <v>0</v>
      </c>
      <c r="O268" s="328" t="s">
        <v>202</v>
      </c>
      <c r="P268" s="329"/>
      <c r="Q268" s="329"/>
      <c r="R268" s="329"/>
      <c r="S268" s="330"/>
      <c r="T268" s="331" t="s">
        <v>203</v>
      </c>
      <c r="U268" s="332"/>
      <c r="V268" s="332"/>
      <c r="W268" s="332"/>
      <c r="X268" s="333"/>
      <c r="Y268" s="320" t="s">
        <v>30</v>
      </c>
    </row>
    <row r="269" spans="1:27" ht="14.25" thickBot="1" x14ac:dyDescent="0.2">
      <c r="A269" s="5" t="s">
        <v>1</v>
      </c>
      <c r="B269" s="3" t="s">
        <v>22</v>
      </c>
      <c r="C269" s="28" t="s">
        <v>23</v>
      </c>
      <c r="D269" s="4" t="s">
        <v>24</v>
      </c>
      <c r="E269" s="15" t="s">
        <v>25</v>
      </c>
      <c r="F269" s="19" t="s">
        <v>2</v>
      </c>
      <c r="G269" s="3" t="s">
        <v>22</v>
      </c>
      <c r="H269" s="28" t="s">
        <v>23</v>
      </c>
      <c r="I269" s="4" t="s">
        <v>24</v>
      </c>
      <c r="J269" s="15" t="s">
        <v>25</v>
      </c>
      <c r="K269" s="19" t="s">
        <v>2</v>
      </c>
      <c r="L269" s="321"/>
      <c r="N269" s="5" t="s">
        <v>1</v>
      </c>
      <c r="O269" s="3" t="s">
        <v>22</v>
      </c>
      <c r="P269" s="28" t="s">
        <v>23</v>
      </c>
      <c r="Q269" s="4" t="s">
        <v>24</v>
      </c>
      <c r="R269" s="15" t="s">
        <v>25</v>
      </c>
      <c r="S269" s="19" t="s">
        <v>2</v>
      </c>
      <c r="T269" s="3" t="s">
        <v>22</v>
      </c>
      <c r="U269" s="28" t="s">
        <v>23</v>
      </c>
      <c r="V269" s="4" t="s">
        <v>24</v>
      </c>
      <c r="W269" s="15" t="s">
        <v>25</v>
      </c>
      <c r="X269" s="19" t="s">
        <v>2</v>
      </c>
      <c r="Y269" s="321"/>
    </row>
    <row r="270" spans="1:27" x14ac:dyDescent="0.15">
      <c r="A270" s="78" t="s">
        <v>10</v>
      </c>
      <c r="B270" s="79">
        <f>B264</f>
        <v>7</v>
      </c>
      <c r="C270" s="80">
        <f>C264</f>
        <v>3</v>
      </c>
      <c r="D270" s="80">
        <f>D264</f>
        <v>0</v>
      </c>
      <c r="E270" s="81">
        <f>E264</f>
        <v>5</v>
      </c>
      <c r="F270" s="82">
        <f>SUM(B270:E270)</f>
        <v>15</v>
      </c>
      <c r="G270" s="79">
        <f>G264</f>
        <v>1</v>
      </c>
      <c r="H270" s="80">
        <f>H264</f>
        <v>1</v>
      </c>
      <c r="I270" s="80">
        <f>I264</f>
        <v>1</v>
      </c>
      <c r="J270" s="81">
        <f>J264</f>
        <v>0</v>
      </c>
      <c r="K270" s="82">
        <f>SUM(G270:J270)</f>
        <v>3</v>
      </c>
      <c r="L270" s="98">
        <f>F270+K270</f>
        <v>18</v>
      </c>
      <c r="N270" s="78" t="s">
        <v>10</v>
      </c>
      <c r="O270" s="79">
        <f>O264</f>
        <v>94</v>
      </c>
      <c r="P270" s="80">
        <f>P264</f>
        <v>122</v>
      </c>
      <c r="Q270" s="80">
        <f>Q264</f>
        <v>115</v>
      </c>
      <c r="R270" s="81">
        <f>R264</f>
        <v>131</v>
      </c>
      <c r="S270" s="82">
        <f>SUM(O270:R270)</f>
        <v>462</v>
      </c>
      <c r="T270" s="79">
        <f>T264</f>
        <v>70</v>
      </c>
      <c r="U270" s="80">
        <f>U264</f>
        <v>126</v>
      </c>
      <c r="V270" s="80">
        <f>V264</f>
        <v>101</v>
      </c>
      <c r="W270" s="81">
        <f>W264</f>
        <v>105</v>
      </c>
      <c r="X270" s="82">
        <f>SUM(T270:W270)</f>
        <v>402</v>
      </c>
      <c r="Y270" s="98">
        <f>S270+X270</f>
        <v>864</v>
      </c>
    </row>
    <row r="271" spans="1:27" x14ac:dyDescent="0.15">
      <c r="A271" s="12" t="s">
        <v>3</v>
      </c>
      <c r="B271" s="6"/>
      <c r="C271" s="18"/>
      <c r="D271" s="7">
        <v>3</v>
      </c>
      <c r="E271" s="8"/>
      <c r="F271" s="9">
        <f>SUM(B271:E271)</f>
        <v>3</v>
      </c>
      <c r="G271" s="6">
        <v>5</v>
      </c>
      <c r="H271" s="18">
        <v>5</v>
      </c>
      <c r="I271" s="7">
        <v>3</v>
      </c>
      <c r="J271" s="8">
        <v>3</v>
      </c>
      <c r="K271" s="9">
        <f>SUM(G271:J271)</f>
        <v>16</v>
      </c>
      <c r="L271" s="100">
        <f t="shared" ref="L271" si="265">F271+K271</f>
        <v>19</v>
      </c>
      <c r="M271" s="56">
        <v>45866</v>
      </c>
      <c r="N271" s="12" t="s">
        <v>11</v>
      </c>
      <c r="O271" s="16"/>
      <c r="P271" s="29"/>
      <c r="Q271" s="17"/>
      <c r="R271" s="20"/>
      <c r="S271" s="45">
        <f t="shared" ref="S271" si="266">SUM(O271:R271)</f>
        <v>0</v>
      </c>
      <c r="T271" s="16"/>
      <c r="U271" s="29"/>
      <c r="V271" s="17"/>
      <c r="W271" s="20"/>
      <c r="X271" s="45">
        <f t="shared" ref="X271" si="267">SUM(T271:W271)</f>
        <v>0</v>
      </c>
      <c r="Y271" s="100">
        <f t="shared" ref="Y271" si="268">S271+X271</f>
        <v>0</v>
      </c>
    </row>
    <row r="272" spans="1:27" x14ac:dyDescent="0.15">
      <c r="A272" s="12" t="s">
        <v>66</v>
      </c>
      <c r="B272" s="6"/>
      <c r="C272" s="18"/>
      <c r="D272" s="7"/>
      <c r="E272" s="8">
        <v>1</v>
      </c>
      <c r="F272" s="9">
        <f>SUM(B272:E272)</f>
        <v>1</v>
      </c>
      <c r="G272" s="6"/>
      <c r="H272" s="18"/>
      <c r="I272" s="7"/>
      <c r="J272" s="8">
        <v>1</v>
      </c>
      <c r="K272" s="9">
        <f>SUM(G272:J272)</f>
        <v>1</v>
      </c>
      <c r="L272" s="100">
        <f t="shared" ref="L272:L302" si="269">F272+K272</f>
        <v>2</v>
      </c>
      <c r="M272" s="56">
        <v>45861</v>
      </c>
      <c r="N272" s="12" t="s">
        <v>3</v>
      </c>
      <c r="O272" s="16"/>
      <c r="P272" s="29"/>
      <c r="Q272" s="17"/>
      <c r="R272" s="20"/>
      <c r="S272" s="45">
        <f t="shared" ref="S272" si="270">SUM(O272:R272)</f>
        <v>0</v>
      </c>
      <c r="T272" s="16"/>
      <c r="U272" s="29"/>
      <c r="V272" s="17"/>
      <c r="W272" s="20"/>
      <c r="X272" s="45">
        <f t="shared" ref="X272" si="271">SUM(T272:W272)</f>
        <v>0</v>
      </c>
      <c r="Y272" s="100">
        <f t="shared" ref="Y272" si="272">S272+X272</f>
        <v>0</v>
      </c>
    </row>
    <row r="273" spans="1:26" x14ac:dyDescent="0.15">
      <c r="A273" s="12" t="s">
        <v>5</v>
      </c>
      <c r="B273" s="6"/>
      <c r="C273" s="18">
        <v>3</v>
      </c>
      <c r="D273" s="7"/>
      <c r="E273" s="8"/>
      <c r="F273" s="9">
        <f>SUM(B273:E273)</f>
        <v>3</v>
      </c>
      <c r="G273" s="6"/>
      <c r="H273" s="18"/>
      <c r="I273" s="7"/>
      <c r="J273" s="8">
        <v>3</v>
      </c>
      <c r="K273" s="9">
        <f>SUM(G273:J273)</f>
        <v>3</v>
      </c>
      <c r="L273" s="100">
        <f t="shared" si="269"/>
        <v>6</v>
      </c>
      <c r="M273" s="56">
        <v>45870</v>
      </c>
      <c r="N273" s="12" t="s">
        <v>4</v>
      </c>
      <c r="O273" s="16"/>
      <c r="P273" s="29"/>
      <c r="Q273" s="17"/>
      <c r="R273" s="20"/>
      <c r="S273" s="45">
        <f t="shared" ref="S273:S274" si="273">SUM(O273:R273)</f>
        <v>0</v>
      </c>
      <c r="T273" s="16"/>
      <c r="U273" s="29"/>
      <c r="V273" s="17"/>
      <c r="W273" s="20"/>
      <c r="X273" s="45">
        <f t="shared" ref="X273:X274" si="274">SUM(T273:W273)</f>
        <v>0</v>
      </c>
      <c r="Y273" s="100">
        <f t="shared" ref="Y273:Y302" si="275">S273+X273</f>
        <v>0</v>
      </c>
    </row>
    <row r="274" spans="1:26" ht="14.25" thickBot="1" x14ac:dyDescent="0.2">
      <c r="A274" s="12" t="s">
        <v>6</v>
      </c>
      <c r="B274" s="6">
        <v>3</v>
      </c>
      <c r="C274" s="18"/>
      <c r="D274" s="7"/>
      <c r="E274" s="8"/>
      <c r="F274" s="10">
        <f>SUM(B274:E274)</f>
        <v>3</v>
      </c>
      <c r="G274" s="6"/>
      <c r="H274" s="18">
        <v>3</v>
      </c>
      <c r="I274" s="7">
        <v>5</v>
      </c>
      <c r="J274" s="8">
        <v>3</v>
      </c>
      <c r="K274" s="10">
        <f>SUM(G274:J274)</f>
        <v>11</v>
      </c>
      <c r="L274" s="101">
        <f t="shared" si="269"/>
        <v>14</v>
      </c>
      <c r="M274" s="56">
        <v>45875</v>
      </c>
      <c r="N274" s="12" t="s">
        <v>5</v>
      </c>
      <c r="O274" s="16"/>
      <c r="P274" s="29"/>
      <c r="Q274" s="17"/>
      <c r="R274" s="20"/>
      <c r="S274" s="45">
        <f t="shared" si="273"/>
        <v>0</v>
      </c>
      <c r="T274" s="16"/>
      <c r="U274" s="29"/>
      <c r="V274" s="17"/>
      <c r="W274" s="20"/>
      <c r="X274" s="45">
        <f t="shared" si="274"/>
        <v>0</v>
      </c>
      <c r="Y274" s="100">
        <f t="shared" si="275"/>
        <v>0</v>
      </c>
    </row>
    <row r="275" spans="1:26" ht="14.25" thickBot="1" x14ac:dyDescent="0.2">
      <c r="A275" s="14" t="s">
        <v>7</v>
      </c>
      <c r="B275" s="62">
        <f t="shared" ref="B275:K275" si="276">SUM(B270:B274)</f>
        <v>10</v>
      </c>
      <c r="C275" s="63">
        <f t="shared" si="276"/>
        <v>6</v>
      </c>
      <c r="D275" s="64">
        <f t="shared" si="276"/>
        <v>3</v>
      </c>
      <c r="E275" s="65">
        <f t="shared" si="276"/>
        <v>6</v>
      </c>
      <c r="F275" s="66">
        <f t="shared" si="276"/>
        <v>25</v>
      </c>
      <c r="G275" s="62">
        <f t="shared" si="276"/>
        <v>6</v>
      </c>
      <c r="H275" s="63">
        <f t="shared" si="276"/>
        <v>9</v>
      </c>
      <c r="I275" s="64">
        <f t="shared" si="276"/>
        <v>9</v>
      </c>
      <c r="J275" s="65">
        <f t="shared" si="276"/>
        <v>10</v>
      </c>
      <c r="K275" s="66">
        <f t="shared" si="276"/>
        <v>34</v>
      </c>
      <c r="L275" s="102">
        <f t="shared" si="269"/>
        <v>59</v>
      </c>
      <c r="N275" s="13" t="s">
        <v>7</v>
      </c>
      <c r="O275" s="25">
        <f t="shared" ref="O275:X275" si="277">SUM(O270:O274)</f>
        <v>94</v>
      </c>
      <c r="P275" s="31">
        <f t="shared" si="277"/>
        <v>122</v>
      </c>
      <c r="Q275" s="26">
        <f t="shared" si="277"/>
        <v>115</v>
      </c>
      <c r="R275" s="67">
        <f t="shared" si="277"/>
        <v>131</v>
      </c>
      <c r="S275" s="68">
        <f t="shared" si="277"/>
        <v>462</v>
      </c>
      <c r="T275" s="25">
        <f t="shared" si="277"/>
        <v>70</v>
      </c>
      <c r="U275" s="31">
        <f t="shared" si="277"/>
        <v>126</v>
      </c>
      <c r="V275" s="26">
        <f t="shared" si="277"/>
        <v>101</v>
      </c>
      <c r="W275" s="67">
        <f t="shared" si="277"/>
        <v>105</v>
      </c>
      <c r="X275" s="68">
        <f t="shared" si="277"/>
        <v>402</v>
      </c>
      <c r="Y275" s="102">
        <f t="shared" si="275"/>
        <v>864</v>
      </c>
    </row>
    <row r="276" spans="1:26" x14ac:dyDescent="0.15">
      <c r="A276" s="47" t="s">
        <v>544</v>
      </c>
      <c r="B276" s="41"/>
      <c r="C276" s="42"/>
      <c r="D276" s="43"/>
      <c r="E276" s="44"/>
      <c r="F276" s="70">
        <f t="shared" ref="F276:F301" si="278">SUM(B276:E276)</f>
        <v>0</v>
      </c>
      <c r="G276" s="41"/>
      <c r="H276" s="42">
        <v>1</v>
      </c>
      <c r="I276" s="43"/>
      <c r="J276" s="44"/>
      <c r="K276" s="70">
        <f t="shared" ref="K276:K300" si="279">SUM(G276:J276)</f>
        <v>1</v>
      </c>
      <c r="L276" s="103">
        <f t="shared" si="269"/>
        <v>1</v>
      </c>
      <c r="M276" s="56">
        <v>45868</v>
      </c>
      <c r="N276" s="158" t="s">
        <v>582</v>
      </c>
      <c r="O276" s="16"/>
      <c r="P276" s="17"/>
      <c r="Q276" s="29"/>
      <c r="R276" s="60"/>
      <c r="S276" s="9">
        <f t="shared" ref="S276:S277" si="280">SUM(O276:R276)</f>
        <v>0</v>
      </c>
      <c r="T276" s="16">
        <v>10</v>
      </c>
      <c r="U276" s="17">
        <v>10</v>
      </c>
      <c r="V276" s="29">
        <v>10</v>
      </c>
      <c r="W276" s="60">
        <v>15</v>
      </c>
      <c r="X276" s="9">
        <f t="shared" ref="X276:X277" si="281">SUM(T276:W276)</f>
        <v>45</v>
      </c>
      <c r="Y276" s="104">
        <f t="shared" si="275"/>
        <v>45</v>
      </c>
      <c r="Z276" s="56">
        <v>45896</v>
      </c>
    </row>
    <row r="277" spans="1:26" x14ac:dyDescent="0.15">
      <c r="A277" s="47" t="s">
        <v>45</v>
      </c>
      <c r="B277" s="16"/>
      <c r="C277" s="29"/>
      <c r="D277" s="17"/>
      <c r="E277" s="20"/>
      <c r="F277" s="45">
        <f t="shared" si="278"/>
        <v>0</v>
      </c>
      <c r="G277" s="16"/>
      <c r="H277" s="29"/>
      <c r="I277" s="17"/>
      <c r="J277" s="20">
        <v>2</v>
      </c>
      <c r="K277" s="45">
        <f t="shared" si="279"/>
        <v>2</v>
      </c>
      <c r="L277" s="104">
        <f t="shared" si="269"/>
        <v>2</v>
      </c>
      <c r="M277" s="58">
        <v>45866</v>
      </c>
      <c r="N277" s="11" t="s">
        <v>40</v>
      </c>
      <c r="O277" s="16"/>
      <c r="P277" s="29">
        <v>5</v>
      </c>
      <c r="Q277" s="17">
        <v>3</v>
      </c>
      <c r="R277" s="32">
        <v>3</v>
      </c>
      <c r="S277" s="9">
        <f t="shared" si="280"/>
        <v>11</v>
      </c>
      <c r="T277" s="16">
        <v>3</v>
      </c>
      <c r="U277" s="29"/>
      <c r="V277" s="17">
        <v>5</v>
      </c>
      <c r="W277" s="32">
        <v>5</v>
      </c>
      <c r="X277" s="9">
        <f t="shared" si="281"/>
        <v>13</v>
      </c>
      <c r="Y277" s="104">
        <f t="shared" si="275"/>
        <v>24</v>
      </c>
      <c r="Z277" s="56">
        <v>45889</v>
      </c>
    </row>
    <row r="278" spans="1:26" x14ac:dyDescent="0.15">
      <c r="A278" s="47" t="s">
        <v>45</v>
      </c>
      <c r="B278" s="16"/>
      <c r="C278" s="29"/>
      <c r="D278" s="17"/>
      <c r="E278" s="20"/>
      <c r="F278" s="45">
        <f t="shared" si="278"/>
        <v>0</v>
      </c>
      <c r="G278" s="16"/>
      <c r="H278" s="29"/>
      <c r="I278" s="17">
        <v>1</v>
      </c>
      <c r="J278" s="20">
        <v>1</v>
      </c>
      <c r="K278" s="45">
        <f t="shared" si="279"/>
        <v>2</v>
      </c>
      <c r="L278" s="104">
        <f t="shared" si="269"/>
        <v>2</v>
      </c>
      <c r="M278" s="58">
        <v>45867</v>
      </c>
      <c r="N278" s="11" t="s">
        <v>590</v>
      </c>
      <c r="O278" s="16"/>
      <c r="P278" s="29"/>
      <c r="Q278" s="17"/>
      <c r="R278" s="32"/>
      <c r="S278" s="9">
        <f t="shared" ref="S278:S281" si="282">SUM(O278:R278)</f>
        <v>0</v>
      </c>
      <c r="T278" s="16"/>
      <c r="U278" s="29"/>
      <c r="V278" s="17">
        <v>1</v>
      </c>
      <c r="W278" s="32"/>
      <c r="X278" s="9">
        <f t="shared" ref="X278:X281" si="283">SUM(T278:W278)</f>
        <v>1</v>
      </c>
      <c r="Y278" s="104">
        <f t="shared" si="275"/>
        <v>1</v>
      </c>
      <c r="Z278" s="56">
        <v>45896</v>
      </c>
    </row>
    <row r="279" spans="1:26" x14ac:dyDescent="0.15">
      <c r="A279" s="47" t="s">
        <v>45</v>
      </c>
      <c r="B279" s="16"/>
      <c r="C279" s="29">
        <v>1</v>
      </c>
      <c r="D279" s="17"/>
      <c r="E279" s="20"/>
      <c r="F279" s="45">
        <f t="shared" si="278"/>
        <v>1</v>
      </c>
      <c r="G279" s="16"/>
      <c r="H279" s="29"/>
      <c r="I279" s="17"/>
      <c r="J279" s="20"/>
      <c r="K279" s="45">
        <f t="shared" si="279"/>
        <v>0</v>
      </c>
      <c r="L279" s="104">
        <f t="shared" si="269"/>
        <v>1</v>
      </c>
      <c r="M279" s="58">
        <v>45868</v>
      </c>
      <c r="N279" s="33" t="s">
        <v>39</v>
      </c>
      <c r="O279" s="16">
        <v>3</v>
      </c>
      <c r="P279" s="29">
        <v>3</v>
      </c>
      <c r="Q279" s="17"/>
      <c r="R279" s="32">
        <v>3</v>
      </c>
      <c r="S279" s="9">
        <f t="shared" si="282"/>
        <v>9</v>
      </c>
      <c r="T279" s="16"/>
      <c r="U279" s="29">
        <v>3</v>
      </c>
      <c r="V279" s="17">
        <v>3</v>
      </c>
      <c r="W279" s="32">
        <v>3</v>
      </c>
      <c r="X279" s="9">
        <f t="shared" si="283"/>
        <v>9</v>
      </c>
      <c r="Y279" s="104">
        <f t="shared" si="275"/>
        <v>18</v>
      </c>
      <c r="Z279" s="56">
        <v>45899</v>
      </c>
    </row>
    <row r="280" spans="1:26" x14ac:dyDescent="0.15">
      <c r="A280" s="47" t="s">
        <v>45</v>
      </c>
      <c r="B280" s="16"/>
      <c r="C280" s="29"/>
      <c r="D280" s="17"/>
      <c r="E280" s="20"/>
      <c r="F280" s="45">
        <f t="shared" si="278"/>
        <v>0</v>
      </c>
      <c r="G280" s="16"/>
      <c r="H280" s="29"/>
      <c r="I280" s="17"/>
      <c r="J280" s="20">
        <v>1</v>
      </c>
      <c r="K280" s="45">
        <f t="shared" si="279"/>
        <v>1</v>
      </c>
      <c r="L280" s="104">
        <f t="shared" si="269"/>
        <v>1</v>
      </c>
      <c r="M280" s="58">
        <v>45869</v>
      </c>
      <c r="N280" s="33"/>
      <c r="O280" s="16"/>
      <c r="P280" s="29"/>
      <c r="Q280" s="17"/>
      <c r="R280" s="32"/>
      <c r="S280" s="9">
        <f t="shared" ref="S280" si="284">SUM(O280:R280)</f>
        <v>0</v>
      </c>
      <c r="T280" s="16"/>
      <c r="U280" s="29"/>
      <c r="V280" s="17"/>
      <c r="W280" s="32"/>
      <c r="X280" s="9">
        <f t="shared" ref="X280" si="285">SUM(T280:W280)</f>
        <v>0</v>
      </c>
      <c r="Y280" s="104">
        <f t="shared" ref="Y280" si="286">S280+X280</f>
        <v>0</v>
      </c>
      <c r="Z280" s="56"/>
    </row>
    <row r="281" spans="1:26" x14ac:dyDescent="0.15">
      <c r="A281" s="47" t="s">
        <v>558</v>
      </c>
      <c r="B281" s="16">
        <v>1</v>
      </c>
      <c r="C281" s="29"/>
      <c r="D281" s="17"/>
      <c r="E281" s="20"/>
      <c r="F281" s="45">
        <f t="shared" si="278"/>
        <v>1</v>
      </c>
      <c r="G281" s="16"/>
      <c r="H281" s="29"/>
      <c r="I281" s="17"/>
      <c r="J281" s="20"/>
      <c r="K281" s="45">
        <f t="shared" si="279"/>
        <v>0</v>
      </c>
      <c r="L281" s="104">
        <f t="shared" si="269"/>
        <v>1</v>
      </c>
      <c r="M281" s="58">
        <v>45873</v>
      </c>
      <c r="N281" s="33"/>
      <c r="O281" s="16"/>
      <c r="P281" s="29"/>
      <c r="Q281" s="17"/>
      <c r="R281" s="32"/>
      <c r="S281" s="9">
        <f t="shared" si="282"/>
        <v>0</v>
      </c>
      <c r="T281" s="16"/>
      <c r="U281" s="29"/>
      <c r="V281" s="17"/>
      <c r="W281" s="32"/>
      <c r="X281" s="9">
        <f t="shared" si="283"/>
        <v>0</v>
      </c>
      <c r="Y281" s="104">
        <f t="shared" si="275"/>
        <v>0</v>
      </c>
      <c r="Z281" s="56"/>
    </row>
    <row r="282" spans="1:26" x14ac:dyDescent="0.15">
      <c r="A282" s="47" t="s">
        <v>45</v>
      </c>
      <c r="B282" s="16"/>
      <c r="C282" s="29">
        <v>1</v>
      </c>
      <c r="D282" s="17"/>
      <c r="E282" s="20"/>
      <c r="F282" s="45">
        <f t="shared" si="278"/>
        <v>1</v>
      </c>
      <c r="G282" s="16"/>
      <c r="H282" s="29">
        <v>1</v>
      </c>
      <c r="I282" s="17"/>
      <c r="J282" s="20"/>
      <c r="K282" s="45">
        <f t="shared" si="279"/>
        <v>1</v>
      </c>
      <c r="L282" s="104">
        <f t="shared" si="269"/>
        <v>2</v>
      </c>
      <c r="M282" s="58">
        <v>45870</v>
      </c>
      <c r="N282" s="33"/>
      <c r="O282" s="16"/>
      <c r="P282" s="29"/>
      <c r="Q282" s="17"/>
      <c r="R282" s="32"/>
      <c r="S282" s="9">
        <f>SUM(O282:R282)</f>
        <v>0</v>
      </c>
      <c r="T282" s="16"/>
      <c r="U282" s="29"/>
      <c r="V282" s="17"/>
      <c r="W282" s="32"/>
      <c r="X282" s="9">
        <f>SUM(T282:W282)</f>
        <v>0</v>
      </c>
      <c r="Y282" s="104">
        <f t="shared" si="275"/>
        <v>0</v>
      </c>
      <c r="Z282" s="56"/>
    </row>
    <row r="283" spans="1:26" x14ac:dyDescent="0.15">
      <c r="A283" s="47" t="s">
        <v>45</v>
      </c>
      <c r="B283" s="16"/>
      <c r="C283" s="29"/>
      <c r="D283" s="17"/>
      <c r="E283" s="20"/>
      <c r="F283" s="45">
        <f t="shared" si="278"/>
        <v>0</v>
      </c>
      <c r="G283" s="16"/>
      <c r="H283" s="29"/>
      <c r="I283" s="17">
        <v>1</v>
      </c>
      <c r="J283" s="20"/>
      <c r="K283" s="45">
        <f t="shared" si="279"/>
        <v>1</v>
      </c>
      <c r="L283" s="104">
        <f t="shared" si="269"/>
        <v>1</v>
      </c>
      <c r="M283" s="56">
        <v>45873</v>
      </c>
      <c r="N283" s="33"/>
      <c r="O283" s="16"/>
      <c r="P283" s="29"/>
      <c r="Q283" s="17"/>
      <c r="R283" s="32"/>
      <c r="S283" s="9">
        <f t="shared" ref="S283:S287" si="287">SUM(O283:R283)</f>
        <v>0</v>
      </c>
      <c r="T283" s="16"/>
      <c r="U283" s="29"/>
      <c r="V283" s="17"/>
      <c r="W283" s="32"/>
      <c r="X283" s="9">
        <f t="shared" ref="X283:X287" si="288">SUM(T283:W283)</f>
        <v>0</v>
      </c>
      <c r="Y283" s="104">
        <f t="shared" si="275"/>
        <v>0</v>
      </c>
      <c r="Z283" s="56"/>
    </row>
    <row r="284" spans="1:26" x14ac:dyDescent="0.15">
      <c r="A284" s="47" t="s">
        <v>565</v>
      </c>
      <c r="B284" s="16"/>
      <c r="C284" s="29"/>
      <c r="D284" s="17"/>
      <c r="E284" s="20"/>
      <c r="F284" s="45">
        <f t="shared" si="278"/>
        <v>0</v>
      </c>
      <c r="G284" s="16"/>
      <c r="H284" s="29">
        <v>1</v>
      </c>
      <c r="I284" s="17">
        <v>2</v>
      </c>
      <c r="J284" s="20">
        <v>3</v>
      </c>
      <c r="K284" s="45">
        <f t="shared" si="279"/>
        <v>6</v>
      </c>
      <c r="L284" s="104">
        <f t="shared" si="269"/>
        <v>6</v>
      </c>
      <c r="M284" s="56">
        <v>45876</v>
      </c>
      <c r="N284" s="33"/>
      <c r="O284" s="16"/>
      <c r="P284" s="29"/>
      <c r="Q284" s="17"/>
      <c r="R284" s="32"/>
      <c r="S284" s="9">
        <f t="shared" si="287"/>
        <v>0</v>
      </c>
      <c r="T284" s="16"/>
      <c r="U284" s="29"/>
      <c r="V284" s="17"/>
      <c r="W284" s="32"/>
      <c r="X284" s="9">
        <f t="shared" si="288"/>
        <v>0</v>
      </c>
      <c r="Y284" s="104">
        <f t="shared" si="275"/>
        <v>0</v>
      </c>
      <c r="Z284" s="56"/>
    </row>
    <row r="285" spans="1:26" x14ac:dyDescent="0.15">
      <c r="A285" s="33" t="s">
        <v>567</v>
      </c>
      <c r="B285" s="16">
        <v>1</v>
      </c>
      <c r="C285" s="29"/>
      <c r="D285" s="17"/>
      <c r="E285" s="20"/>
      <c r="F285" s="45">
        <f t="shared" si="278"/>
        <v>1</v>
      </c>
      <c r="G285" s="16"/>
      <c r="H285" s="29"/>
      <c r="I285" s="17"/>
      <c r="J285" s="20">
        <v>-1</v>
      </c>
      <c r="K285" s="45">
        <f t="shared" si="279"/>
        <v>-1</v>
      </c>
      <c r="L285" s="104">
        <f t="shared" si="269"/>
        <v>0</v>
      </c>
      <c r="M285" s="56">
        <v>45869</v>
      </c>
      <c r="N285" s="33"/>
      <c r="O285" s="16"/>
      <c r="P285" s="29"/>
      <c r="Q285" s="17"/>
      <c r="R285" s="32"/>
      <c r="S285" s="9">
        <f t="shared" si="287"/>
        <v>0</v>
      </c>
      <c r="T285" s="16"/>
      <c r="U285" s="29"/>
      <c r="V285" s="17"/>
      <c r="W285" s="32"/>
      <c r="X285" s="9">
        <f t="shared" si="288"/>
        <v>0</v>
      </c>
      <c r="Y285" s="104">
        <f t="shared" si="275"/>
        <v>0</v>
      </c>
      <c r="Z285" s="56"/>
    </row>
    <row r="286" spans="1:26" x14ac:dyDescent="0.15">
      <c r="A286" s="47" t="s">
        <v>568</v>
      </c>
      <c r="B286" s="16">
        <v>1</v>
      </c>
      <c r="C286" s="29">
        <v>1</v>
      </c>
      <c r="D286" s="17"/>
      <c r="E286" s="20"/>
      <c r="F286" s="45">
        <f t="shared" si="278"/>
        <v>2</v>
      </c>
      <c r="G286" s="16">
        <v>2</v>
      </c>
      <c r="H286" s="29"/>
      <c r="I286" s="17"/>
      <c r="J286" s="20">
        <v>1</v>
      </c>
      <c r="K286" s="45">
        <f t="shared" si="279"/>
        <v>3</v>
      </c>
      <c r="L286" s="104">
        <f t="shared" si="269"/>
        <v>5</v>
      </c>
      <c r="M286" s="56">
        <v>45877</v>
      </c>
      <c r="N286" s="33"/>
      <c r="O286" s="16"/>
      <c r="P286" s="29"/>
      <c r="Q286" s="17"/>
      <c r="R286" s="32"/>
      <c r="S286" s="9">
        <f t="shared" si="287"/>
        <v>0</v>
      </c>
      <c r="T286" s="16"/>
      <c r="U286" s="29"/>
      <c r="V286" s="17"/>
      <c r="W286" s="32"/>
      <c r="X286" s="9">
        <f t="shared" si="288"/>
        <v>0</v>
      </c>
      <c r="Y286" s="104">
        <f t="shared" si="275"/>
        <v>0</v>
      </c>
      <c r="Z286" s="56"/>
    </row>
    <row r="287" spans="1:26" x14ac:dyDescent="0.15">
      <c r="A287" s="33" t="s">
        <v>249</v>
      </c>
      <c r="B287" s="16"/>
      <c r="C287" s="29"/>
      <c r="D287" s="17"/>
      <c r="E287" s="20">
        <v>1</v>
      </c>
      <c r="F287" s="45">
        <f t="shared" si="278"/>
        <v>1</v>
      </c>
      <c r="G287" s="16"/>
      <c r="H287" s="29"/>
      <c r="I287" s="17">
        <v>-1</v>
      </c>
      <c r="J287" s="20"/>
      <c r="K287" s="45">
        <f t="shared" si="279"/>
        <v>-1</v>
      </c>
      <c r="L287" s="104">
        <f t="shared" si="269"/>
        <v>0</v>
      </c>
      <c r="M287" s="56">
        <v>45876</v>
      </c>
      <c r="N287" s="72"/>
      <c r="O287" s="16"/>
      <c r="P287" s="29"/>
      <c r="Q287" s="17"/>
      <c r="R287" s="32"/>
      <c r="S287" s="9">
        <f t="shared" si="287"/>
        <v>0</v>
      </c>
      <c r="T287" s="16"/>
      <c r="U287" s="29"/>
      <c r="V287" s="17"/>
      <c r="W287" s="32"/>
      <c r="X287" s="9">
        <f t="shared" si="288"/>
        <v>0</v>
      </c>
      <c r="Y287" s="104">
        <f t="shared" si="275"/>
        <v>0</v>
      </c>
      <c r="Z287" s="56"/>
    </row>
    <row r="288" spans="1:26" x14ac:dyDescent="0.15">
      <c r="A288" s="47" t="s">
        <v>45</v>
      </c>
      <c r="B288" s="16"/>
      <c r="C288" s="29"/>
      <c r="D288" s="17">
        <v>1</v>
      </c>
      <c r="E288" s="20"/>
      <c r="F288" s="45">
        <f t="shared" si="278"/>
        <v>1</v>
      </c>
      <c r="G288" s="16"/>
      <c r="H288" s="29"/>
      <c r="I288" s="17"/>
      <c r="J288" s="20"/>
      <c r="K288" s="45">
        <f t="shared" si="279"/>
        <v>0</v>
      </c>
      <c r="L288" s="104">
        <f t="shared" si="269"/>
        <v>1</v>
      </c>
      <c r="M288" s="56">
        <v>45876</v>
      </c>
      <c r="N288" s="33"/>
      <c r="O288" s="16"/>
      <c r="P288" s="29"/>
      <c r="Q288" s="17"/>
      <c r="R288" s="32"/>
      <c r="S288" s="9">
        <f>SUM(O288:R288)</f>
        <v>0</v>
      </c>
      <c r="T288" s="16"/>
      <c r="U288" s="29"/>
      <c r="V288" s="17"/>
      <c r="W288" s="32"/>
      <c r="X288" s="9">
        <f>SUM(T288:W288)</f>
        <v>0</v>
      </c>
      <c r="Y288" s="104">
        <f t="shared" si="275"/>
        <v>0</v>
      </c>
      <c r="Z288" s="56"/>
    </row>
    <row r="289" spans="1:26" x14ac:dyDescent="0.15">
      <c r="A289" s="47" t="s">
        <v>573</v>
      </c>
      <c r="B289" s="16"/>
      <c r="C289" s="29"/>
      <c r="D289" s="17"/>
      <c r="E289" s="20">
        <v>2</v>
      </c>
      <c r="F289" s="45">
        <f t="shared" si="278"/>
        <v>2</v>
      </c>
      <c r="G289" s="16"/>
      <c r="H289" s="29"/>
      <c r="I289" s="17"/>
      <c r="J289" s="20"/>
      <c r="K289" s="45">
        <f t="shared" si="279"/>
        <v>0</v>
      </c>
      <c r="L289" s="104">
        <f t="shared" si="269"/>
        <v>2</v>
      </c>
      <c r="M289" s="56">
        <v>45885</v>
      </c>
      <c r="N289" s="72"/>
      <c r="O289" s="16"/>
      <c r="P289" s="29"/>
      <c r="Q289" s="17"/>
      <c r="R289" s="32"/>
      <c r="S289" s="9">
        <f>SUM(O289:R289)</f>
        <v>0</v>
      </c>
      <c r="T289" s="16"/>
      <c r="U289" s="29"/>
      <c r="V289" s="17"/>
      <c r="W289" s="32"/>
      <c r="X289" s="9">
        <f>SUM(T289:W289)</f>
        <v>0</v>
      </c>
      <c r="Y289" s="104">
        <f t="shared" si="275"/>
        <v>0</v>
      </c>
      <c r="Z289" s="56"/>
    </row>
    <row r="290" spans="1:26" x14ac:dyDescent="0.15">
      <c r="A290" s="33" t="s">
        <v>577</v>
      </c>
      <c r="B290" s="16"/>
      <c r="C290" s="29"/>
      <c r="D290" s="17"/>
      <c r="E290" s="20"/>
      <c r="F290" s="45">
        <f t="shared" si="278"/>
        <v>0</v>
      </c>
      <c r="G290" s="16"/>
      <c r="H290" s="29">
        <v>-1</v>
      </c>
      <c r="I290" s="17"/>
      <c r="J290" s="20"/>
      <c r="K290" s="45">
        <f t="shared" si="279"/>
        <v>-1</v>
      </c>
      <c r="L290" s="104">
        <f t="shared" si="269"/>
        <v>-1</v>
      </c>
      <c r="M290" s="56">
        <v>45874</v>
      </c>
      <c r="N290" s="72"/>
      <c r="O290" s="16"/>
      <c r="P290" s="29"/>
      <c r="Q290" s="17"/>
      <c r="R290" s="32"/>
      <c r="S290" s="9">
        <f t="shared" ref="S290:S293" si="289">SUM(O290:R290)</f>
        <v>0</v>
      </c>
      <c r="T290" s="16"/>
      <c r="U290" s="29"/>
      <c r="V290" s="17"/>
      <c r="W290" s="32"/>
      <c r="X290" s="9">
        <f t="shared" ref="X290:X293" si="290">SUM(T290:W290)</f>
        <v>0</v>
      </c>
      <c r="Y290" s="104">
        <f t="shared" si="275"/>
        <v>0</v>
      </c>
      <c r="Z290" s="56"/>
    </row>
    <row r="291" spans="1:26" x14ac:dyDescent="0.15">
      <c r="A291" s="47" t="s">
        <v>45</v>
      </c>
      <c r="B291" s="16"/>
      <c r="C291" s="29"/>
      <c r="D291" s="17"/>
      <c r="E291" s="20"/>
      <c r="F291" s="45">
        <f t="shared" si="278"/>
        <v>0</v>
      </c>
      <c r="G291" s="16"/>
      <c r="H291" s="29"/>
      <c r="I291" s="17">
        <v>1</v>
      </c>
      <c r="J291" s="20"/>
      <c r="K291" s="45">
        <f t="shared" si="279"/>
        <v>1</v>
      </c>
      <c r="L291" s="104">
        <f t="shared" si="269"/>
        <v>1</v>
      </c>
      <c r="M291" s="56">
        <v>45877</v>
      </c>
      <c r="N291" s="72"/>
      <c r="O291" s="16"/>
      <c r="P291" s="29"/>
      <c r="Q291" s="17"/>
      <c r="R291" s="32"/>
      <c r="S291" s="9">
        <f t="shared" si="289"/>
        <v>0</v>
      </c>
      <c r="T291" s="16"/>
      <c r="U291" s="29"/>
      <c r="V291" s="17"/>
      <c r="W291" s="32"/>
      <c r="X291" s="9">
        <f t="shared" si="290"/>
        <v>0</v>
      </c>
      <c r="Y291" s="104">
        <f t="shared" si="275"/>
        <v>0</v>
      </c>
      <c r="Z291" s="56"/>
    </row>
    <row r="292" spans="1:26" x14ac:dyDescent="0.15">
      <c r="A292" s="47" t="s">
        <v>45</v>
      </c>
      <c r="B292" s="16"/>
      <c r="C292" s="29"/>
      <c r="D292" s="17"/>
      <c r="E292" s="20"/>
      <c r="F292" s="45">
        <f t="shared" si="278"/>
        <v>0</v>
      </c>
      <c r="G292" s="16"/>
      <c r="H292" s="29">
        <v>1</v>
      </c>
      <c r="I292" s="17"/>
      <c r="J292" s="20"/>
      <c r="K292" s="45">
        <f t="shared" si="279"/>
        <v>1</v>
      </c>
      <c r="L292" s="104">
        <f t="shared" si="269"/>
        <v>1</v>
      </c>
      <c r="M292" s="58">
        <v>45878</v>
      </c>
      <c r="N292" s="72"/>
      <c r="O292" s="16"/>
      <c r="P292" s="29"/>
      <c r="Q292" s="17"/>
      <c r="R292" s="32"/>
      <c r="S292" s="9">
        <f t="shared" si="289"/>
        <v>0</v>
      </c>
      <c r="T292" s="16"/>
      <c r="U292" s="29"/>
      <c r="V292" s="17"/>
      <c r="W292" s="32"/>
      <c r="X292" s="9">
        <f t="shared" si="290"/>
        <v>0</v>
      </c>
      <c r="Y292" s="104">
        <f t="shared" si="275"/>
        <v>0</v>
      </c>
      <c r="Z292" s="56"/>
    </row>
    <row r="293" spans="1:26" x14ac:dyDescent="0.15">
      <c r="A293" s="47" t="s">
        <v>578</v>
      </c>
      <c r="B293" s="16">
        <v>0</v>
      </c>
      <c r="C293" s="29">
        <v>0</v>
      </c>
      <c r="D293" s="17">
        <v>0</v>
      </c>
      <c r="E293" s="20">
        <v>0</v>
      </c>
      <c r="F293" s="45">
        <f t="shared" si="278"/>
        <v>0</v>
      </c>
      <c r="G293" s="16">
        <v>0</v>
      </c>
      <c r="H293" s="29">
        <v>0</v>
      </c>
      <c r="I293" s="17">
        <v>0</v>
      </c>
      <c r="J293" s="20">
        <v>0</v>
      </c>
      <c r="K293" s="45">
        <f t="shared" si="279"/>
        <v>0</v>
      </c>
      <c r="L293" s="104">
        <f t="shared" si="269"/>
        <v>0</v>
      </c>
      <c r="M293" s="56">
        <v>45878</v>
      </c>
      <c r="N293" s="72"/>
      <c r="O293" s="41"/>
      <c r="P293" s="42"/>
      <c r="Q293" s="43"/>
      <c r="R293" s="59"/>
      <c r="S293" s="61">
        <f t="shared" si="289"/>
        <v>0</v>
      </c>
      <c r="T293" s="41"/>
      <c r="U293" s="42"/>
      <c r="V293" s="43"/>
      <c r="W293" s="59"/>
      <c r="X293" s="61">
        <f t="shared" si="290"/>
        <v>0</v>
      </c>
      <c r="Y293" s="104">
        <f t="shared" si="275"/>
        <v>0</v>
      </c>
      <c r="Z293" s="56"/>
    </row>
    <row r="294" spans="1:26" x14ac:dyDescent="0.15">
      <c r="A294" s="47" t="s">
        <v>580</v>
      </c>
      <c r="B294" s="16"/>
      <c r="C294" s="29"/>
      <c r="D294" s="17"/>
      <c r="E294" s="20"/>
      <c r="F294" s="45">
        <f t="shared" si="278"/>
        <v>0</v>
      </c>
      <c r="G294" s="16"/>
      <c r="H294" s="29"/>
      <c r="I294" s="17">
        <v>1</v>
      </c>
      <c r="J294" s="20"/>
      <c r="K294" s="45">
        <f t="shared" si="279"/>
        <v>1</v>
      </c>
      <c r="L294" s="104">
        <f t="shared" si="269"/>
        <v>1</v>
      </c>
      <c r="M294" s="56">
        <v>45889</v>
      </c>
      <c r="N294" s="33"/>
      <c r="O294" s="16"/>
      <c r="P294" s="29"/>
      <c r="Q294" s="17"/>
      <c r="R294" s="32"/>
      <c r="S294" s="9">
        <f>SUM(O294:R294)</f>
        <v>0</v>
      </c>
      <c r="T294" s="16"/>
      <c r="U294" s="29"/>
      <c r="V294" s="17"/>
      <c r="W294" s="32"/>
      <c r="X294" s="9">
        <f>SUM(T294:W294)</f>
        <v>0</v>
      </c>
      <c r="Y294" s="104">
        <f t="shared" si="275"/>
        <v>0</v>
      </c>
      <c r="Z294" s="56"/>
    </row>
    <row r="295" spans="1:26" x14ac:dyDescent="0.15">
      <c r="A295" s="47" t="s">
        <v>45</v>
      </c>
      <c r="B295" s="16"/>
      <c r="C295" s="29"/>
      <c r="D295" s="17"/>
      <c r="E295" s="20">
        <v>1</v>
      </c>
      <c r="F295" s="45">
        <f t="shared" si="278"/>
        <v>1</v>
      </c>
      <c r="G295" s="16"/>
      <c r="H295" s="29"/>
      <c r="I295" s="17">
        <v>2</v>
      </c>
      <c r="J295" s="20">
        <v>1</v>
      </c>
      <c r="K295" s="45">
        <f t="shared" si="279"/>
        <v>3</v>
      </c>
      <c r="L295" s="104">
        <f t="shared" si="269"/>
        <v>4</v>
      </c>
      <c r="M295" s="56">
        <v>45887</v>
      </c>
      <c r="N295" s="11"/>
      <c r="O295" s="16"/>
      <c r="P295" s="17"/>
      <c r="Q295" s="29"/>
      <c r="R295" s="60"/>
      <c r="S295" s="9">
        <f t="shared" ref="S295:S301" si="291">SUM(O295:R295)</f>
        <v>0</v>
      </c>
      <c r="T295" s="16"/>
      <c r="U295" s="17"/>
      <c r="V295" s="29"/>
      <c r="W295" s="60"/>
      <c r="X295" s="9">
        <f t="shared" ref="X295:X301" si="292">SUM(T295:W295)</f>
        <v>0</v>
      </c>
      <c r="Y295" s="104">
        <f t="shared" si="275"/>
        <v>0</v>
      </c>
    </row>
    <row r="296" spans="1:26" x14ac:dyDescent="0.15">
      <c r="A296" s="47" t="s">
        <v>583</v>
      </c>
      <c r="B296" s="16"/>
      <c r="C296" s="29">
        <v>3</v>
      </c>
      <c r="D296" s="17"/>
      <c r="E296" s="20"/>
      <c r="F296" s="45">
        <f t="shared" si="278"/>
        <v>3</v>
      </c>
      <c r="G296" s="16">
        <v>1</v>
      </c>
      <c r="H296" s="29"/>
      <c r="I296" s="17">
        <v>1</v>
      </c>
      <c r="J296" s="20">
        <v>2</v>
      </c>
      <c r="K296" s="45">
        <f t="shared" si="279"/>
        <v>4</v>
      </c>
      <c r="L296" s="104">
        <f t="shared" si="269"/>
        <v>7</v>
      </c>
      <c r="M296" s="56">
        <v>45890</v>
      </c>
      <c r="N296" s="11"/>
      <c r="O296" s="16"/>
      <c r="P296" s="29"/>
      <c r="Q296" s="17"/>
      <c r="R296" s="32"/>
      <c r="S296" s="9">
        <f t="shared" si="291"/>
        <v>0</v>
      </c>
      <c r="T296" s="16"/>
      <c r="U296" s="29"/>
      <c r="V296" s="17"/>
      <c r="W296" s="32"/>
      <c r="X296" s="9">
        <f t="shared" si="292"/>
        <v>0</v>
      </c>
      <c r="Y296" s="104">
        <f t="shared" si="275"/>
        <v>0</v>
      </c>
    </row>
    <row r="297" spans="1:26" x14ac:dyDescent="0.15">
      <c r="A297" s="47" t="s">
        <v>45</v>
      </c>
      <c r="B297" s="16"/>
      <c r="C297" s="29"/>
      <c r="D297" s="17"/>
      <c r="E297" s="20"/>
      <c r="F297" s="45">
        <f t="shared" si="278"/>
        <v>0</v>
      </c>
      <c r="G297" s="16">
        <v>1</v>
      </c>
      <c r="H297" s="29"/>
      <c r="I297" s="17">
        <v>1</v>
      </c>
      <c r="J297" s="20"/>
      <c r="K297" s="45">
        <f t="shared" si="279"/>
        <v>2</v>
      </c>
      <c r="L297" s="104">
        <f t="shared" si="269"/>
        <v>2</v>
      </c>
      <c r="M297" s="56">
        <v>45888</v>
      </c>
      <c r="N297" s="11" t="s">
        <v>447</v>
      </c>
      <c r="O297" s="16"/>
      <c r="P297" s="17"/>
      <c r="Q297" s="29"/>
      <c r="R297" s="60"/>
      <c r="S297" s="9">
        <f t="shared" si="291"/>
        <v>0</v>
      </c>
      <c r="T297" s="16"/>
      <c r="U297" s="17"/>
      <c r="V297" s="29"/>
      <c r="W297" s="60"/>
      <c r="X297" s="9">
        <f t="shared" si="292"/>
        <v>0</v>
      </c>
      <c r="Y297" s="104">
        <f t="shared" si="275"/>
        <v>0</v>
      </c>
      <c r="Z297" s="157" t="s">
        <v>448</v>
      </c>
    </row>
    <row r="298" spans="1:26" x14ac:dyDescent="0.15">
      <c r="A298" s="47" t="s">
        <v>586</v>
      </c>
      <c r="B298" s="16"/>
      <c r="C298" s="29">
        <v>-5</v>
      </c>
      <c r="D298" s="17">
        <v>-3</v>
      </c>
      <c r="E298" s="20">
        <v>-3</v>
      </c>
      <c r="F298" s="45">
        <f t="shared" si="278"/>
        <v>-11</v>
      </c>
      <c r="G298" s="16">
        <v>-3</v>
      </c>
      <c r="H298" s="29"/>
      <c r="I298" s="17">
        <v>-5</v>
      </c>
      <c r="J298" s="20">
        <v>-5</v>
      </c>
      <c r="K298" s="45">
        <f t="shared" si="279"/>
        <v>-13</v>
      </c>
      <c r="L298" s="104">
        <f t="shared" si="269"/>
        <v>-24</v>
      </c>
      <c r="M298" s="56">
        <v>45889</v>
      </c>
      <c r="N298" s="11" t="s">
        <v>563</v>
      </c>
      <c r="O298" s="206"/>
      <c r="P298" s="207"/>
      <c r="Q298" s="208"/>
      <c r="R298" s="209"/>
      <c r="S298" s="9">
        <f t="shared" si="291"/>
        <v>0</v>
      </c>
      <c r="T298" s="16"/>
      <c r="U298" s="29"/>
      <c r="V298" s="17"/>
      <c r="W298" s="32"/>
      <c r="X298" s="9">
        <f t="shared" si="292"/>
        <v>0</v>
      </c>
      <c r="Y298" s="104">
        <f t="shared" si="275"/>
        <v>0</v>
      </c>
      <c r="Z298" s="157" t="s">
        <v>564</v>
      </c>
    </row>
    <row r="299" spans="1:26" x14ac:dyDescent="0.15">
      <c r="A299" s="47" t="s">
        <v>587</v>
      </c>
      <c r="B299" s="16"/>
      <c r="C299" s="29"/>
      <c r="D299" s="17">
        <v>1</v>
      </c>
      <c r="E299" s="20"/>
      <c r="F299" s="45">
        <f t="shared" si="278"/>
        <v>1</v>
      </c>
      <c r="G299" s="16"/>
      <c r="H299" s="29"/>
      <c r="I299" s="17"/>
      <c r="J299" s="20">
        <v>1</v>
      </c>
      <c r="K299" s="45">
        <f t="shared" si="279"/>
        <v>1</v>
      </c>
      <c r="L299" s="104">
        <f t="shared" si="269"/>
        <v>2</v>
      </c>
      <c r="M299" s="56">
        <v>45891</v>
      </c>
      <c r="N299" s="72" t="s">
        <v>598</v>
      </c>
      <c r="O299" s="161"/>
      <c r="P299" s="162"/>
      <c r="Q299" s="163"/>
      <c r="R299" s="164"/>
      <c r="S299" s="165">
        <f t="shared" ref="S299" si="293">SUM(O299:R299)</f>
        <v>0</v>
      </c>
      <c r="T299" s="166"/>
      <c r="U299" s="167"/>
      <c r="V299" s="160"/>
      <c r="W299" s="168"/>
      <c r="X299" s="165">
        <f t="shared" ref="X299" si="294">SUM(T299:W299)</f>
        <v>0</v>
      </c>
      <c r="Y299" s="169">
        <f t="shared" ref="Y299" si="295">S299+X299</f>
        <v>0</v>
      </c>
      <c r="Z299" s="224"/>
    </row>
    <row r="300" spans="1:26" ht="14.25" thickBot="1" x14ac:dyDescent="0.2">
      <c r="A300" s="47" t="s">
        <v>45</v>
      </c>
      <c r="B300" s="37"/>
      <c r="C300" s="38"/>
      <c r="D300" s="39">
        <v>1</v>
      </c>
      <c r="E300" s="40"/>
      <c r="F300" s="45">
        <f t="shared" si="278"/>
        <v>1</v>
      </c>
      <c r="G300" s="37"/>
      <c r="H300" s="38"/>
      <c r="I300" s="39">
        <v>1</v>
      </c>
      <c r="J300" s="40"/>
      <c r="K300" s="45">
        <f t="shared" si="279"/>
        <v>1</v>
      </c>
      <c r="L300" s="104">
        <f t="shared" si="269"/>
        <v>2</v>
      </c>
      <c r="M300" s="58">
        <v>45889</v>
      </c>
      <c r="N300" s="170" t="s">
        <v>147</v>
      </c>
      <c r="O300" s="229"/>
      <c r="P300" s="230"/>
      <c r="Q300" s="231"/>
      <c r="R300" s="232"/>
      <c r="S300" s="48">
        <f t="shared" si="291"/>
        <v>0</v>
      </c>
      <c r="T300" s="117"/>
      <c r="U300" s="118"/>
      <c r="V300" s="119"/>
      <c r="W300" s="233"/>
      <c r="X300" s="48">
        <f t="shared" si="292"/>
        <v>0</v>
      </c>
      <c r="Y300" s="122">
        <f t="shared" si="275"/>
        <v>0</v>
      </c>
      <c r="Z300" s="157" t="s">
        <v>381</v>
      </c>
    </row>
    <row r="301" spans="1:26" ht="14.25" thickBot="1" x14ac:dyDescent="0.2">
      <c r="A301" s="13" t="s">
        <v>8</v>
      </c>
      <c r="B301" s="22">
        <f>SUM(B276:B300)</f>
        <v>3</v>
      </c>
      <c r="C301" s="30">
        <f>SUM(C276:C300)</f>
        <v>1</v>
      </c>
      <c r="D301" s="23">
        <f>SUM(D276:D300)</f>
        <v>0</v>
      </c>
      <c r="E301" s="24">
        <f>SUM(E276:E300)</f>
        <v>1</v>
      </c>
      <c r="F301" s="21">
        <f t="shared" si="278"/>
        <v>5</v>
      </c>
      <c r="G301" s="22">
        <f>SUM(G276:G300)</f>
        <v>1</v>
      </c>
      <c r="H301" s="30">
        <f>SUM(H276:H300)</f>
        <v>3</v>
      </c>
      <c r="I301" s="23">
        <f>SUM(I276:I300)</f>
        <v>5</v>
      </c>
      <c r="J301" s="24">
        <f>SUM(J276:J300)</f>
        <v>6</v>
      </c>
      <c r="K301" s="21">
        <f>SUM(G301:J301)</f>
        <v>15</v>
      </c>
      <c r="L301" s="105">
        <f t="shared" si="269"/>
        <v>20</v>
      </c>
      <c r="N301" s="49" t="s">
        <v>8</v>
      </c>
      <c r="O301" s="22">
        <f>SUM(O276:O300)</f>
        <v>3</v>
      </c>
      <c r="P301" s="30">
        <f>SUM(P276:P300)</f>
        <v>8</v>
      </c>
      <c r="Q301" s="23">
        <f>SUM(Q276:Q300)</f>
        <v>3</v>
      </c>
      <c r="R301" s="24">
        <f>SUM(R276:R300)</f>
        <v>6</v>
      </c>
      <c r="S301" s="48">
        <f t="shared" si="291"/>
        <v>20</v>
      </c>
      <c r="T301" s="22">
        <f>SUM(T276:T300)</f>
        <v>13</v>
      </c>
      <c r="U301" s="30">
        <f>SUM(U276:U300)</f>
        <v>13</v>
      </c>
      <c r="V301" s="23">
        <f>SUM(V276:V300)</f>
        <v>19</v>
      </c>
      <c r="W301" s="24">
        <f>SUM(W276:W300)</f>
        <v>23</v>
      </c>
      <c r="X301" s="48">
        <f t="shared" si="292"/>
        <v>68</v>
      </c>
      <c r="Y301" s="122">
        <f t="shared" si="275"/>
        <v>88</v>
      </c>
    </row>
    <row r="302" spans="1:26" ht="14.25" thickBot="1" x14ac:dyDescent="0.2">
      <c r="A302" s="14" t="s">
        <v>9</v>
      </c>
      <c r="B302" s="25">
        <f t="shared" ref="B302:K302" si="296">B275-B301</f>
        <v>7</v>
      </c>
      <c r="C302" s="31">
        <f t="shared" si="296"/>
        <v>5</v>
      </c>
      <c r="D302" s="26">
        <f t="shared" si="296"/>
        <v>3</v>
      </c>
      <c r="E302" s="27">
        <f t="shared" si="296"/>
        <v>5</v>
      </c>
      <c r="F302" s="83">
        <f t="shared" si="296"/>
        <v>20</v>
      </c>
      <c r="G302" s="25">
        <f t="shared" si="296"/>
        <v>5</v>
      </c>
      <c r="H302" s="31">
        <f t="shared" si="296"/>
        <v>6</v>
      </c>
      <c r="I302" s="26">
        <f t="shared" si="296"/>
        <v>4</v>
      </c>
      <c r="J302" s="27">
        <f t="shared" si="296"/>
        <v>4</v>
      </c>
      <c r="K302" s="83">
        <f t="shared" si="296"/>
        <v>19</v>
      </c>
      <c r="L302" s="102">
        <f t="shared" si="269"/>
        <v>39</v>
      </c>
      <c r="N302" s="13" t="s">
        <v>9</v>
      </c>
      <c r="O302" s="25">
        <f t="shared" ref="O302:X302" si="297">O275-O301</f>
        <v>91</v>
      </c>
      <c r="P302" s="31">
        <f t="shared" si="297"/>
        <v>114</v>
      </c>
      <c r="Q302" s="26">
        <f t="shared" si="297"/>
        <v>112</v>
      </c>
      <c r="R302" s="27">
        <f t="shared" si="297"/>
        <v>125</v>
      </c>
      <c r="S302" s="36">
        <f t="shared" si="297"/>
        <v>442</v>
      </c>
      <c r="T302" s="25">
        <f t="shared" si="297"/>
        <v>57</v>
      </c>
      <c r="U302" s="31">
        <f t="shared" si="297"/>
        <v>113</v>
      </c>
      <c r="V302" s="26">
        <f t="shared" si="297"/>
        <v>82</v>
      </c>
      <c r="W302" s="27">
        <f t="shared" si="297"/>
        <v>82</v>
      </c>
      <c r="X302" s="36">
        <f t="shared" si="297"/>
        <v>334</v>
      </c>
      <c r="Y302" s="102">
        <f t="shared" si="275"/>
        <v>776</v>
      </c>
    </row>
    <row r="303" spans="1:26" x14ac:dyDescent="0.15">
      <c r="N303" s="189" t="s">
        <v>614</v>
      </c>
      <c r="O303" s="50">
        <f>O301+O263+O225+O187+O149+O113</f>
        <v>167</v>
      </c>
      <c r="P303" s="50">
        <f t="shared" ref="P303:X303" si="298">P301+P263+P225+P187+P149+P113</f>
        <v>213</v>
      </c>
      <c r="Q303" s="50">
        <f t="shared" si="298"/>
        <v>178</v>
      </c>
      <c r="R303" s="50">
        <f t="shared" si="298"/>
        <v>195</v>
      </c>
      <c r="S303" s="50">
        <f t="shared" si="298"/>
        <v>753</v>
      </c>
      <c r="T303" s="50">
        <f t="shared" si="298"/>
        <v>227</v>
      </c>
      <c r="U303" s="50">
        <f t="shared" si="298"/>
        <v>356</v>
      </c>
      <c r="V303" s="50">
        <f t="shared" si="298"/>
        <v>340</v>
      </c>
      <c r="W303" s="50">
        <f t="shared" si="298"/>
        <v>315</v>
      </c>
      <c r="X303" s="50">
        <f t="shared" si="298"/>
        <v>1238</v>
      </c>
      <c r="Y303" s="50">
        <v>1973</v>
      </c>
    </row>
    <row r="304" spans="1:26" x14ac:dyDescent="0.15">
      <c r="N304" s="241" t="s">
        <v>312</v>
      </c>
      <c r="O304" s="149">
        <f>O303/$S$303*100</f>
        <v>22.177954847277555</v>
      </c>
      <c r="P304" s="149">
        <f t="shared" ref="P304:S304" si="299">P303/$S$303*100</f>
        <v>28.286852589641438</v>
      </c>
      <c r="Q304" s="149">
        <f t="shared" si="299"/>
        <v>23.638778220451528</v>
      </c>
      <c r="R304" s="149">
        <f t="shared" si="299"/>
        <v>25.89641434262948</v>
      </c>
      <c r="S304" s="149">
        <f t="shared" si="299"/>
        <v>100</v>
      </c>
      <c r="T304" s="149">
        <f>T303/$X$303*100</f>
        <v>18.336025848142164</v>
      </c>
      <c r="U304" s="149">
        <f t="shared" ref="U304:X304" si="300">U303/$X$303*100</f>
        <v>28.75605815831987</v>
      </c>
      <c r="V304" s="149">
        <f t="shared" si="300"/>
        <v>27.463651050080774</v>
      </c>
      <c r="W304" s="149">
        <f t="shared" si="300"/>
        <v>25.444264943457188</v>
      </c>
      <c r="X304" s="149">
        <f t="shared" si="300"/>
        <v>100</v>
      </c>
      <c r="Y304" s="149"/>
    </row>
    <row r="305" spans="1:26" ht="19.5" thickBot="1" x14ac:dyDescent="0.25">
      <c r="A305" s="2" t="s">
        <v>16</v>
      </c>
      <c r="B305" s="2"/>
      <c r="C305" s="1"/>
      <c r="D305" s="1"/>
      <c r="E305" s="1"/>
      <c r="F305" s="84"/>
      <c r="G305" s="2"/>
      <c r="H305" s="1" t="s">
        <v>156</v>
      </c>
      <c r="I305" s="1"/>
      <c r="J305" s="1"/>
      <c r="K305" s="84" t="s">
        <v>13</v>
      </c>
      <c r="L305" s="84"/>
      <c r="N305" s="2" t="s">
        <v>17</v>
      </c>
      <c r="O305" s="71"/>
      <c r="P305" s="71"/>
      <c r="Q305" s="71"/>
      <c r="R305" s="71"/>
      <c r="S305" s="245">
        <v>0.377</v>
      </c>
      <c r="T305" s="71"/>
      <c r="U305" s="1" t="s">
        <v>156</v>
      </c>
      <c r="V305" s="71"/>
      <c r="W305" s="84" t="s">
        <v>13</v>
      </c>
      <c r="X305" s="246">
        <v>0.623</v>
      </c>
      <c r="Y305" s="84"/>
    </row>
    <row r="306" spans="1:26" ht="14.25" thickBot="1" x14ac:dyDescent="0.2">
      <c r="A306" s="5" t="s">
        <v>0</v>
      </c>
      <c r="B306" s="328" t="s">
        <v>120</v>
      </c>
      <c r="C306" s="329"/>
      <c r="D306" s="329"/>
      <c r="E306" s="329"/>
      <c r="F306" s="330"/>
      <c r="G306" s="331" t="s">
        <v>14</v>
      </c>
      <c r="H306" s="332"/>
      <c r="I306" s="332"/>
      <c r="J306" s="332"/>
      <c r="K306" s="333"/>
      <c r="L306" s="320" t="s">
        <v>30</v>
      </c>
      <c r="N306" s="5" t="s">
        <v>0</v>
      </c>
      <c r="O306" s="328" t="s">
        <v>202</v>
      </c>
      <c r="P306" s="329"/>
      <c r="Q306" s="329"/>
      <c r="R306" s="329"/>
      <c r="S306" s="330"/>
      <c r="T306" s="331" t="s">
        <v>203</v>
      </c>
      <c r="U306" s="332"/>
      <c r="V306" s="332"/>
      <c r="W306" s="332"/>
      <c r="X306" s="333"/>
      <c r="Y306" s="320" t="s">
        <v>30</v>
      </c>
    </row>
    <row r="307" spans="1:26" ht="14.25" thickBot="1" x14ac:dyDescent="0.2">
      <c r="A307" s="5" t="s">
        <v>1</v>
      </c>
      <c r="B307" s="3" t="s">
        <v>22</v>
      </c>
      <c r="C307" s="28" t="s">
        <v>23</v>
      </c>
      <c r="D307" s="4" t="s">
        <v>24</v>
      </c>
      <c r="E307" s="15" t="s">
        <v>25</v>
      </c>
      <c r="F307" s="19" t="s">
        <v>2</v>
      </c>
      <c r="G307" s="3" t="s">
        <v>22</v>
      </c>
      <c r="H307" s="28" t="s">
        <v>23</v>
      </c>
      <c r="I307" s="4" t="s">
        <v>24</v>
      </c>
      <c r="J307" s="15" t="s">
        <v>25</v>
      </c>
      <c r="K307" s="19" t="s">
        <v>2</v>
      </c>
      <c r="L307" s="321"/>
      <c r="N307" s="5" t="s">
        <v>1</v>
      </c>
      <c r="O307" s="3" t="s">
        <v>22</v>
      </c>
      <c r="P307" s="28" t="s">
        <v>23</v>
      </c>
      <c r="Q307" s="4" t="s">
        <v>24</v>
      </c>
      <c r="R307" s="15" t="s">
        <v>25</v>
      </c>
      <c r="S307" s="19" t="s">
        <v>2</v>
      </c>
      <c r="T307" s="3" t="s">
        <v>22</v>
      </c>
      <c r="U307" s="28" t="s">
        <v>23</v>
      </c>
      <c r="V307" s="4" t="s">
        <v>24</v>
      </c>
      <c r="W307" s="15" t="s">
        <v>25</v>
      </c>
      <c r="X307" s="19" t="s">
        <v>2</v>
      </c>
      <c r="Y307" s="321"/>
    </row>
    <row r="308" spans="1:26" x14ac:dyDescent="0.15">
      <c r="A308" s="78" t="s">
        <v>10</v>
      </c>
      <c r="B308" s="79">
        <f>B302</f>
        <v>7</v>
      </c>
      <c r="C308" s="80">
        <f>C302</f>
        <v>5</v>
      </c>
      <c r="D308" s="80">
        <f>D302</f>
        <v>3</v>
      </c>
      <c r="E308" s="81">
        <f>E302</f>
        <v>5</v>
      </c>
      <c r="F308" s="82">
        <f>SUM(B308:E308)</f>
        <v>20</v>
      </c>
      <c r="G308" s="79">
        <f>G302</f>
        <v>5</v>
      </c>
      <c r="H308" s="80">
        <f>H302</f>
        <v>6</v>
      </c>
      <c r="I308" s="80">
        <f>I302</f>
        <v>4</v>
      </c>
      <c r="J308" s="81">
        <f>J302</f>
        <v>4</v>
      </c>
      <c r="K308" s="82">
        <f>SUM(G308:J308)</f>
        <v>19</v>
      </c>
      <c r="L308" s="98">
        <f>F308+K308</f>
        <v>39</v>
      </c>
      <c r="N308" s="78" t="s">
        <v>10</v>
      </c>
      <c r="O308" s="79">
        <f>O302</f>
        <v>91</v>
      </c>
      <c r="P308" s="80">
        <f>P302</f>
        <v>114</v>
      </c>
      <c r="Q308" s="80">
        <f>Q302</f>
        <v>112</v>
      </c>
      <c r="R308" s="81">
        <f>R302</f>
        <v>125</v>
      </c>
      <c r="S308" s="82">
        <f>SUM(O308:R308)</f>
        <v>442</v>
      </c>
      <c r="T308" s="79">
        <f>T302</f>
        <v>57</v>
      </c>
      <c r="U308" s="80">
        <f>U302</f>
        <v>113</v>
      </c>
      <c r="V308" s="80">
        <f>V302</f>
        <v>82</v>
      </c>
      <c r="W308" s="81">
        <f>W302</f>
        <v>82</v>
      </c>
      <c r="X308" s="82">
        <f>SUM(T308:W308)</f>
        <v>334</v>
      </c>
      <c r="Y308" s="98">
        <f>S308+X308</f>
        <v>776</v>
      </c>
    </row>
    <row r="309" spans="1:26" x14ac:dyDescent="0.15">
      <c r="A309" s="47" t="s">
        <v>360</v>
      </c>
      <c r="B309" s="51">
        <v>1</v>
      </c>
      <c r="C309" s="52"/>
      <c r="D309" s="53">
        <v>3</v>
      </c>
      <c r="E309" s="54">
        <v>3</v>
      </c>
      <c r="F309" s="61">
        <f>SUM(B309:E309)</f>
        <v>7</v>
      </c>
      <c r="G309" s="51">
        <v>1</v>
      </c>
      <c r="H309" s="52"/>
      <c r="I309" s="53">
        <v>4</v>
      </c>
      <c r="J309" s="54">
        <v>2</v>
      </c>
      <c r="K309" s="61">
        <f>SUM(G309:J309)</f>
        <v>7</v>
      </c>
      <c r="L309" s="99">
        <f t="shared" ref="L309:L340" si="301">F309+K309</f>
        <v>14</v>
      </c>
      <c r="M309" s="58">
        <v>45887</v>
      </c>
      <c r="N309" s="12" t="s">
        <v>11</v>
      </c>
      <c r="O309" s="16"/>
      <c r="P309" s="29"/>
      <c r="Q309" s="17"/>
      <c r="R309" s="20"/>
      <c r="S309" s="45">
        <f>SUM(O309:R309)</f>
        <v>0</v>
      </c>
      <c r="T309" s="16"/>
      <c r="U309" s="29"/>
      <c r="V309" s="17"/>
      <c r="W309" s="20"/>
      <c r="X309" s="45">
        <f>SUM(T309:W309)</f>
        <v>0</v>
      </c>
      <c r="Y309" s="100">
        <f t="shared" ref="Y309:Y340" si="302">S309+X309</f>
        <v>0</v>
      </c>
    </row>
    <row r="310" spans="1:26" x14ac:dyDescent="0.15">
      <c r="A310" s="12" t="s">
        <v>366</v>
      </c>
      <c r="B310" s="6"/>
      <c r="C310" s="18"/>
      <c r="D310" s="7"/>
      <c r="E310" s="8"/>
      <c r="F310" s="9">
        <f>SUM(B310:E310)</f>
        <v>0</v>
      </c>
      <c r="G310" s="6">
        <v>2</v>
      </c>
      <c r="H310" s="18"/>
      <c r="I310" s="7"/>
      <c r="J310" s="8"/>
      <c r="K310" s="9">
        <f>SUM(G310:J310)</f>
        <v>2</v>
      </c>
      <c r="L310" s="100">
        <f t="shared" si="301"/>
        <v>2</v>
      </c>
      <c r="M310" s="58">
        <v>45903</v>
      </c>
      <c r="N310" s="12" t="s">
        <v>72</v>
      </c>
      <c r="O310" s="16">
        <v>20</v>
      </c>
      <c r="P310" s="29">
        <v>20</v>
      </c>
      <c r="Q310" s="17">
        <v>20</v>
      </c>
      <c r="R310" s="20">
        <v>40</v>
      </c>
      <c r="S310" s="45">
        <f t="shared" ref="S310" si="303">SUM(O310:R310)</f>
        <v>100</v>
      </c>
      <c r="T310" s="16">
        <v>60</v>
      </c>
      <c r="U310" s="29">
        <v>100</v>
      </c>
      <c r="V310" s="17">
        <v>100</v>
      </c>
      <c r="W310" s="20">
        <v>90</v>
      </c>
      <c r="X310" s="45">
        <f t="shared" ref="X310" si="304">SUM(T310:W310)</f>
        <v>350</v>
      </c>
      <c r="Y310" s="100">
        <f t="shared" si="302"/>
        <v>450</v>
      </c>
      <c r="Z310" s="56" t="s">
        <v>609</v>
      </c>
    </row>
    <row r="311" spans="1:26" x14ac:dyDescent="0.15">
      <c r="A311" s="12" t="s">
        <v>5</v>
      </c>
      <c r="B311" s="6"/>
      <c r="C311" s="18"/>
      <c r="D311" s="7">
        <v>5</v>
      </c>
      <c r="E311" s="8"/>
      <c r="F311" s="9">
        <f>SUM(B311:E311)</f>
        <v>5</v>
      </c>
      <c r="G311" s="6"/>
      <c r="H311" s="18"/>
      <c r="I311" s="7"/>
      <c r="J311" s="8"/>
      <c r="K311" s="9">
        <f>SUM(G311:J311)</f>
        <v>0</v>
      </c>
      <c r="L311" s="100">
        <f t="shared" si="301"/>
        <v>5</v>
      </c>
      <c r="M311" s="56">
        <v>45909</v>
      </c>
      <c r="N311" s="12" t="s">
        <v>572</v>
      </c>
      <c r="O311" s="16">
        <v>4</v>
      </c>
      <c r="P311" s="29">
        <v>4</v>
      </c>
      <c r="Q311" s="17">
        <v>6</v>
      </c>
      <c r="R311" s="20">
        <v>-1</v>
      </c>
      <c r="S311" s="45">
        <f t="shared" ref="S311" si="305">SUM(O311:R311)</f>
        <v>13</v>
      </c>
      <c r="T311" s="16">
        <v>1</v>
      </c>
      <c r="U311" s="29">
        <v>10</v>
      </c>
      <c r="V311" s="17">
        <v>10</v>
      </c>
      <c r="W311" s="20">
        <v>9</v>
      </c>
      <c r="X311" s="45">
        <f t="shared" ref="X311" si="306">SUM(T311:W311)</f>
        <v>30</v>
      </c>
      <c r="Y311" s="100">
        <f t="shared" si="302"/>
        <v>43</v>
      </c>
      <c r="Z311" s="157" t="s">
        <v>429</v>
      </c>
    </row>
    <row r="312" spans="1:26" ht="14.25" thickBot="1" x14ac:dyDescent="0.2">
      <c r="A312" s="12" t="s">
        <v>6</v>
      </c>
      <c r="B312" s="6"/>
      <c r="C312" s="18"/>
      <c r="D312" s="7"/>
      <c r="E312" s="8"/>
      <c r="F312" s="10">
        <f>SUM(B312:E312)</f>
        <v>0</v>
      </c>
      <c r="G312" s="6">
        <v>3</v>
      </c>
      <c r="H312" s="18"/>
      <c r="I312" s="7">
        <v>3</v>
      </c>
      <c r="J312" s="8">
        <v>5</v>
      </c>
      <c r="K312" s="10">
        <f>SUM(G312:J312)</f>
        <v>11</v>
      </c>
      <c r="L312" s="101">
        <f t="shared" si="301"/>
        <v>11</v>
      </c>
      <c r="M312" s="56">
        <v>45916</v>
      </c>
      <c r="N312" s="12" t="s">
        <v>268</v>
      </c>
      <c r="O312" s="16">
        <v>1</v>
      </c>
      <c r="P312" s="29">
        <v>1</v>
      </c>
      <c r="Q312" s="17">
        <v>2</v>
      </c>
      <c r="R312" s="20">
        <v>1</v>
      </c>
      <c r="S312" s="45">
        <f>SUM(O312:R312)</f>
        <v>5</v>
      </c>
      <c r="T312" s="16"/>
      <c r="U312" s="29"/>
      <c r="V312" s="17"/>
      <c r="W312" s="20"/>
      <c r="X312" s="45">
        <f>SUM(T312:W312)</f>
        <v>0</v>
      </c>
      <c r="Y312" s="100">
        <f t="shared" si="302"/>
        <v>5</v>
      </c>
      <c r="Z312" s="56">
        <v>45906</v>
      </c>
    </row>
    <row r="313" spans="1:26" ht="14.25" thickBot="1" x14ac:dyDescent="0.2">
      <c r="A313" s="14" t="s">
        <v>7</v>
      </c>
      <c r="B313" s="62">
        <f t="shared" ref="B313:K313" si="307">SUM(B308:B312)</f>
        <v>8</v>
      </c>
      <c r="C313" s="63">
        <f t="shared" si="307"/>
        <v>5</v>
      </c>
      <c r="D313" s="64">
        <f t="shared" si="307"/>
        <v>11</v>
      </c>
      <c r="E313" s="65">
        <f t="shared" si="307"/>
        <v>8</v>
      </c>
      <c r="F313" s="66">
        <f t="shared" si="307"/>
        <v>32</v>
      </c>
      <c r="G313" s="62">
        <f t="shared" si="307"/>
        <v>11</v>
      </c>
      <c r="H313" s="63">
        <f t="shared" si="307"/>
        <v>6</v>
      </c>
      <c r="I313" s="64">
        <f t="shared" si="307"/>
        <v>11</v>
      </c>
      <c r="J313" s="65">
        <f t="shared" si="307"/>
        <v>11</v>
      </c>
      <c r="K313" s="66">
        <f t="shared" si="307"/>
        <v>39</v>
      </c>
      <c r="L313" s="102">
        <f t="shared" si="301"/>
        <v>71</v>
      </c>
      <c r="N313" s="13" t="s">
        <v>7</v>
      </c>
      <c r="O313" s="25">
        <f t="shared" ref="O313:X313" si="308">SUM(O308:O312)</f>
        <v>116</v>
      </c>
      <c r="P313" s="31">
        <f t="shared" si="308"/>
        <v>139</v>
      </c>
      <c r="Q313" s="26">
        <f t="shared" si="308"/>
        <v>140</v>
      </c>
      <c r="R313" s="67">
        <f t="shared" si="308"/>
        <v>165</v>
      </c>
      <c r="S313" s="68">
        <f t="shared" si="308"/>
        <v>560</v>
      </c>
      <c r="T313" s="25">
        <f t="shared" si="308"/>
        <v>118</v>
      </c>
      <c r="U313" s="31">
        <f t="shared" si="308"/>
        <v>223</v>
      </c>
      <c r="V313" s="26">
        <f t="shared" si="308"/>
        <v>192</v>
      </c>
      <c r="W313" s="67">
        <f t="shared" si="308"/>
        <v>181</v>
      </c>
      <c r="X313" s="68">
        <f t="shared" si="308"/>
        <v>714</v>
      </c>
      <c r="Y313" s="102">
        <f t="shared" si="302"/>
        <v>1274</v>
      </c>
    </row>
    <row r="314" spans="1:26" x14ac:dyDescent="0.15">
      <c r="A314" s="47" t="s">
        <v>588</v>
      </c>
      <c r="B314" s="41"/>
      <c r="C314" s="42"/>
      <c r="D314" s="43">
        <v>1</v>
      </c>
      <c r="E314" s="44"/>
      <c r="F314" s="70">
        <f t="shared" ref="F314:F339" si="309">SUM(B314:E314)</f>
        <v>1</v>
      </c>
      <c r="G314" s="41"/>
      <c r="H314" s="42"/>
      <c r="I314" s="43">
        <v>1</v>
      </c>
      <c r="J314" s="44"/>
      <c r="K314" s="70">
        <f t="shared" ref="K314:K338" si="310">SUM(G314:J314)</f>
        <v>1</v>
      </c>
      <c r="L314" s="103">
        <f t="shared" si="301"/>
        <v>2</v>
      </c>
      <c r="M314" s="56">
        <v>45891</v>
      </c>
      <c r="N314" s="33" t="s">
        <v>594</v>
      </c>
      <c r="O314" s="16"/>
      <c r="P314" s="29"/>
      <c r="Q314" s="17"/>
      <c r="R314" s="32"/>
      <c r="S314" s="9">
        <f t="shared" ref="S314" si="311">SUM(O314:R314)</f>
        <v>0</v>
      </c>
      <c r="T314" s="16"/>
      <c r="U314" s="29">
        <v>10</v>
      </c>
      <c r="V314" s="17">
        <v>5</v>
      </c>
      <c r="W314" s="32"/>
      <c r="X314" s="9">
        <f t="shared" ref="X314" si="312">SUM(T314:W314)</f>
        <v>15</v>
      </c>
      <c r="Y314" s="104">
        <f t="shared" si="302"/>
        <v>15</v>
      </c>
      <c r="Z314" s="56">
        <v>45912</v>
      </c>
    </row>
    <row r="315" spans="1:26" x14ac:dyDescent="0.15">
      <c r="A315" s="47" t="s">
        <v>589</v>
      </c>
      <c r="B315" s="16"/>
      <c r="C315" s="29"/>
      <c r="D315" s="17">
        <v>1</v>
      </c>
      <c r="E315" s="20"/>
      <c r="F315" s="45">
        <f t="shared" si="309"/>
        <v>1</v>
      </c>
      <c r="G315" s="16"/>
      <c r="H315" s="29"/>
      <c r="I315" s="17"/>
      <c r="J315" s="20"/>
      <c r="K315" s="45">
        <f t="shared" si="310"/>
        <v>0</v>
      </c>
      <c r="L315" s="104">
        <f t="shared" si="301"/>
        <v>1</v>
      </c>
      <c r="M315" s="56">
        <v>45894</v>
      </c>
      <c r="N315" s="11" t="s">
        <v>611</v>
      </c>
      <c r="O315" s="16"/>
      <c r="P315" s="29"/>
      <c r="Q315" s="17">
        <v>2</v>
      </c>
      <c r="R315" s="32"/>
      <c r="S315" s="9">
        <f t="shared" ref="S315:S318" si="313">SUM(O315:R315)</f>
        <v>2</v>
      </c>
      <c r="T315" s="16"/>
      <c r="U315" s="29"/>
      <c r="V315" s="17"/>
      <c r="W315" s="32"/>
      <c r="X315" s="9">
        <f t="shared" ref="X315:X318" si="314">SUM(T315:W315)</f>
        <v>0</v>
      </c>
      <c r="Y315" s="104">
        <f t="shared" si="302"/>
        <v>2</v>
      </c>
      <c r="Z315" s="56">
        <v>45912</v>
      </c>
    </row>
    <row r="316" spans="1:26" x14ac:dyDescent="0.15">
      <c r="A316" s="47" t="s">
        <v>593</v>
      </c>
      <c r="B316" s="16"/>
      <c r="C316" s="29"/>
      <c r="D316" s="17"/>
      <c r="E316" s="20"/>
      <c r="F316" s="45">
        <f t="shared" si="309"/>
        <v>0</v>
      </c>
      <c r="G316" s="16"/>
      <c r="H316" s="29"/>
      <c r="I316" s="17">
        <v>2</v>
      </c>
      <c r="J316" s="20"/>
      <c r="K316" s="45">
        <f t="shared" si="310"/>
        <v>2</v>
      </c>
      <c r="L316" s="104">
        <f t="shared" si="301"/>
        <v>2</v>
      </c>
      <c r="M316" s="56">
        <v>45896</v>
      </c>
      <c r="N316" s="33" t="s">
        <v>619</v>
      </c>
      <c r="O316" s="16"/>
      <c r="P316" s="29"/>
      <c r="Q316" s="17"/>
      <c r="R316" s="32">
        <v>-2</v>
      </c>
      <c r="S316" s="9">
        <f t="shared" si="313"/>
        <v>-2</v>
      </c>
      <c r="T316" s="16">
        <v>-4</v>
      </c>
      <c r="U316" s="29"/>
      <c r="V316" s="17"/>
      <c r="W316" s="32">
        <v>-2</v>
      </c>
      <c r="X316" s="9">
        <f t="shared" si="314"/>
        <v>-6</v>
      </c>
      <c r="Y316" s="104">
        <f t="shared" si="302"/>
        <v>-8</v>
      </c>
      <c r="Z316" s="56">
        <v>45906</v>
      </c>
    </row>
    <row r="317" spans="1:26" x14ac:dyDescent="0.15">
      <c r="A317" s="47" t="s">
        <v>45</v>
      </c>
      <c r="B317" s="16"/>
      <c r="C317" s="29"/>
      <c r="D317" s="17"/>
      <c r="E317" s="20"/>
      <c r="F317" s="45">
        <f t="shared" si="309"/>
        <v>0</v>
      </c>
      <c r="G317" s="16"/>
      <c r="H317" s="29">
        <v>1</v>
      </c>
      <c r="I317" s="17"/>
      <c r="J317" s="20"/>
      <c r="K317" s="45">
        <f t="shared" si="310"/>
        <v>1</v>
      </c>
      <c r="L317" s="104">
        <f t="shared" si="301"/>
        <v>1</v>
      </c>
      <c r="M317" s="56">
        <v>45894</v>
      </c>
      <c r="N317" s="11" t="s">
        <v>621</v>
      </c>
      <c r="O317" s="16"/>
      <c r="P317" s="29"/>
      <c r="Q317" s="17"/>
      <c r="R317" s="32"/>
      <c r="S317" s="9">
        <f t="shared" si="313"/>
        <v>0</v>
      </c>
      <c r="T317" s="16">
        <v>10</v>
      </c>
      <c r="U317" s="29">
        <v>10</v>
      </c>
      <c r="V317" s="17">
        <v>25</v>
      </c>
      <c r="W317" s="32">
        <v>20</v>
      </c>
      <c r="X317" s="9">
        <f t="shared" si="314"/>
        <v>65</v>
      </c>
      <c r="Y317" s="104">
        <f t="shared" si="302"/>
        <v>65</v>
      </c>
      <c r="Z317" s="56">
        <v>45918</v>
      </c>
    </row>
    <row r="318" spans="1:26" x14ac:dyDescent="0.15">
      <c r="A318" s="47" t="s">
        <v>595</v>
      </c>
      <c r="B318" s="16">
        <v>1</v>
      </c>
      <c r="C318" s="29"/>
      <c r="D318" s="17"/>
      <c r="E318" s="20"/>
      <c r="F318" s="45">
        <f t="shared" si="309"/>
        <v>1</v>
      </c>
      <c r="G318" s="16"/>
      <c r="H318" s="29"/>
      <c r="I318" s="17"/>
      <c r="J318" s="20"/>
      <c r="K318" s="45">
        <f t="shared" si="310"/>
        <v>0</v>
      </c>
      <c r="L318" s="104">
        <f t="shared" si="301"/>
        <v>1</v>
      </c>
      <c r="M318" s="56">
        <v>45897</v>
      </c>
      <c r="N318" s="11" t="s">
        <v>623</v>
      </c>
      <c r="O318" s="16"/>
      <c r="P318" s="29"/>
      <c r="Q318" s="17"/>
      <c r="R318" s="32"/>
      <c r="S318" s="9">
        <f t="shared" si="313"/>
        <v>0</v>
      </c>
      <c r="T318" s="16"/>
      <c r="U318" s="29">
        <v>1</v>
      </c>
      <c r="V318" s="17"/>
      <c r="W318" s="32"/>
      <c r="X318" s="9">
        <f t="shared" si="314"/>
        <v>1</v>
      </c>
      <c r="Y318" s="104">
        <f t="shared" si="302"/>
        <v>1</v>
      </c>
      <c r="Z318" s="56">
        <v>45912</v>
      </c>
    </row>
    <row r="319" spans="1:26" x14ac:dyDescent="0.15">
      <c r="A319" s="47" t="s">
        <v>603</v>
      </c>
      <c r="B319" s="16"/>
      <c r="C319" s="29"/>
      <c r="D319" s="17"/>
      <c r="E319" s="20"/>
      <c r="F319" s="45">
        <f t="shared" si="309"/>
        <v>0</v>
      </c>
      <c r="G319" s="16"/>
      <c r="H319" s="29"/>
      <c r="I319" s="17"/>
      <c r="J319" s="20">
        <v>1</v>
      </c>
      <c r="K319" s="45">
        <f t="shared" si="310"/>
        <v>1</v>
      </c>
      <c r="L319" s="104">
        <f t="shared" si="301"/>
        <v>1</v>
      </c>
      <c r="M319" s="56">
        <v>45903</v>
      </c>
      <c r="N319" s="33" t="s">
        <v>39</v>
      </c>
      <c r="O319" s="16"/>
      <c r="P319" s="29"/>
      <c r="Q319" s="17">
        <v>5</v>
      </c>
      <c r="R319" s="32"/>
      <c r="S319" s="9">
        <f>SUM(O319:R319)</f>
        <v>5</v>
      </c>
      <c r="T319" s="16"/>
      <c r="U319" s="29"/>
      <c r="V319" s="17"/>
      <c r="W319" s="32"/>
      <c r="X319" s="9">
        <f>SUM(T319:W319)</f>
        <v>0</v>
      </c>
      <c r="Y319" s="104">
        <f t="shared" si="302"/>
        <v>5</v>
      </c>
      <c r="Z319" s="56">
        <v>45909</v>
      </c>
    </row>
    <row r="320" spans="1:26" x14ac:dyDescent="0.15">
      <c r="A320" s="47" t="s">
        <v>605</v>
      </c>
      <c r="B320" s="16">
        <v>-3</v>
      </c>
      <c r="C320" s="29">
        <v>-3</v>
      </c>
      <c r="D320" s="17"/>
      <c r="E320" s="20">
        <v>-3</v>
      </c>
      <c r="F320" s="45">
        <f t="shared" si="309"/>
        <v>-9</v>
      </c>
      <c r="G320" s="16"/>
      <c r="H320" s="29">
        <v>-3</v>
      </c>
      <c r="I320" s="17">
        <v>-3</v>
      </c>
      <c r="J320" s="20">
        <v>-3</v>
      </c>
      <c r="K320" s="45">
        <f t="shared" si="310"/>
        <v>-9</v>
      </c>
      <c r="L320" s="104">
        <f t="shared" si="301"/>
        <v>-18</v>
      </c>
      <c r="M320" s="56">
        <v>45899</v>
      </c>
      <c r="N320" s="11" t="s">
        <v>627</v>
      </c>
      <c r="O320" s="16">
        <v>5</v>
      </c>
      <c r="P320" s="29">
        <v>5</v>
      </c>
      <c r="Q320" s="17">
        <v>5</v>
      </c>
      <c r="R320" s="32">
        <v>10</v>
      </c>
      <c r="S320" s="9">
        <f>SUM(O320:R320)</f>
        <v>25</v>
      </c>
      <c r="T320" s="16">
        <v>5</v>
      </c>
      <c r="U320" s="29">
        <v>5</v>
      </c>
      <c r="V320" s="17">
        <v>5</v>
      </c>
      <c r="W320" s="32">
        <v>10</v>
      </c>
      <c r="X320" s="9">
        <f>SUM(T320:W320)</f>
        <v>25</v>
      </c>
      <c r="Y320" s="104">
        <f t="shared" si="302"/>
        <v>50</v>
      </c>
      <c r="Z320" s="56">
        <v>45911</v>
      </c>
    </row>
    <row r="321" spans="1:27" x14ac:dyDescent="0.15">
      <c r="A321" s="47" t="s">
        <v>610</v>
      </c>
      <c r="B321" s="16"/>
      <c r="C321" s="29"/>
      <c r="D321" s="17"/>
      <c r="E321" s="20"/>
      <c r="F321" s="45">
        <f t="shared" si="309"/>
        <v>0</v>
      </c>
      <c r="G321" s="16"/>
      <c r="H321" s="29"/>
      <c r="I321" s="17"/>
      <c r="J321" s="20">
        <v>1</v>
      </c>
      <c r="K321" s="45">
        <f t="shared" si="310"/>
        <v>1</v>
      </c>
      <c r="L321" s="104">
        <f t="shared" si="301"/>
        <v>1</v>
      </c>
      <c r="M321" s="56">
        <v>45904</v>
      </c>
      <c r="N321" s="11" t="s">
        <v>635</v>
      </c>
      <c r="O321" s="16"/>
      <c r="P321" s="29">
        <v>5</v>
      </c>
      <c r="Q321" s="17"/>
      <c r="R321" s="32">
        <v>5</v>
      </c>
      <c r="S321" s="9">
        <f t="shared" ref="S321:S325" si="315">SUM(O321:R321)</f>
        <v>10</v>
      </c>
      <c r="T321" s="16"/>
      <c r="U321" s="29">
        <v>3</v>
      </c>
      <c r="V321" s="17"/>
      <c r="W321" s="32"/>
      <c r="X321" s="9">
        <f t="shared" ref="X321:X325" si="316">SUM(T321:W321)</f>
        <v>3</v>
      </c>
      <c r="Y321" s="104">
        <f t="shared" si="302"/>
        <v>13</v>
      </c>
      <c r="Z321" s="56">
        <v>45913</v>
      </c>
    </row>
    <row r="322" spans="1:27" x14ac:dyDescent="0.15">
      <c r="A322" s="47" t="s">
        <v>45</v>
      </c>
      <c r="B322" s="16"/>
      <c r="C322" s="29"/>
      <c r="D322" s="17"/>
      <c r="E322" s="20"/>
      <c r="F322" s="45">
        <f t="shared" si="309"/>
        <v>0</v>
      </c>
      <c r="G322" s="16">
        <v>1</v>
      </c>
      <c r="H322" s="29"/>
      <c r="I322" s="17"/>
      <c r="J322" s="20"/>
      <c r="K322" s="45">
        <f t="shared" si="310"/>
        <v>1</v>
      </c>
      <c r="L322" s="104">
        <f t="shared" si="301"/>
        <v>1</v>
      </c>
      <c r="M322" s="56">
        <v>45902</v>
      </c>
      <c r="N322" s="11" t="s">
        <v>557</v>
      </c>
      <c r="O322" s="16">
        <v>10</v>
      </c>
      <c r="P322" s="29">
        <v>10</v>
      </c>
      <c r="Q322" s="17">
        <v>10</v>
      </c>
      <c r="R322" s="32"/>
      <c r="S322" s="9">
        <f t="shared" si="315"/>
        <v>30</v>
      </c>
      <c r="T322" s="16"/>
      <c r="U322" s="29"/>
      <c r="V322" s="17"/>
      <c r="W322" s="32"/>
      <c r="X322" s="9">
        <f t="shared" si="316"/>
        <v>0</v>
      </c>
      <c r="Y322" s="103">
        <f t="shared" si="302"/>
        <v>30</v>
      </c>
      <c r="Z322" s="56">
        <v>45924</v>
      </c>
    </row>
    <row r="323" spans="1:27" x14ac:dyDescent="0.15">
      <c r="A323" s="47" t="s">
        <v>45</v>
      </c>
      <c r="B323" s="16"/>
      <c r="C323" s="29"/>
      <c r="D323" s="17"/>
      <c r="E323" s="20"/>
      <c r="F323" s="45">
        <f t="shared" si="309"/>
        <v>0</v>
      </c>
      <c r="G323" s="16"/>
      <c r="H323" s="29"/>
      <c r="I323" s="17">
        <f>1+1</f>
        <v>2</v>
      </c>
      <c r="J323" s="20"/>
      <c r="K323" s="45">
        <f t="shared" si="310"/>
        <v>2</v>
      </c>
      <c r="L323" s="104">
        <f t="shared" si="301"/>
        <v>2</v>
      </c>
      <c r="M323" s="56">
        <v>45903</v>
      </c>
      <c r="N323" s="33" t="s">
        <v>39</v>
      </c>
      <c r="O323" s="16"/>
      <c r="P323" s="29"/>
      <c r="Q323" s="17"/>
      <c r="R323" s="32"/>
      <c r="S323" s="9">
        <f>SUM(O323:R323)</f>
        <v>0</v>
      </c>
      <c r="T323" s="16">
        <v>3</v>
      </c>
      <c r="U323" s="29"/>
      <c r="V323" s="17">
        <v>3</v>
      </c>
      <c r="W323" s="32">
        <v>5</v>
      </c>
      <c r="X323" s="9">
        <f>SUM(T323:W323)</f>
        <v>11</v>
      </c>
      <c r="Y323" s="104">
        <f t="shared" ref="Y323:Y324" si="317">S323+X323</f>
        <v>11</v>
      </c>
      <c r="Z323" s="56">
        <v>45916</v>
      </c>
    </row>
    <row r="324" spans="1:27" x14ac:dyDescent="0.15">
      <c r="A324" s="47" t="s">
        <v>612</v>
      </c>
      <c r="B324" s="16"/>
      <c r="C324" s="29"/>
      <c r="D324" s="17">
        <v>1</v>
      </c>
      <c r="E324" s="20"/>
      <c r="F324" s="45">
        <f t="shared" si="309"/>
        <v>1</v>
      </c>
      <c r="G324" s="16"/>
      <c r="H324" s="29"/>
      <c r="I324" s="17"/>
      <c r="J324" s="20">
        <v>1</v>
      </c>
      <c r="K324" s="45">
        <f t="shared" si="310"/>
        <v>1</v>
      </c>
      <c r="L324" s="104">
        <f t="shared" si="301"/>
        <v>2</v>
      </c>
      <c r="M324" s="56">
        <v>45905</v>
      </c>
      <c r="N324" s="11" t="s">
        <v>636</v>
      </c>
      <c r="O324" s="16"/>
      <c r="P324" s="29"/>
      <c r="Q324" s="17"/>
      <c r="R324" s="32"/>
      <c r="S324" s="9">
        <f t="shared" ref="S324" si="318">SUM(O324:R324)</f>
        <v>0</v>
      </c>
      <c r="T324" s="16"/>
      <c r="U324" s="29"/>
      <c r="V324" s="17">
        <v>1</v>
      </c>
      <c r="W324" s="32"/>
      <c r="X324" s="9">
        <f t="shared" ref="X324" si="319">SUM(T324:W324)</f>
        <v>1</v>
      </c>
      <c r="Y324" s="104">
        <f t="shared" si="317"/>
        <v>1</v>
      </c>
      <c r="Z324" s="56">
        <v>45918</v>
      </c>
    </row>
    <row r="325" spans="1:27" x14ac:dyDescent="0.15">
      <c r="A325" s="47" t="s">
        <v>45</v>
      </c>
      <c r="B325" s="16"/>
      <c r="C325" s="29"/>
      <c r="D325" s="17"/>
      <c r="E325" s="20"/>
      <c r="F325" s="45">
        <f t="shared" si="309"/>
        <v>0</v>
      </c>
      <c r="G325" s="16"/>
      <c r="H325" s="29"/>
      <c r="I325" s="17">
        <v>1</v>
      </c>
      <c r="J325" s="20"/>
      <c r="K325" s="45">
        <f t="shared" si="310"/>
        <v>1</v>
      </c>
      <c r="L325" s="104">
        <f t="shared" si="301"/>
        <v>1</v>
      </c>
      <c r="M325" s="56">
        <v>45904</v>
      </c>
      <c r="N325" s="11" t="s">
        <v>640</v>
      </c>
      <c r="O325" s="16"/>
      <c r="P325" s="29"/>
      <c r="Q325" s="17"/>
      <c r="R325" s="32"/>
      <c r="S325" s="9">
        <f t="shared" si="315"/>
        <v>0</v>
      </c>
      <c r="T325" s="16">
        <v>3</v>
      </c>
      <c r="U325" s="29">
        <v>6</v>
      </c>
      <c r="V325" s="17"/>
      <c r="W325" s="32">
        <v>6</v>
      </c>
      <c r="X325" s="9">
        <f t="shared" si="316"/>
        <v>15</v>
      </c>
      <c r="Y325" s="104">
        <f t="shared" si="302"/>
        <v>15</v>
      </c>
      <c r="Z325" s="56">
        <v>45927</v>
      </c>
    </row>
    <row r="326" spans="1:27" x14ac:dyDescent="0.15">
      <c r="A326" s="47" t="s">
        <v>613</v>
      </c>
      <c r="B326" s="16"/>
      <c r="C326" s="29"/>
      <c r="D326" s="17"/>
      <c r="E326" s="20">
        <v>1</v>
      </c>
      <c r="F326" s="45">
        <f t="shared" si="309"/>
        <v>1</v>
      </c>
      <c r="G326" s="16"/>
      <c r="H326" s="29"/>
      <c r="I326" s="17"/>
      <c r="J326" s="20"/>
      <c r="K326" s="45">
        <f t="shared" si="310"/>
        <v>0</v>
      </c>
      <c r="L326" s="104">
        <f t="shared" si="301"/>
        <v>1</v>
      </c>
      <c r="M326" s="56">
        <v>45905</v>
      </c>
      <c r="N326" s="11" t="s">
        <v>654</v>
      </c>
      <c r="O326" s="16"/>
      <c r="P326" s="29">
        <v>5</v>
      </c>
      <c r="Q326" s="17">
        <v>5</v>
      </c>
      <c r="R326" s="32">
        <v>5</v>
      </c>
      <c r="S326" s="9">
        <f>SUM(O326:R326)</f>
        <v>15</v>
      </c>
      <c r="T326" s="16"/>
      <c r="U326" s="29"/>
      <c r="V326" s="17"/>
      <c r="W326" s="32"/>
      <c r="X326" s="9">
        <f>SUM(T326:W326)</f>
        <v>0</v>
      </c>
      <c r="Y326" s="104">
        <f t="shared" si="302"/>
        <v>15</v>
      </c>
      <c r="Z326" s="56">
        <v>45919</v>
      </c>
    </row>
    <row r="327" spans="1:27" x14ac:dyDescent="0.15">
      <c r="A327" s="47" t="s">
        <v>618</v>
      </c>
      <c r="B327" s="16"/>
      <c r="C327" s="29"/>
      <c r="D327" s="17"/>
      <c r="E327" s="20">
        <v>2</v>
      </c>
      <c r="F327" s="45">
        <f t="shared" si="309"/>
        <v>2</v>
      </c>
      <c r="G327" s="16">
        <v>4</v>
      </c>
      <c r="H327" s="29"/>
      <c r="I327" s="17"/>
      <c r="J327" s="20">
        <v>2</v>
      </c>
      <c r="K327" s="45">
        <f t="shared" si="310"/>
        <v>6</v>
      </c>
      <c r="L327" s="104">
        <f t="shared" si="301"/>
        <v>8</v>
      </c>
      <c r="M327" s="56">
        <v>45906</v>
      </c>
      <c r="N327" s="11" t="s">
        <v>657</v>
      </c>
      <c r="O327" s="16"/>
      <c r="P327" s="29"/>
      <c r="Q327" s="17"/>
      <c r="R327" s="32"/>
      <c r="S327" s="9">
        <f>SUM(O327:R327)</f>
        <v>0</v>
      </c>
      <c r="T327" s="16"/>
      <c r="U327" s="29"/>
      <c r="V327" s="17">
        <v>1</v>
      </c>
      <c r="W327" s="32"/>
      <c r="X327" s="9">
        <f>SUM(T327:W327)</f>
        <v>1</v>
      </c>
      <c r="Y327" s="104">
        <f t="shared" si="302"/>
        <v>1</v>
      </c>
      <c r="Z327" s="56">
        <v>45925</v>
      </c>
    </row>
    <row r="328" spans="1:27" x14ac:dyDescent="0.15">
      <c r="A328" s="47" t="s">
        <v>620</v>
      </c>
      <c r="B328" s="16"/>
      <c r="C328" s="29"/>
      <c r="D328" s="17">
        <v>2</v>
      </c>
      <c r="E328" s="20"/>
      <c r="F328" s="45">
        <f t="shared" si="309"/>
        <v>2</v>
      </c>
      <c r="G328" s="16"/>
      <c r="H328" s="29"/>
      <c r="I328" s="17"/>
      <c r="J328" s="20"/>
      <c r="K328" s="45">
        <f t="shared" si="310"/>
        <v>0</v>
      </c>
      <c r="L328" s="104">
        <f t="shared" si="301"/>
        <v>2</v>
      </c>
      <c r="M328" s="56">
        <v>45910</v>
      </c>
      <c r="N328" s="72"/>
      <c r="O328" s="16"/>
      <c r="P328" s="29"/>
      <c r="Q328" s="17"/>
      <c r="R328" s="32"/>
      <c r="S328" s="9">
        <f t="shared" ref="S328" si="320">SUM(O328:R328)</f>
        <v>0</v>
      </c>
      <c r="T328" s="16"/>
      <c r="U328" s="29"/>
      <c r="V328" s="17"/>
      <c r="W328" s="32"/>
      <c r="X328" s="9">
        <f t="shared" ref="X328" si="321">SUM(T328:W328)</f>
        <v>0</v>
      </c>
      <c r="Y328" s="104">
        <f t="shared" si="302"/>
        <v>0</v>
      </c>
      <c r="Z328" s="56"/>
    </row>
    <row r="329" spans="1:27" x14ac:dyDescent="0.15">
      <c r="A329" s="47" t="s">
        <v>45</v>
      </c>
      <c r="B329" s="16"/>
      <c r="C329" s="29"/>
      <c r="D329" s="17"/>
      <c r="E329" s="20">
        <v>1</v>
      </c>
      <c r="F329" s="45">
        <f t="shared" si="309"/>
        <v>1</v>
      </c>
      <c r="G329" s="16"/>
      <c r="H329" s="29"/>
      <c r="I329" s="17"/>
      <c r="J329" s="20"/>
      <c r="K329" s="45">
        <f t="shared" si="310"/>
        <v>0</v>
      </c>
      <c r="L329" s="104">
        <f t="shared" si="301"/>
        <v>1</v>
      </c>
      <c r="M329" s="56">
        <v>45908</v>
      </c>
      <c r="N329" s="72"/>
      <c r="O329" s="16"/>
      <c r="P329" s="29"/>
      <c r="Q329" s="17"/>
      <c r="R329" s="32"/>
      <c r="S329" s="9">
        <f t="shared" ref="S329:S330" si="322">SUM(O329:R329)</f>
        <v>0</v>
      </c>
      <c r="T329" s="16"/>
      <c r="U329" s="29"/>
      <c r="V329" s="17"/>
      <c r="W329" s="32"/>
      <c r="X329" s="9">
        <f t="shared" ref="X329:X330" si="323">SUM(T329:W329)</f>
        <v>0</v>
      </c>
      <c r="Y329" s="104">
        <f t="shared" ref="Y329:Y330" si="324">S329+X329</f>
        <v>0</v>
      </c>
      <c r="Z329" s="56"/>
    </row>
    <row r="330" spans="1:27" x14ac:dyDescent="0.15">
      <c r="A330" s="47" t="s">
        <v>625</v>
      </c>
      <c r="B330" s="16"/>
      <c r="C330" s="29"/>
      <c r="D330" s="17"/>
      <c r="E330" s="20">
        <v>1</v>
      </c>
      <c r="F330" s="45">
        <f t="shared" si="309"/>
        <v>1</v>
      </c>
      <c r="G330" s="16"/>
      <c r="H330" s="29"/>
      <c r="I330" s="17"/>
      <c r="J330" s="20"/>
      <c r="K330" s="45">
        <f t="shared" si="310"/>
        <v>0</v>
      </c>
      <c r="L330" s="104">
        <f t="shared" si="301"/>
        <v>1</v>
      </c>
      <c r="M330" s="56">
        <v>45911</v>
      </c>
      <c r="N330" s="72"/>
      <c r="O330" s="16"/>
      <c r="P330" s="29"/>
      <c r="Q330" s="17"/>
      <c r="R330" s="32"/>
      <c r="S330" s="9">
        <f t="shared" si="322"/>
        <v>0</v>
      </c>
      <c r="T330" s="16"/>
      <c r="U330" s="29"/>
      <c r="V330" s="17"/>
      <c r="W330" s="32"/>
      <c r="X330" s="9">
        <f t="shared" si="323"/>
        <v>0</v>
      </c>
      <c r="Y330" s="104">
        <f t="shared" si="324"/>
        <v>0</v>
      </c>
      <c r="Z330" s="56"/>
    </row>
    <row r="331" spans="1:27" x14ac:dyDescent="0.15">
      <c r="A331" s="47" t="s">
        <v>45</v>
      </c>
      <c r="B331" s="16"/>
      <c r="C331" s="29">
        <v>1</v>
      </c>
      <c r="D331" s="17"/>
      <c r="E331" s="20"/>
      <c r="F331" s="45">
        <f t="shared" si="309"/>
        <v>1</v>
      </c>
      <c r="G331" s="16"/>
      <c r="H331" s="29"/>
      <c r="I331" s="17"/>
      <c r="J331" s="20">
        <v>1</v>
      </c>
      <c r="K331" s="45">
        <f t="shared" si="310"/>
        <v>1</v>
      </c>
      <c r="L331" s="104">
        <f t="shared" si="301"/>
        <v>2</v>
      </c>
      <c r="M331" s="56">
        <v>45909</v>
      </c>
      <c r="N331" s="11" t="s">
        <v>559</v>
      </c>
      <c r="O331" s="41"/>
      <c r="P331" s="42"/>
      <c r="Q331" s="43"/>
      <c r="R331" s="59"/>
      <c r="S331" s="61">
        <f t="shared" ref="S331:S332" si="325">SUM(O331:R331)</f>
        <v>0</v>
      </c>
      <c r="T331" s="41"/>
      <c r="U331" s="42"/>
      <c r="V331" s="43"/>
      <c r="W331" s="59"/>
      <c r="X331" s="61">
        <f t="shared" ref="X331:X332" si="326">SUM(T331:W331)</f>
        <v>0</v>
      </c>
      <c r="Y331" s="104">
        <f t="shared" ref="Y331:Y337" si="327">S331+X331</f>
        <v>0</v>
      </c>
      <c r="Z331" s="56" t="s">
        <v>560</v>
      </c>
    </row>
    <row r="332" spans="1:27" x14ac:dyDescent="0.15">
      <c r="A332" s="47" t="s">
        <v>45</v>
      </c>
      <c r="B332" s="16"/>
      <c r="C332" s="29">
        <v>1</v>
      </c>
      <c r="D332" s="17"/>
      <c r="E332" s="20"/>
      <c r="F332" s="45">
        <f t="shared" si="309"/>
        <v>1</v>
      </c>
      <c r="G332" s="16"/>
      <c r="H332" s="29"/>
      <c r="I332" s="17"/>
      <c r="J332" s="20"/>
      <c r="K332" s="45">
        <f t="shared" si="310"/>
        <v>0</v>
      </c>
      <c r="L332" s="104">
        <f t="shared" si="301"/>
        <v>1</v>
      </c>
      <c r="M332" s="58">
        <v>45911</v>
      </c>
      <c r="N332" s="11" t="s">
        <v>575</v>
      </c>
      <c r="O332" s="41"/>
      <c r="P332" s="42"/>
      <c r="Q332" s="43"/>
      <c r="R332" s="59"/>
      <c r="S332" s="61">
        <f t="shared" si="325"/>
        <v>0</v>
      </c>
      <c r="T332" s="41"/>
      <c r="U332" s="42"/>
      <c r="V332" s="43"/>
      <c r="W332" s="59"/>
      <c r="X332" s="61">
        <f t="shared" si="326"/>
        <v>0</v>
      </c>
      <c r="Y332" s="104">
        <f t="shared" si="327"/>
        <v>0</v>
      </c>
      <c r="Z332" s="56" t="s">
        <v>576</v>
      </c>
      <c r="AA332" s="35"/>
    </row>
    <row r="333" spans="1:27" x14ac:dyDescent="0.15">
      <c r="A333" s="47" t="s">
        <v>634</v>
      </c>
      <c r="B333" s="16"/>
      <c r="C333" s="29">
        <v>2</v>
      </c>
      <c r="D333" s="17">
        <v>1</v>
      </c>
      <c r="E333" s="20">
        <v>2</v>
      </c>
      <c r="F333" s="45">
        <f t="shared" si="309"/>
        <v>5</v>
      </c>
      <c r="G333" s="16">
        <v>1</v>
      </c>
      <c r="H333" s="29">
        <v>1</v>
      </c>
      <c r="I333" s="17">
        <v>2</v>
      </c>
      <c r="J333" s="20">
        <v>3</v>
      </c>
      <c r="K333" s="45">
        <f t="shared" si="310"/>
        <v>7</v>
      </c>
      <c r="L333" s="104">
        <f t="shared" si="301"/>
        <v>12</v>
      </c>
      <c r="M333" s="56">
        <v>45916</v>
      </c>
      <c r="N333" s="72" t="s">
        <v>516</v>
      </c>
      <c r="O333" s="166"/>
      <c r="P333" s="167"/>
      <c r="Q333" s="160"/>
      <c r="R333" s="168"/>
      <c r="S333" s="165">
        <f>SUM(O333:R333)</f>
        <v>0</v>
      </c>
      <c r="T333" s="166"/>
      <c r="U333" s="167"/>
      <c r="V333" s="160"/>
      <c r="W333" s="168"/>
      <c r="X333" s="165">
        <f>SUM(T333:W333)</f>
        <v>0</v>
      </c>
      <c r="Y333" s="169">
        <f t="shared" si="327"/>
        <v>0</v>
      </c>
      <c r="Z333" s="56"/>
    </row>
    <row r="334" spans="1:27" x14ac:dyDescent="0.15">
      <c r="A334" s="47" t="s">
        <v>45</v>
      </c>
      <c r="B334" s="16"/>
      <c r="C334" s="29"/>
      <c r="D334" s="17"/>
      <c r="E334" s="20"/>
      <c r="F334" s="45">
        <f t="shared" si="309"/>
        <v>0</v>
      </c>
      <c r="G334" s="16"/>
      <c r="H334" s="29"/>
      <c r="I334" s="17">
        <v>1</v>
      </c>
      <c r="J334" s="20"/>
      <c r="K334" s="45">
        <f t="shared" si="310"/>
        <v>1</v>
      </c>
      <c r="L334" s="104">
        <f t="shared" si="301"/>
        <v>1</v>
      </c>
      <c r="M334" s="56">
        <v>45912</v>
      </c>
      <c r="N334" s="11" t="s">
        <v>514</v>
      </c>
      <c r="O334" s="16"/>
      <c r="P334" s="17"/>
      <c r="Q334" s="29"/>
      <c r="R334" s="60"/>
      <c r="S334" s="9">
        <f t="shared" ref="S334:S337" si="328">SUM(O334:R334)</f>
        <v>0</v>
      </c>
      <c r="T334" s="16"/>
      <c r="U334" s="17"/>
      <c r="V334" s="29"/>
      <c r="W334" s="60"/>
      <c r="X334" s="9">
        <f t="shared" ref="X334:X337" si="329">SUM(T334:W334)</f>
        <v>0</v>
      </c>
      <c r="Y334" s="104">
        <f t="shared" si="327"/>
        <v>0</v>
      </c>
      <c r="Z334" s="157" t="s">
        <v>515</v>
      </c>
    </row>
    <row r="335" spans="1:27" x14ac:dyDescent="0.15">
      <c r="A335" s="47" t="s">
        <v>637</v>
      </c>
      <c r="B335" s="16">
        <v>-1</v>
      </c>
      <c r="C335" s="29"/>
      <c r="D335" s="17"/>
      <c r="E335" s="20"/>
      <c r="F335" s="45">
        <f t="shared" si="309"/>
        <v>-1</v>
      </c>
      <c r="G335" s="16"/>
      <c r="H335" s="29"/>
      <c r="I335" s="17">
        <v>-1</v>
      </c>
      <c r="J335" s="20"/>
      <c r="K335" s="45">
        <f t="shared" si="310"/>
        <v>-1</v>
      </c>
      <c r="L335" s="104">
        <f t="shared" si="301"/>
        <v>-2</v>
      </c>
      <c r="M335" s="58">
        <v>45910</v>
      </c>
      <c r="N335" s="72" t="s">
        <v>512</v>
      </c>
      <c r="O335" s="171"/>
      <c r="P335" s="172"/>
      <c r="Q335" s="173"/>
      <c r="R335" s="174"/>
      <c r="S335" s="175">
        <f t="shared" si="328"/>
        <v>0</v>
      </c>
      <c r="T335" s="201"/>
      <c r="U335" s="202"/>
      <c r="V335" s="203"/>
      <c r="W335" s="204"/>
      <c r="X335" s="175">
        <f t="shared" si="329"/>
        <v>0</v>
      </c>
      <c r="Y335" s="169">
        <f t="shared" si="327"/>
        <v>0</v>
      </c>
      <c r="Z335" s="157"/>
    </row>
    <row r="336" spans="1:27" x14ac:dyDescent="0.15">
      <c r="A336" s="47" t="s">
        <v>638</v>
      </c>
      <c r="B336" s="16"/>
      <c r="C336" s="29"/>
      <c r="D336" s="17">
        <v>1</v>
      </c>
      <c r="E336" s="20"/>
      <c r="F336" s="45">
        <f t="shared" si="309"/>
        <v>1</v>
      </c>
      <c r="G336" s="16"/>
      <c r="H336" s="29"/>
      <c r="I336" s="17"/>
      <c r="J336" s="20"/>
      <c r="K336" s="45">
        <f t="shared" si="310"/>
        <v>0</v>
      </c>
      <c r="L336" s="104">
        <f t="shared" si="301"/>
        <v>1</v>
      </c>
      <c r="M336" s="56">
        <v>45918</v>
      </c>
      <c r="N336" s="11" t="s">
        <v>428</v>
      </c>
      <c r="O336" s="41"/>
      <c r="P336" s="42"/>
      <c r="Q336" s="43"/>
      <c r="R336" s="59"/>
      <c r="S336" s="61">
        <f t="shared" si="328"/>
        <v>0</v>
      </c>
      <c r="T336" s="250"/>
      <c r="U336" s="251"/>
      <c r="V336" s="252"/>
      <c r="W336" s="253"/>
      <c r="X336" s="61">
        <f t="shared" si="329"/>
        <v>0</v>
      </c>
      <c r="Y336" s="104">
        <f t="shared" si="327"/>
        <v>0</v>
      </c>
      <c r="Z336" s="157" t="s">
        <v>511</v>
      </c>
    </row>
    <row r="337" spans="1:27" x14ac:dyDescent="0.15">
      <c r="A337" s="11" t="s">
        <v>639</v>
      </c>
      <c r="B337" s="16"/>
      <c r="C337" s="29"/>
      <c r="D337" s="17"/>
      <c r="E337" s="20"/>
      <c r="F337" s="45">
        <f t="shared" si="309"/>
        <v>0</v>
      </c>
      <c r="G337" s="16"/>
      <c r="H337" s="29"/>
      <c r="I337" s="17">
        <v>2</v>
      </c>
      <c r="J337" s="20"/>
      <c r="K337" s="45">
        <f t="shared" si="310"/>
        <v>2</v>
      </c>
      <c r="L337" s="104">
        <f t="shared" si="301"/>
        <v>2</v>
      </c>
      <c r="M337" s="56">
        <v>45917</v>
      </c>
      <c r="N337" s="72" t="s">
        <v>599</v>
      </c>
      <c r="O337" s="201"/>
      <c r="P337" s="202"/>
      <c r="Q337" s="203"/>
      <c r="R337" s="204"/>
      <c r="S337" s="175">
        <f t="shared" si="328"/>
        <v>0</v>
      </c>
      <c r="T337" s="171"/>
      <c r="U337" s="172"/>
      <c r="V337" s="173"/>
      <c r="W337" s="174"/>
      <c r="X337" s="175">
        <f t="shared" si="329"/>
        <v>0</v>
      </c>
      <c r="Y337" s="169">
        <f t="shared" si="327"/>
        <v>0</v>
      </c>
      <c r="Z337" s="224"/>
    </row>
    <row r="338" spans="1:27" ht="14.25" thickBot="1" x14ac:dyDescent="0.2">
      <c r="A338" s="47" t="s">
        <v>642</v>
      </c>
      <c r="B338" s="37">
        <v>-1</v>
      </c>
      <c r="C338" s="38">
        <v>-1</v>
      </c>
      <c r="D338" s="39">
        <v>-2</v>
      </c>
      <c r="E338" s="40">
        <v>-1</v>
      </c>
      <c r="F338" s="45">
        <f t="shared" si="309"/>
        <v>-5</v>
      </c>
      <c r="G338" s="37">
        <v>-1</v>
      </c>
      <c r="H338" s="38">
        <v>-2</v>
      </c>
      <c r="I338" s="39">
        <v>-1</v>
      </c>
      <c r="J338" s="40"/>
      <c r="K338" s="45">
        <f t="shared" si="310"/>
        <v>-4</v>
      </c>
      <c r="L338" s="104">
        <f t="shared" si="301"/>
        <v>-9</v>
      </c>
      <c r="M338" s="58">
        <v>45910</v>
      </c>
      <c r="N338" s="170" t="s">
        <v>272</v>
      </c>
      <c r="O338" s="123"/>
      <c r="P338" s="124"/>
      <c r="Q338" s="125"/>
      <c r="R338" s="126"/>
      <c r="S338" s="10">
        <f t="shared" ref="S338" si="330">SUM(O338:R338)</f>
        <v>0</v>
      </c>
      <c r="T338" s="37"/>
      <c r="U338" s="38"/>
      <c r="V338" s="39"/>
      <c r="W338" s="129"/>
      <c r="X338" s="10">
        <f t="shared" ref="X338" si="331">SUM(T338:W338)</f>
        <v>0</v>
      </c>
      <c r="Y338" s="101">
        <f t="shared" ref="Y338" si="332">S338+X338</f>
        <v>0</v>
      </c>
      <c r="Z338" s="157" t="s">
        <v>403</v>
      </c>
    </row>
    <row r="339" spans="1:27" ht="14.25" thickBot="1" x14ac:dyDescent="0.2">
      <c r="A339" s="13" t="s">
        <v>8</v>
      </c>
      <c r="B339" s="22">
        <f>SUM(B314:B338)</f>
        <v>-4</v>
      </c>
      <c r="C339" s="30">
        <f>SUM(C314:C338)</f>
        <v>0</v>
      </c>
      <c r="D339" s="23">
        <f>SUM(D314:D338)</f>
        <v>5</v>
      </c>
      <c r="E339" s="24">
        <f>SUM(E314:E338)</f>
        <v>3</v>
      </c>
      <c r="F339" s="21">
        <f t="shared" si="309"/>
        <v>4</v>
      </c>
      <c r="G339" s="22">
        <f>SUM(G314:G338)</f>
        <v>5</v>
      </c>
      <c r="H339" s="30">
        <f>SUM(H314:H338)</f>
        <v>-3</v>
      </c>
      <c r="I339" s="23">
        <f>SUM(I314:I338)</f>
        <v>6</v>
      </c>
      <c r="J339" s="24">
        <f>SUM(J314:J338)</f>
        <v>6</v>
      </c>
      <c r="K339" s="21">
        <f>SUM(G339:J339)</f>
        <v>14</v>
      </c>
      <c r="L339" s="105">
        <f t="shared" si="301"/>
        <v>18</v>
      </c>
      <c r="N339" s="49" t="s">
        <v>8</v>
      </c>
      <c r="O339" s="22">
        <f>SUM(O314:O338)</f>
        <v>15</v>
      </c>
      <c r="P339" s="30">
        <f>SUM(P314:P338)</f>
        <v>25</v>
      </c>
      <c r="Q339" s="23">
        <f>SUM(Q314:Q338)</f>
        <v>27</v>
      </c>
      <c r="R339" s="24">
        <f>SUM(R314:R338)</f>
        <v>18</v>
      </c>
      <c r="S339" s="48">
        <f t="shared" ref="S339" si="333">SUM(O339:R339)</f>
        <v>85</v>
      </c>
      <c r="T339" s="22">
        <f>SUM(T314:T338)</f>
        <v>17</v>
      </c>
      <c r="U339" s="30">
        <f>SUM(U314:U338)</f>
        <v>35</v>
      </c>
      <c r="V339" s="23">
        <f>SUM(V314:V338)</f>
        <v>40</v>
      </c>
      <c r="W339" s="24">
        <f>SUM(W314:W338)</f>
        <v>39</v>
      </c>
      <c r="X339" s="48">
        <f t="shared" ref="X339" si="334">SUM(T339:W339)</f>
        <v>131</v>
      </c>
      <c r="Y339" s="122">
        <f t="shared" si="302"/>
        <v>216</v>
      </c>
    </row>
    <row r="340" spans="1:27" ht="14.25" thickBot="1" x14ac:dyDescent="0.2">
      <c r="A340" s="14" t="s">
        <v>9</v>
      </c>
      <c r="B340" s="25">
        <f t="shared" ref="B340:K340" si="335">B313-B339</f>
        <v>12</v>
      </c>
      <c r="C340" s="31">
        <f t="shared" si="335"/>
        <v>5</v>
      </c>
      <c r="D340" s="26">
        <f t="shared" si="335"/>
        <v>6</v>
      </c>
      <c r="E340" s="27">
        <f t="shared" si="335"/>
        <v>5</v>
      </c>
      <c r="F340" s="83">
        <f t="shared" si="335"/>
        <v>28</v>
      </c>
      <c r="G340" s="25">
        <f t="shared" si="335"/>
        <v>6</v>
      </c>
      <c r="H340" s="31">
        <f t="shared" si="335"/>
        <v>9</v>
      </c>
      <c r="I340" s="26">
        <f t="shared" si="335"/>
        <v>5</v>
      </c>
      <c r="J340" s="27">
        <f t="shared" si="335"/>
        <v>5</v>
      </c>
      <c r="K340" s="83">
        <f t="shared" si="335"/>
        <v>25</v>
      </c>
      <c r="L340" s="102">
        <f t="shared" si="301"/>
        <v>53</v>
      </c>
      <c r="N340" s="13" t="s">
        <v>9</v>
      </c>
      <c r="O340" s="25">
        <f t="shared" ref="O340:X340" si="336">O313-O339</f>
        <v>101</v>
      </c>
      <c r="P340" s="31">
        <f t="shared" si="336"/>
        <v>114</v>
      </c>
      <c r="Q340" s="26">
        <f t="shared" si="336"/>
        <v>113</v>
      </c>
      <c r="R340" s="27">
        <f t="shared" si="336"/>
        <v>147</v>
      </c>
      <c r="S340" s="36">
        <f t="shared" si="336"/>
        <v>475</v>
      </c>
      <c r="T340" s="25">
        <f t="shared" si="336"/>
        <v>101</v>
      </c>
      <c r="U340" s="31">
        <f t="shared" si="336"/>
        <v>188</v>
      </c>
      <c r="V340" s="26">
        <f t="shared" si="336"/>
        <v>152</v>
      </c>
      <c r="W340" s="27">
        <f t="shared" si="336"/>
        <v>142</v>
      </c>
      <c r="X340" s="36">
        <f t="shared" si="336"/>
        <v>583</v>
      </c>
      <c r="Y340" s="102">
        <f t="shared" si="302"/>
        <v>1058</v>
      </c>
    </row>
    <row r="343" spans="1:27" ht="19.5" thickBot="1" x14ac:dyDescent="0.25">
      <c r="A343" s="2" t="s">
        <v>16</v>
      </c>
      <c r="B343" s="2"/>
      <c r="C343" s="1"/>
      <c r="D343" s="1"/>
      <c r="E343" s="1"/>
      <c r="F343" s="84"/>
      <c r="G343" s="2"/>
      <c r="H343" s="1" t="s">
        <v>156</v>
      </c>
      <c r="I343" s="1"/>
      <c r="J343" s="1"/>
      <c r="K343" s="84" t="s">
        <v>13</v>
      </c>
      <c r="L343" s="84"/>
      <c r="N343" s="2" t="s">
        <v>17</v>
      </c>
      <c r="O343" s="71"/>
      <c r="P343" s="71"/>
      <c r="Q343" s="71"/>
      <c r="R343" s="71"/>
      <c r="T343" s="71"/>
      <c r="U343" s="1" t="s">
        <v>156</v>
      </c>
      <c r="V343" s="71"/>
      <c r="W343" s="71"/>
      <c r="X343" s="84" t="s">
        <v>13</v>
      </c>
      <c r="Y343" s="84"/>
    </row>
    <row r="344" spans="1:27" ht="14.25" thickBot="1" x14ac:dyDescent="0.2">
      <c r="A344" s="5" t="s">
        <v>0</v>
      </c>
      <c r="B344" s="328" t="s">
        <v>120</v>
      </c>
      <c r="C344" s="329"/>
      <c r="D344" s="329"/>
      <c r="E344" s="329"/>
      <c r="F344" s="330"/>
      <c r="G344" s="331" t="s">
        <v>14</v>
      </c>
      <c r="H344" s="332"/>
      <c r="I344" s="332"/>
      <c r="J344" s="332"/>
      <c r="K344" s="333"/>
      <c r="L344" s="320" t="s">
        <v>30</v>
      </c>
      <c r="N344" s="5" t="s">
        <v>0</v>
      </c>
      <c r="O344" s="328" t="s">
        <v>202</v>
      </c>
      <c r="P344" s="329"/>
      <c r="Q344" s="329"/>
      <c r="R344" s="329"/>
      <c r="S344" s="330"/>
      <c r="T344" s="331" t="s">
        <v>203</v>
      </c>
      <c r="U344" s="332"/>
      <c r="V344" s="332"/>
      <c r="W344" s="332"/>
      <c r="X344" s="333"/>
      <c r="Y344" s="320" t="s">
        <v>30</v>
      </c>
    </row>
    <row r="345" spans="1:27" ht="14.25" thickBot="1" x14ac:dyDescent="0.2">
      <c r="A345" s="5" t="s">
        <v>1</v>
      </c>
      <c r="B345" s="3" t="s">
        <v>22</v>
      </c>
      <c r="C345" s="28" t="s">
        <v>23</v>
      </c>
      <c r="D345" s="4" t="s">
        <v>24</v>
      </c>
      <c r="E345" s="15" t="s">
        <v>25</v>
      </c>
      <c r="F345" s="19" t="s">
        <v>2</v>
      </c>
      <c r="G345" s="3" t="s">
        <v>22</v>
      </c>
      <c r="H345" s="28" t="s">
        <v>23</v>
      </c>
      <c r="I345" s="4" t="s">
        <v>24</v>
      </c>
      <c r="J345" s="15" t="s">
        <v>25</v>
      </c>
      <c r="K345" s="19" t="s">
        <v>2</v>
      </c>
      <c r="L345" s="321"/>
      <c r="N345" s="5" t="s">
        <v>1</v>
      </c>
      <c r="O345" s="3" t="s">
        <v>22</v>
      </c>
      <c r="P345" s="28" t="s">
        <v>23</v>
      </c>
      <c r="Q345" s="4" t="s">
        <v>24</v>
      </c>
      <c r="R345" s="15" t="s">
        <v>25</v>
      </c>
      <c r="S345" s="19" t="s">
        <v>2</v>
      </c>
      <c r="T345" s="3" t="s">
        <v>22</v>
      </c>
      <c r="U345" s="28" t="s">
        <v>23</v>
      </c>
      <c r="V345" s="4" t="s">
        <v>24</v>
      </c>
      <c r="W345" s="15" t="s">
        <v>25</v>
      </c>
      <c r="X345" s="19" t="s">
        <v>2</v>
      </c>
      <c r="Y345" s="321"/>
    </row>
    <row r="346" spans="1:27" x14ac:dyDescent="0.15">
      <c r="A346" s="78" t="s">
        <v>10</v>
      </c>
      <c r="B346" s="79">
        <f>B340</f>
        <v>12</v>
      </c>
      <c r="C346" s="80">
        <f>C340</f>
        <v>5</v>
      </c>
      <c r="D346" s="80">
        <f>D340</f>
        <v>6</v>
      </c>
      <c r="E346" s="81">
        <f>E340</f>
        <v>5</v>
      </c>
      <c r="F346" s="82">
        <f>SUM(B346:E346)</f>
        <v>28</v>
      </c>
      <c r="G346" s="79">
        <f>G340</f>
        <v>6</v>
      </c>
      <c r="H346" s="80">
        <f>H340</f>
        <v>9</v>
      </c>
      <c r="I346" s="80">
        <f>I340</f>
        <v>5</v>
      </c>
      <c r="J346" s="81">
        <f>J340</f>
        <v>5</v>
      </c>
      <c r="K346" s="82">
        <f>SUM(G346:J346)</f>
        <v>25</v>
      </c>
      <c r="L346" s="98">
        <f>F346+K346</f>
        <v>53</v>
      </c>
      <c r="N346" s="78" t="s">
        <v>10</v>
      </c>
      <c r="O346" s="79">
        <f>O340</f>
        <v>101</v>
      </c>
      <c r="P346" s="80">
        <f>P340</f>
        <v>114</v>
      </c>
      <c r="Q346" s="80">
        <f>Q340</f>
        <v>113</v>
      </c>
      <c r="R346" s="81">
        <f>R340</f>
        <v>147</v>
      </c>
      <c r="S346" s="82">
        <f>SUM(O346:R346)</f>
        <v>475</v>
      </c>
      <c r="T346" s="79">
        <f>T340</f>
        <v>101</v>
      </c>
      <c r="U346" s="80">
        <f>U340</f>
        <v>188</v>
      </c>
      <c r="V346" s="80">
        <f>V340</f>
        <v>152</v>
      </c>
      <c r="W346" s="81">
        <f>W340</f>
        <v>142</v>
      </c>
      <c r="X346" s="82">
        <f>SUM(T346:W346)</f>
        <v>583</v>
      </c>
      <c r="Y346" s="98">
        <f>S346+X346</f>
        <v>1058</v>
      </c>
    </row>
    <row r="347" spans="1:27" x14ac:dyDescent="0.15">
      <c r="A347" s="47" t="s">
        <v>118</v>
      </c>
      <c r="B347" s="51"/>
      <c r="C347" s="52">
        <v>1</v>
      </c>
      <c r="D347" s="53">
        <v>1</v>
      </c>
      <c r="E347" s="54"/>
      <c r="F347" s="61">
        <f>SUM(B347:E347)</f>
        <v>2</v>
      </c>
      <c r="G347" s="51"/>
      <c r="H347" s="52">
        <v>1</v>
      </c>
      <c r="I347" s="53"/>
      <c r="J347" s="54">
        <v>1</v>
      </c>
      <c r="K347" s="61">
        <f>SUM(G347:J347)</f>
        <v>2</v>
      </c>
      <c r="L347" s="99">
        <f t="shared" ref="L347:L378" si="337">F347+K347</f>
        <v>4</v>
      </c>
      <c r="M347" s="56">
        <v>45912</v>
      </c>
      <c r="N347" s="12" t="s">
        <v>11</v>
      </c>
      <c r="O347" s="16"/>
      <c r="P347" s="29"/>
      <c r="Q347" s="17"/>
      <c r="R347" s="20"/>
      <c r="S347" s="45">
        <f>SUM(O347:R347)</f>
        <v>0</v>
      </c>
      <c r="T347" s="16"/>
      <c r="U347" s="29"/>
      <c r="V347" s="17"/>
      <c r="W347" s="20"/>
      <c r="X347" s="45">
        <f>SUM(T347:W347)</f>
        <v>0</v>
      </c>
      <c r="Y347" s="100">
        <f t="shared" ref="Y347:Y378" si="338">S347+X347</f>
        <v>0</v>
      </c>
    </row>
    <row r="348" spans="1:27" x14ac:dyDescent="0.15">
      <c r="A348" s="12" t="s">
        <v>4</v>
      </c>
      <c r="B348" s="6"/>
      <c r="C348" s="18"/>
      <c r="D348" s="7">
        <v>3</v>
      </c>
      <c r="E348" s="8"/>
      <c r="F348" s="9">
        <f>SUM(B348:E348)</f>
        <v>3</v>
      </c>
      <c r="G348" s="6"/>
      <c r="H348" s="18"/>
      <c r="I348" s="7"/>
      <c r="J348" s="8"/>
      <c r="K348" s="9">
        <f>SUM(G348:J348)</f>
        <v>0</v>
      </c>
      <c r="L348" s="100">
        <f t="shared" si="337"/>
        <v>3</v>
      </c>
      <c r="M348" s="56">
        <v>45926</v>
      </c>
      <c r="N348" s="12" t="s">
        <v>3</v>
      </c>
      <c r="O348" s="16"/>
      <c r="P348" s="29"/>
      <c r="Q348" s="17"/>
      <c r="R348" s="20"/>
      <c r="S348" s="45">
        <f t="shared" ref="S348" si="339">SUM(O348:R348)</f>
        <v>0</v>
      </c>
      <c r="T348" s="16"/>
      <c r="U348" s="29"/>
      <c r="V348" s="17"/>
      <c r="W348" s="20"/>
      <c r="X348" s="45">
        <f t="shared" ref="X348" si="340">SUM(T348:W348)</f>
        <v>0</v>
      </c>
      <c r="Y348" s="100">
        <f t="shared" ref="Y348" si="341">S348+X348</f>
        <v>0</v>
      </c>
      <c r="AA348" s="50"/>
    </row>
    <row r="349" spans="1:27" x14ac:dyDescent="0.15">
      <c r="A349" s="12" t="s">
        <v>5</v>
      </c>
      <c r="B349" s="6"/>
      <c r="C349" s="18"/>
      <c r="D349" s="7"/>
      <c r="E349" s="8"/>
      <c r="F349" s="9">
        <f>SUM(B349:E349)</f>
        <v>0</v>
      </c>
      <c r="G349" s="6">
        <v>3</v>
      </c>
      <c r="H349" s="18"/>
      <c r="I349" s="7"/>
      <c r="J349" s="8"/>
      <c r="K349" s="9">
        <f>SUM(G349:J349)</f>
        <v>3</v>
      </c>
      <c r="L349" s="100">
        <f t="shared" si="337"/>
        <v>3</v>
      </c>
      <c r="M349" s="56">
        <v>45931</v>
      </c>
      <c r="N349" s="12" t="s">
        <v>4</v>
      </c>
      <c r="O349" s="16"/>
      <c r="P349" s="29"/>
      <c r="Q349" s="17"/>
      <c r="R349" s="20"/>
      <c r="S349" s="45">
        <f t="shared" ref="S349" si="342">SUM(O349:R349)</f>
        <v>0</v>
      </c>
      <c r="T349" s="16"/>
      <c r="U349" s="29"/>
      <c r="V349" s="17"/>
      <c r="W349" s="20"/>
      <c r="X349" s="45">
        <f t="shared" ref="X349" si="343">SUM(T349:W349)</f>
        <v>0</v>
      </c>
      <c r="Y349" s="100">
        <f t="shared" si="338"/>
        <v>0</v>
      </c>
    </row>
    <row r="350" spans="1:27" ht="14.25" thickBot="1" x14ac:dyDescent="0.2">
      <c r="A350" s="12" t="s">
        <v>6</v>
      </c>
      <c r="B350" s="6"/>
      <c r="C350" s="18">
        <v>3</v>
      </c>
      <c r="D350" s="7">
        <v>3</v>
      </c>
      <c r="E350" s="8">
        <v>3</v>
      </c>
      <c r="F350" s="10">
        <f>SUM(B350:E350)</f>
        <v>9</v>
      </c>
      <c r="G350" s="6"/>
      <c r="H350" s="18"/>
      <c r="I350" s="7"/>
      <c r="J350" s="8"/>
      <c r="K350" s="10">
        <f>SUM(G350:J350)</f>
        <v>0</v>
      </c>
      <c r="L350" s="101">
        <f t="shared" si="337"/>
        <v>9</v>
      </c>
      <c r="M350" s="56">
        <v>45934</v>
      </c>
      <c r="N350" s="12" t="s">
        <v>5</v>
      </c>
      <c r="O350" s="16"/>
      <c r="P350" s="29"/>
      <c r="Q350" s="17"/>
      <c r="R350" s="20"/>
      <c r="S350" s="45">
        <f t="shared" ref="S350" si="344">SUM(O350:R350)</f>
        <v>0</v>
      </c>
      <c r="T350" s="16"/>
      <c r="U350" s="29"/>
      <c r="V350" s="17"/>
      <c r="W350" s="20"/>
      <c r="X350" s="45">
        <f t="shared" ref="X350" si="345">SUM(T350:W350)</f>
        <v>0</v>
      </c>
      <c r="Y350" s="100">
        <f t="shared" ref="Y350" si="346">S350+X350</f>
        <v>0</v>
      </c>
    </row>
    <row r="351" spans="1:27" ht="14.25" thickBot="1" x14ac:dyDescent="0.2">
      <c r="A351" s="14" t="s">
        <v>7</v>
      </c>
      <c r="B351" s="62">
        <f t="shared" ref="B351:K351" si="347">SUM(B346:B350)</f>
        <v>12</v>
      </c>
      <c r="C351" s="63">
        <f t="shared" si="347"/>
        <v>9</v>
      </c>
      <c r="D351" s="64">
        <f t="shared" si="347"/>
        <v>13</v>
      </c>
      <c r="E351" s="65">
        <f t="shared" si="347"/>
        <v>8</v>
      </c>
      <c r="F351" s="66">
        <f t="shared" si="347"/>
        <v>42</v>
      </c>
      <c r="G351" s="62">
        <f t="shared" si="347"/>
        <v>9</v>
      </c>
      <c r="H351" s="63">
        <f t="shared" si="347"/>
        <v>10</v>
      </c>
      <c r="I351" s="64">
        <f t="shared" si="347"/>
        <v>5</v>
      </c>
      <c r="J351" s="65">
        <f t="shared" si="347"/>
        <v>6</v>
      </c>
      <c r="K351" s="66">
        <f t="shared" si="347"/>
        <v>30</v>
      </c>
      <c r="L351" s="102">
        <f t="shared" si="337"/>
        <v>72</v>
      </c>
      <c r="N351" s="13" t="s">
        <v>7</v>
      </c>
      <c r="O351" s="25">
        <f t="shared" ref="O351:X351" si="348">SUM(O346:O350)</f>
        <v>101</v>
      </c>
      <c r="P351" s="31">
        <f t="shared" si="348"/>
        <v>114</v>
      </c>
      <c r="Q351" s="26">
        <f t="shared" si="348"/>
        <v>113</v>
      </c>
      <c r="R351" s="67">
        <f t="shared" si="348"/>
        <v>147</v>
      </c>
      <c r="S351" s="68">
        <f t="shared" si="348"/>
        <v>475</v>
      </c>
      <c r="T351" s="25">
        <f t="shared" si="348"/>
        <v>101</v>
      </c>
      <c r="U351" s="31">
        <f t="shared" si="348"/>
        <v>188</v>
      </c>
      <c r="V351" s="26">
        <f t="shared" si="348"/>
        <v>152</v>
      </c>
      <c r="W351" s="67">
        <f t="shared" si="348"/>
        <v>142</v>
      </c>
      <c r="X351" s="68">
        <f t="shared" si="348"/>
        <v>583</v>
      </c>
      <c r="Y351" s="102">
        <f t="shared" si="338"/>
        <v>1058</v>
      </c>
    </row>
    <row r="352" spans="1:27" x14ac:dyDescent="0.15">
      <c r="A352" s="47" t="s">
        <v>45</v>
      </c>
      <c r="B352" s="41"/>
      <c r="C352" s="42"/>
      <c r="D352" s="43"/>
      <c r="E352" s="44"/>
      <c r="F352" s="70">
        <f t="shared" ref="F352:F377" si="349">SUM(B352:E352)</f>
        <v>0</v>
      </c>
      <c r="G352" s="41">
        <v>1</v>
      </c>
      <c r="H352" s="42"/>
      <c r="I352" s="43">
        <v>1</v>
      </c>
      <c r="J352" s="44"/>
      <c r="K352" s="70">
        <f t="shared" ref="K352:K376" si="350">SUM(G352:J352)</f>
        <v>2</v>
      </c>
      <c r="L352" s="103">
        <f t="shared" si="337"/>
        <v>2</v>
      </c>
      <c r="M352" s="58">
        <v>45916</v>
      </c>
      <c r="N352" s="11" t="s">
        <v>659</v>
      </c>
      <c r="O352" s="16"/>
      <c r="P352" s="29"/>
      <c r="Q352" s="17"/>
      <c r="R352" s="32"/>
      <c r="S352" s="9">
        <f t="shared" ref="S352" si="351">SUM(O352:R352)</f>
        <v>0</v>
      </c>
      <c r="T352" s="16"/>
      <c r="U352" s="29">
        <v>25</v>
      </c>
      <c r="V352" s="17">
        <v>25</v>
      </c>
      <c r="W352" s="32">
        <v>25</v>
      </c>
      <c r="X352" s="9">
        <f t="shared" ref="X352" si="352">SUM(T352:W352)</f>
        <v>75</v>
      </c>
      <c r="Y352" s="104">
        <f t="shared" ref="Y352" si="353">S352+X352</f>
        <v>75</v>
      </c>
      <c r="Z352" s="56">
        <v>45934</v>
      </c>
    </row>
    <row r="353" spans="1:27" x14ac:dyDescent="0.15">
      <c r="A353" s="47" t="s">
        <v>652</v>
      </c>
      <c r="B353" s="16"/>
      <c r="C353" s="29"/>
      <c r="D353" s="17">
        <v>2</v>
      </c>
      <c r="E353" s="20"/>
      <c r="F353" s="45">
        <f t="shared" si="349"/>
        <v>2</v>
      </c>
      <c r="G353" s="16"/>
      <c r="H353" s="29"/>
      <c r="I353" s="17"/>
      <c r="J353" s="20"/>
      <c r="K353" s="45">
        <f t="shared" si="350"/>
        <v>0</v>
      </c>
      <c r="L353" s="104">
        <f t="shared" si="337"/>
        <v>2</v>
      </c>
      <c r="M353" s="56">
        <v>45919</v>
      </c>
      <c r="N353" s="33" t="s">
        <v>666</v>
      </c>
      <c r="O353" s="16"/>
      <c r="P353" s="29"/>
      <c r="Q353" s="17">
        <v>3</v>
      </c>
      <c r="R353" s="32"/>
      <c r="S353" s="9">
        <f t="shared" ref="S353:S357" si="354">SUM(O353:R353)</f>
        <v>3</v>
      </c>
      <c r="T353" s="16"/>
      <c r="U353" s="29"/>
      <c r="V353" s="17"/>
      <c r="W353" s="32"/>
      <c r="X353" s="9">
        <f t="shared" ref="X353:X357" si="355">SUM(T353:W353)</f>
        <v>0</v>
      </c>
      <c r="Y353" s="104">
        <f t="shared" si="338"/>
        <v>3</v>
      </c>
      <c r="Z353" s="56">
        <v>45926</v>
      </c>
    </row>
    <row r="354" spans="1:27" x14ac:dyDescent="0.15">
      <c r="A354" s="47" t="s">
        <v>655</v>
      </c>
      <c r="B354" s="16"/>
      <c r="C354" s="29"/>
      <c r="D354" s="17"/>
      <c r="E354" s="20"/>
      <c r="F354" s="45">
        <f t="shared" si="349"/>
        <v>0</v>
      </c>
      <c r="G354" s="16">
        <v>1</v>
      </c>
      <c r="H354" s="29"/>
      <c r="I354" s="17"/>
      <c r="J354" s="20"/>
      <c r="K354" s="45">
        <f t="shared" si="350"/>
        <v>1</v>
      </c>
      <c r="L354" s="104">
        <f t="shared" si="337"/>
        <v>1</v>
      </c>
      <c r="M354" s="56">
        <v>45922</v>
      </c>
      <c r="N354" s="47" t="s">
        <v>669</v>
      </c>
      <c r="O354" s="16"/>
      <c r="P354" s="29"/>
      <c r="Q354" s="17"/>
      <c r="R354" s="32"/>
      <c r="S354" s="9">
        <f t="shared" si="354"/>
        <v>0</v>
      </c>
      <c r="T354" s="16"/>
      <c r="U354" s="29"/>
      <c r="V354" s="17">
        <v>4</v>
      </c>
      <c r="W354" s="32"/>
      <c r="X354" s="9">
        <f t="shared" si="355"/>
        <v>4</v>
      </c>
      <c r="Y354" s="104">
        <f t="shared" si="338"/>
        <v>4</v>
      </c>
      <c r="Z354" s="56">
        <v>45929</v>
      </c>
    </row>
    <row r="355" spans="1:27" x14ac:dyDescent="0.15">
      <c r="A355" s="47" t="s">
        <v>45</v>
      </c>
      <c r="B355" s="16"/>
      <c r="C355" s="29"/>
      <c r="D355" s="17">
        <v>1</v>
      </c>
      <c r="E355" s="20"/>
      <c r="F355" s="45">
        <f t="shared" si="349"/>
        <v>1</v>
      </c>
      <c r="G355" s="16"/>
      <c r="H355" s="29"/>
      <c r="I355" s="17"/>
      <c r="J355" s="20"/>
      <c r="K355" s="45">
        <f t="shared" si="350"/>
        <v>0</v>
      </c>
      <c r="L355" s="104">
        <f t="shared" si="337"/>
        <v>1</v>
      </c>
      <c r="M355" s="58">
        <v>45919</v>
      </c>
      <c r="N355" s="11" t="s">
        <v>670</v>
      </c>
      <c r="O355" s="16"/>
      <c r="P355" s="29">
        <v>10</v>
      </c>
      <c r="Q355" s="17">
        <v>5</v>
      </c>
      <c r="R355" s="32"/>
      <c r="S355" s="9">
        <f t="shared" si="354"/>
        <v>15</v>
      </c>
      <c r="T355" s="16"/>
      <c r="U355" s="29"/>
      <c r="V355" s="17"/>
      <c r="W355" s="32"/>
      <c r="X355" s="9">
        <f t="shared" si="355"/>
        <v>0</v>
      </c>
      <c r="Y355" s="104">
        <f t="shared" si="338"/>
        <v>15</v>
      </c>
      <c r="Z355" s="56">
        <v>45928</v>
      </c>
    </row>
    <row r="356" spans="1:27" x14ac:dyDescent="0.15">
      <c r="A356" s="47" t="s">
        <v>658</v>
      </c>
      <c r="B356" s="16"/>
      <c r="C356" s="29"/>
      <c r="D356" s="17">
        <v>1</v>
      </c>
      <c r="E356" s="20"/>
      <c r="F356" s="45">
        <f t="shared" si="349"/>
        <v>1</v>
      </c>
      <c r="G356" s="16"/>
      <c r="H356" s="29"/>
      <c r="I356" s="17"/>
      <c r="J356" s="20"/>
      <c r="K356" s="45">
        <f t="shared" si="350"/>
        <v>0</v>
      </c>
      <c r="L356" s="104">
        <f t="shared" si="337"/>
        <v>1</v>
      </c>
      <c r="M356" s="56">
        <v>45924</v>
      </c>
      <c r="N356" s="11" t="s">
        <v>672</v>
      </c>
      <c r="O356" s="16"/>
      <c r="P356" s="29"/>
      <c r="Q356" s="17"/>
      <c r="R356" s="32"/>
      <c r="S356" s="9">
        <f t="shared" si="354"/>
        <v>0</v>
      </c>
      <c r="T356" s="16">
        <v>12</v>
      </c>
      <c r="U356" s="29">
        <v>3</v>
      </c>
      <c r="V356" s="17">
        <v>3</v>
      </c>
      <c r="W356" s="32">
        <v>5</v>
      </c>
      <c r="X356" s="9">
        <f t="shared" si="355"/>
        <v>23</v>
      </c>
      <c r="Y356" s="104">
        <f t="shared" si="338"/>
        <v>23</v>
      </c>
      <c r="Z356" s="56">
        <v>45938</v>
      </c>
    </row>
    <row r="357" spans="1:27" x14ac:dyDescent="0.15">
      <c r="A357" s="47" t="s">
        <v>45</v>
      </c>
      <c r="B357" s="16">
        <v>1</v>
      </c>
      <c r="C357" s="29"/>
      <c r="D357" s="17">
        <v>1</v>
      </c>
      <c r="E357" s="20"/>
      <c r="F357" s="45">
        <f t="shared" si="349"/>
        <v>2</v>
      </c>
      <c r="G357" s="16"/>
      <c r="H357" s="29">
        <v>1</v>
      </c>
      <c r="I357" s="17"/>
      <c r="J357" s="20">
        <v>1</v>
      </c>
      <c r="K357" s="45">
        <f t="shared" si="350"/>
        <v>2</v>
      </c>
      <c r="L357" s="104">
        <f t="shared" si="337"/>
        <v>4</v>
      </c>
      <c r="M357" s="58">
        <v>45922</v>
      </c>
      <c r="N357" s="33" t="s">
        <v>675</v>
      </c>
      <c r="O357" s="16"/>
      <c r="P357" s="29"/>
      <c r="Q357" s="17"/>
      <c r="R357" s="32"/>
      <c r="S357" s="9">
        <f t="shared" si="354"/>
        <v>0</v>
      </c>
      <c r="T357" s="16">
        <v>3</v>
      </c>
      <c r="U357" s="29"/>
      <c r="V357" s="17"/>
      <c r="W357" s="32"/>
      <c r="X357" s="9">
        <f t="shared" si="355"/>
        <v>3</v>
      </c>
      <c r="Y357" s="104">
        <f t="shared" si="338"/>
        <v>3</v>
      </c>
      <c r="Z357" s="56">
        <v>45931</v>
      </c>
    </row>
    <row r="358" spans="1:27" x14ac:dyDescent="0.15">
      <c r="A358" s="47" t="s">
        <v>45</v>
      </c>
      <c r="B358" s="16"/>
      <c r="C358" s="29"/>
      <c r="D358" s="17"/>
      <c r="E358" s="20"/>
      <c r="F358" s="45">
        <f t="shared" si="349"/>
        <v>0</v>
      </c>
      <c r="G358" s="16"/>
      <c r="H358" s="29"/>
      <c r="I358" s="17"/>
      <c r="J358" s="20">
        <v>1</v>
      </c>
      <c r="K358" s="45">
        <f t="shared" si="350"/>
        <v>1</v>
      </c>
      <c r="L358" s="104">
        <f t="shared" si="337"/>
        <v>1</v>
      </c>
      <c r="M358" s="56">
        <v>45924</v>
      </c>
      <c r="N358" s="33" t="s">
        <v>40</v>
      </c>
      <c r="O358" s="16"/>
      <c r="P358" s="29">
        <v>3</v>
      </c>
      <c r="Q358" s="17">
        <v>3</v>
      </c>
      <c r="R358" s="32">
        <v>3</v>
      </c>
      <c r="S358" s="9">
        <f>SUM(O358:R358)</f>
        <v>9</v>
      </c>
      <c r="T358" s="16"/>
      <c r="U358" s="29"/>
      <c r="V358" s="17"/>
      <c r="W358" s="32"/>
      <c r="X358" s="9">
        <f>SUM(T358:W358)</f>
        <v>0</v>
      </c>
      <c r="Y358" s="104">
        <f t="shared" si="338"/>
        <v>9</v>
      </c>
      <c r="Z358" s="56">
        <v>45934</v>
      </c>
    </row>
    <row r="359" spans="1:27" x14ac:dyDescent="0.15">
      <c r="A359" s="47" t="s">
        <v>671</v>
      </c>
      <c r="B359" s="16">
        <v>1</v>
      </c>
      <c r="C359" s="29"/>
      <c r="D359" s="17">
        <v>1</v>
      </c>
      <c r="E359" s="20"/>
      <c r="F359" s="45">
        <f t="shared" si="349"/>
        <v>2</v>
      </c>
      <c r="G359" s="16">
        <v>1</v>
      </c>
      <c r="H359" s="29"/>
      <c r="I359" s="17"/>
      <c r="J359" s="20"/>
      <c r="K359" s="45">
        <f t="shared" si="350"/>
        <v>1</v>
      </c>
      <c r="L359" s="104">
        <f t="shared" si="337"/>
        <v>3</v>
      </c>
      <c r="M359" s="56">
        <v>45931</v>
      </c>
      <c r="N359" s="11" t="s">
        <v>687</v>
      </c>
      <c r="O359" s="16"/>
      <c r="P359" s="29"/>
      <c r="Q359" s="17"/>
      <c r="R359" s="32"/>
      <c r="S359" s="9">
        <f t="shared" ref="S359:S362" si="356">SUM(O359:R359)</f>
        <v>0</v>
      </c>
      <c r="T359" s="16"/>
      <c r="U359" s="29"/>
      <c r="V359" s="17">
        <v>5</v>
      </c>
      <c r="W359" s="32"/>
      <c r="X359" s="9">
        <f t="shared" ref="X359:X362" si="357">SUM(T359:W359)</f>
        <v>5</v>
      </c>
      <c r="Y359" s="104">
        <f t="shared" si="338"/>
        <v>5</v>
      </c>
      <c r="Z359" s="56">
        <v>45946</v>
      </c>
    </row>
    <row r="360" spans="1:27" x14ac:dyDescent="0.15">
      <c r="A360" s="47" t="s">
        <v>674</v>
      </c>
      <c r="B360" s="16"/>
      <c r="C360" s="29"/>
      <c r="D360" s="17"/>
      <c r="E360" s="20">
        <v>1</v>
      </c>
      <c r="F360" s="45">
        <f t="shared" si="349"/>
        <v>1</v>
      </c>
      <c r="G360" s="16">
        <v>2</v>
      </c>
      <c r="H360" s="29">
        <v>1</v>
      </c>
      <c r="I360" s="17"/>
      <c r="J360" s="20"/>
      <c r="K360" s="45">
        <f t="shared" si="350"/>
        <v>3</v>
      </c>
      <c r="L360" s="104">
        <f t="shared" si="337"/>
        <v>4</v>
      </c>
      <c r="M360" s="56">
        <v>45932</v>
      </c>
      <c r="N360" s="33" t="s">
        <v>40</v>
      </c>
      <c r="O360" s="16"/>
      <c r="P360" s="29"/>
      <c r="Q360" s="17">
        <v>3</v>
      </c>
      <c r="R360" s="32"/>
      <c r="S360" s="9">
        <f t="shared" si="356"/>
        <v>3</v>
      </c>
      <c r="T360" s="16">
        <v>3</v>
      </c>
      <c r="U360" s="29"/>
      <c r="V360" s="17"/>
      <c r="W360" s="32"/>
      <c r="X360" s="9">
        <f t="shared" si="357"/>
        <v>3</v>
      </c>
      <c r="Y360" s="104">
        <f t="shared" si="338"/>
        <v>6</v>
      </c>
      <c r="Z360" s="56">
        <v>45937</v>
      </c>
    </row>
    <row r="361" spans="1:27" x14ac:dyDescent="0.15">
      <c r="A361" s="11" t="s">
        <v>676</v>
      </c>
      <c r="B361" s="16">
        <v>5</v>
      </c>
      <c r="C361" s="29">
        <v>3</v>
      </c>
      <c r="D361" s="17"/>
      <c r="E361" s="20"/>
      <c r="F361" s="45">
        <f t="shared" si="349"/>
        <v>8</v>
      </c>
      <c r="G361" s="16"/>
      <c r="H361" s="29"/>
      <c r="I361" s="17"/>
      <c r="J361" s="20"/>
      <c r="K361" s="45">
        <f t="shared" si="350"/>
        <v>0</v>
      </c>
      <c r="L361" s="104">
        <f t="shared" si="337"/>
        <v>8</v>
      </c>
      <c r="M361" s="56">
        <v>45932</v>
      </c>
      <c r="N361" s="33" t="s">
        <v>40</v>
      </c>
      <c r="O361" s="16"/>
      <c r="P361" s="29"/>
      <c r="Q361" s="17"/>
      <c r="R361" s="32"/>
      <c r="S361" s="9">
        <f t="shared" si="356"/>
        <v>0</v>
      </c>
      <c r="T361" s="16"/>
      <c r="U361" s="29"/>
      <c r="V361" s="17">
        <v>5</v>
      </c>
      <c r="W361" s="32"/>
      <c r="X361" s="9">
        <f t="shared" si="357"/>
        <v>5</v>
      </c>
      <c r="Y361" s="104">
        <f t="shared" si="338"/>
        <v>5</v>
      </c>
      <c r="Z361" s="56">
        <v>45938</v>
      </c>
      <c r="AA361" s="35"/>
    </row>
    <row r="362" spans="1:27" x14ac:dyDescent="0.15">
      <c r="A362" s="47" t="s">
        <v>45</v>
      </c>
      <c r="B362" s="16"/>
      <c r="C362" s="29"/>
      <c r="D362" s="17">
        <v>1</v>
      </c>
      <c r="E362" s="20"/>
      <c r="F362" s="45">
        <f t="shared" si="349"/>
        <v>1</v>
      </c>
      <c r="G362" s="16"/>
      <c r="H362" s="29"/>
      <c r="I362" s="17"/>
      <c r="J362" s="20">
        <v>1</v>
      </c>
      <c r="K362" s="45">
        <f t="shared" si="350"/>
        <v>1</v>
      </c>
      <c r="L362" s="104">
        <f t="shared" si="337"/>
        <v>2</v>
      </c>
      <c r="M362" s="56">
        <v>45930</v>
      </c>
      <c r="N362" s="268" t="s">
        <v>40</v>
      </c>
      <c r="O362" s="255"/>
      <c r="P362" s="256"/>
      <c r="Q362" s="257"/>
      <c r="R362" s="269"/>
      <c r="S362" s="270">
        <f t="shared" si="356"/>
        <v>0</v>
      </c>
      <c r="T362" s="255">
        <v>3</v>
      </c>
      <c r="U362" s="256"/>
      <c r="V362" s="257">
        <v>3</v>
      </c>
      <c r="W362" s="269">
        <v>3</v>
      </c>
      <c r="X362" s="270">
        <f t="shared" si="357"/>
        <v>9</v>
      </c>
      <c r="Y362" s="260">
        <f t="shared" si="338"/>
        <v>9</v>
      </c>
      <c r="Z362" s="261">
        <v>45939</v>
      </c>
      <c r="AA362" s="35"/>
    </row>
    <row r="363" spans="1:27" x14ac:dyDescent="0.15">
      <c r="A363" s="47" t="s">
        <v>678</v>
      </c>
      <c r="B363" s="16"/>
      <c r="C363" s="29"/>
      <c r="D363" s="17"/>
      <c r="E363" s="20">
        <v>2</v>
      </c>
      <c r="F363" s="45">
        <f t="shared" si="349"/>
        <v>2</v>
      </c>
      <c r="G363" s="16"/>
      <c r="H363" s="29"/>
      <c r="I363" s="17"/>
      <c r="J363" s="20"/>
      <c r="K363" s="45">
        <f t="shared" si="350"/>
        <v>0</v>
      </c>
      <c r="L363" s="104">
        <f t="shared" si="337"/>
        <v>2</v>
      </c>
      <c r="M363" s="56">
        <v>45933</v>
      </c>
      <c r="N363" s="11" t="s">
        <v>698</v>
      </c>
      <c r="O363" s="16"/>
      <c r="P363" s="29"/>
      <c r="Q363" s="17"/>
      <c r="R363" s="32"/>
      <c r="S363" s="9">
        <f t="shared" ref="S363" si="358">SUM(O363:R363)</f>
        <v>0</v>
      </c>
      <c r="T363" s="16"/>
      <c r="U363" s="29">
        <v>3</v>
      </c>
      <c r="V363" s="17">
        <v>6</v>
      </c>
      <c r="W363" s="32">
        <v>6</v>
      </c>
      <c r="X363" s="9">
        <f t="shared" ref="X363" si="359">SUM(T363:W363)</f>
        <v>15</v>
      </c>
      <c r="Y363" s="104">
        <f t="shared" ref="Y363" si="360">S363+X363</f>
        <v>15</v>
      </c>
      <c r="Z363" s="56">
        <v>45957</v>
      </c>
      <c r="AA363" s="35"/>
    </row>
    <row r="364" spans="1:27" x14ac:dyDescent="0.15">
      <c r="A364" s="47" t="s">
        <v>679</v>
      </c>
      <c r="B364" s="16"/>
      <c r="C364" s="29"/>
      <c r="D364" s="17"/>
      <c r="E364" s="20"/>
      <c r="F364" s="45">
        <f t="shared" si="349"/>
        <v>0</v>
      </c>
      <c r="G364" s="16"/>
      <c r="H364" s="29"/>
      <c r="I364" s="17">
        <v>1</v>
      </c>
      <c r="J364" s="20">
        <v>-1</v>
      </c>
      <c r="K364" s="45">
        <f t="shared" si="350"/>
        <v>0</v>
      </c>
      <c r="L364" s="104">
        <f t="shared" si="337"/>
        <v>0</v>
      </c>
      <c r="M364" s="56">
        <v>45931</v>
      </c>
      <c r="N364" s="33"/>
      <c r="O364" s="16"/>
      <c r="P364" s="29"/>
      <c r="Q364" s="17"/>
      <c r="R364" s="32"/>
      <c r="S364" s="9">
        <f>SUM(O364:R364)</f>
        <v>0</v>
      </c>
      <c r="T364" s="16"/>
      <c r="U364" s="29"/>
      <c r="V364" s="17"/>
      <c r="W364" s="32"/>
      <c r="X364" s="9">
        <f>SUM(T364:W364)</f>
        <v>0</v>
      </c>
      <c r="Y364" s="104">
        <f t="shared" si="338"/>
        <v>0</v>
      </c>
      <c r="Z364" s="56"/>
    </row>
    <row r="365" spans="1:27" x14ac:dyDescent="0.15">
      <c r="A365" s="47" t="s">
        <v>680</v>
      </c>
      <c r="B365" s="16"/>
      <c r="C365" s="29"/>
      <c r="D365" s="17">
        <v>2</v>
      </c>
      <c r="E365" s="20"/>
      <c r="F365" s="45">
        <f t="shared" si="349"/>
        <v>2</v>
      </c>
      <c r="G365" s="16"/>
      <c r="H365" s="29"/>
      <c r="I365" s="17"/>
      <c r="J365" s="20"/>
      <c r="K365" s="45">
        <f t="shared" si="350"/>
        <v>0</v>
      </c>
      <c r="L365" s="104">
        <f t="shared" si="337"/>
        <v>2</v>
      </c>
      <c r="M365" s="56">
        <v>45933</v>
      </c>
      <c r="N365" s="72"/>
      <c r="O365" s="16"/>
      <c r="P365" s="29"/>
      <c r="Q365" s="17"/>
      <c r="R365" s="32"/>
      <c r="S365" s="9">
        <f>SUM(O365:R365)</f>
        <v>0</v>
      </c>
      <c r="T365" s="16"/>
      <c r="U365" s="29"/>
      <c r="V365" s="17"/>
      <c r="W365" s="32"/>
      <c r="X365" s="9">
        <f>SUM(T365:W365)</f>
        <v>0</v>
      </c>
      <c r="Y365" s="104">
        <f t="shared" si="338"/>
        <v>0</v>
      </c>
      <c r="Z365" s="56"/>
    </row>
    <row r="366" spans="1:27" x14ac:dyDescent="0.15">
      <c r="A366" s="33" t="s">
        <v>45</v>
      </c>
      <c r="B366" s="16"/>
      <c r="C366" s="29">
        <v>1</v>
      </c>
      <c r="D366" s="17"/>
      <c r="E366" s="20"/>
      <c r="F366" s="45">
        <f t="shared" si="349"/>
        <v>1</v>
      </c>
      <c r="G366" s="16">
        <v>1</v>
      </c>
      <c r="H366" s="29"/>
      <c r="I366" s="17"/>
      <c r="J366" s="20"/>
      <c r="K366" s="45">
        <f t="shared" si="350"/>
        <v>1</v>
      </c>
      <c r="L366" s="104">
        <f t="shared" si="337"/>
        <v>2</v>
      </c>
      <c r="M366" s="58">
        <v>45932</v>
      </c>
      <c r="N366" s="72"/>
      <c r="O366" s="16"/>
      <c r="P366" s="29"/>
      <c r="Q366" s="17"/>
      <c r="R366" s="32"/>
      <c r="S366" s="9">
        <f t="shared" ref="S366:S369" si="361">SUM(O366:R366)</f>
        <v>0</v>
      </c>
      <c r="T366" s="16"/>
      <c r="U366" s="29"/>
      <c r="V366" s="17"/>
      <c r="W366" s="32"/>
      <c r="X366" s="9">
        <f t="shared" ref="X366:X369" si="362">SUM(T366:W366)</f>
        <v>0</v>
      </c>
      <c r="Y366" s="104">
        <f t="shared" si="338"/>
        <v>0</v>
      </c>
      <c r="Z366" s="56"/>
    </row>
    <row r="367" spans="1:27" x14ac:dyDescent="0.15">
      <c r="A367" s="47" t="s">
        <v>681</v>
      </c>
      <c r="B367" s="16"/>
      <c r="C367" s="29"/>
      <c r="D367" s="17">
        <v>1</v>
      </c>
      <c r="E367" s="20">
        <v>1</v>
      </c>
      <c r="F367" s="45">
        <f t="shared" si="349"/>
        <v>2</v>
      </c>
      <c r="G367" s="16"/>
      <c r="H367" s="29"/>
      <c r="I367" s="17"/>
      <c r="J367" s="20"/>
      <c r="K367" s="45">
        <f t="shared" si="350"/>
        <v>0</v>
      </c>
      <c r="L367" s="104">
        <f t="shared" si="337"/>
        <v>2</v>
      </c>
      <c r="M367" s="56">
        <v>45936</v>
      </c>
      <c r="N367" s="72"/>
      <c r="O367" s="16"/>
      <c r="P367" s="29"/>
      <c r="Q367" s="17"/>
      <c r="R367" s="32"/>
      <c r="S367" s="9">
        <f t="shared" si="361"/>
        <v>0</v>
      </c>
      <c r="T367" s="16"/>
      <c r="U367" s="29"/>
      <c r="V367" s="17"/>
      <c r="W367" s="32"/>
      <c r="X367" s="9">
        <f t="shared" si="362"/>
        <v>0</v>
      </c>
      <c r="Y367" s="104">
        <f t="shared" si="338"/>
        <v>0</v>
      </c>
      <c r="Z367" s="56"/>
    </row>
    <row r="368" spans="1:27" x14ac:dyDescent="0.15">
      <c r="A368" s="33" t="s">
        <v>45</v>
      </c>
      <c r="B368" s="16"/>
      <c r="C368" s="29"/>
      <c r="D368" s="17"/>
      <c r="E368" s="20"/>
      <c r="F368" s="45">
        <f t="shared" si="349"/>
        <v>0</v>
      </c>
      <c r="G368" s="16">
        <v>1</v>
      </c>
      <c r="H368" s="29"/>
      <c r="I368" s="17"/>
      <c r="J368" s="20"/>
      <c r="K368" s="45">
        <f t="shared" si="350"/>
        <v>1</v>
      </c>
      <c r="L368" s="104">
        <f t="shared" si="337"/>
        <v>1</v>
      </c>
      <c r="M368" s="58">
        <v>45933</v>
      </c>
      <c r="N368" s="72"/>
      <c r="O368" s="16"/>
      <c r="P368" s="29"/>
      <c r="Q368" s="17"/>
      <c r="R368" s="32"/>
      <c r="S368" s="9">
        <f t="shared" si="361"/>
        <v>0</v>
      </c>
      <c r="T368" s="16"/>
      <c r="U368" s="29"/>
      <c r="V368" s="17"/>
      <c r="W368" s="32"/>
      <c r="X368" s="9">
        <f t="shared" si="362"/>
        <v>0</v>
      </c>
      <c r="Y368" s="104">
        <f t="shared" si="338"/>
        <v>0</v>
      </c>
      <c r="Z368" s="56"/>
    </row>
    <row r="369" spans="1:26" x14ac:dyDescent="0.15">
      <c r="A369" s="33" t="s">
        <v>45</v>
      </c>
      <c r="B369" s="16"/>
      <c r="C369" s="29">
        <v>1</v>
      </c>
      <c r="D369" s="17"/>
      <c r="E369" s="20"/>
      <c r="F369" s="45">
        <f t="shared" si="349"/>
        <v>1</v>
      </c>
      <c r="G369" s="16"/>
      <c r="H369" s="29"/>
      <c r="I369" s="17"/>
      <c r="J369" s="20"/>
      <c r="K369" s="45">
        <f t="shared" si="350"/>
        <v>0</v>
      </c>
      <c r="L369" s="104">
        <f t="shared" si="337"/>
        <v>1</v>
      </c>
      <c r="M369" s="56">
        <v>45934</v>
      </c>
      <c r="N369" s="72"/>
      <c r="O369" s="41"/>
      <c r="P369" s="42"/>
      <c r="Q369" s="43"/>
      <c r="R369" s="59"/>
      <c r="S369" s="61">
        <f t="shared" si="361"/>
        <v>0</v>
      </c>
      <c r="T369" s="41"/>
      <c r="U369" s="42"/>
      <c r="V369" s="43"/>
      <c r="W369" s="59"/>
      <c r="X369" s="61">
        <f t="shared" si="362"/>
        <v>0</v>
      </c>
      <c r="Y369" s="104">
        <f t="shared" si="338"/>
        <v>0</v>
      </c>
      <c r="Z369" s="56"/>
    </row>
    <row r="370" spans="1:26" x14ac:dyDescent="0.15">
      <c r="A370" s="47" t="s">
        <v>686</v>
      </c>
      <c r="B370" s="16"/>
      <c r="C370" s="29"/>
      <c r="D370" s="17">
        <v>2</v>
      </c>
      <c r="E370" s="20"/>
      <c r="F370" s="45">
        <f t="shared" si="349"/>
        <v>2</v>
      </c>
      <c r="G370" s="16"/>
      <c r="H370" s="29">
        <v>1</v>
      </c>
      <c r="I370" s="17"/>
      <c r="J370" s="20"/>
      <c r="K370" s="45">
        <f t="shared" si="350"/>
        <v>1</v>
      </c>
      <c r="L370" s="104">
        <f t="shared" si="337"/>
        <v>3</v>
      </c>
      <c r="M370" s="56">
        <v>45938</v>
      </c>
      <c r="N370" s="33"/>
      <c r="O370" s="16"/>
      <c r="P370" s="29"/>
      <c r="Q370" s="17"/>
      <c r="R370" s="32"/>
      <c r="S370" s="9">
        <f>SUM(O370:R370)</f>
        <v>0</v>
      </c>
      <c r="T370" s="16"/>
      <c r="U370" s="29"/>
      <c r="V370" s="17"/>
      <c r="W370" s="32"/>
      <c r="X370" s="9">
        <f>SUM(T370:W370)</f>
        <v>0</v>
      </c>
      <c r="Y370" s="104">
        <f t="shared" si="338"/>
        <v>0</v>
      </c>
      <c r="Z370" s="56"/>
    </row>
    <row r="371" spans="1:26" x14ac:dyDescent="0.15">
      <c r="A371" s="47" t="s">
        <v>688</v>
      </c>
      <c r="B371" s="16"/>
      <c r="C371" s="29"/>
      <c r="D371" s="17">
        <v>-3</v>
      </c>
      <c r="E371" s="20"/>
      <c r="F371" s="45">
        <f t="shared" si="349"/>
        <v>-3</v>
      </c>
      <c r="G371" s="16">
        <v>-3</v>
      </c>
      <c r="H371" s="29"/>
      <c r="I371" s="17"/>
      <c r="J371" s="20"/>
      <c r="K371" s="45">
        <f t="shared" si="350"/>
        <v>-3</v>
      </c>
      <c r="L371" s="104">
        <f t="shared" si="337"/>
        <v>-6</v>
      </c>
      <c r="M371" s="56">
        <v>45937</v>
      </c>
      <c r="N371" s="11"/>
      <c r="O371" s="16"/>
      <c r="P371" s="17"/>
      <c r="Q371" s="29"/>
      <c r="R371" s="60"/>
      <c r="S371" s="9">
        <f t="shared" ref="S371:S377" si="363">SUM(O371:R371)</f>
        <v>0</v>
      </c>
      <c r="T371" s="16"/>
      <c r="U371" s="17"/>
      <c r="V371" s="29"/>
      <c r="W371" s="60"/>
      <c r="X371" s="9">
        <f t="shared" ref="X371:X377" si="364">SUM(T371:W371)</f>
        <v>0</v>
      </c>
      <c r="Y371" s="104">
        <f t="shared" si="338"/>
        <v>0</v>
      </c>
    </row>
    <row r="372" spans="1:26" x14ac:dyDescent="0.15">
      <c r="A372" s="47" t="s">
        <v>45</v>
      </c>
      <c r="B372" s="16"/>
      <c r="C372" s="29"/>
      <c r="D372" s="17"/>
      <c r="E372" s="20"/>
      <c r="F372" s="45">
        <f t="shared" si="349"/>
        <v>0</v>
      </c>
      <c r="G372" s="16">
        <v>1</v>
      </c>
      <c r="H372" s="29">
        <v>1</v>
      </c>
      <c r="I372" s="17">
        <v>3</v>
      </c>
      <c r="J372" s="20">
        <v>1</v>
      </c>
      <c r="K372" s="45">
        <f t="shared" si="350"/>
        <v>6</v>
      </c>
      <c r="L372" s="104">
        <f t="shared" si="337"/>
        <v>6</v>
      </c>
      <c r="M372" s="58">
        <v>45936</v>
      </c>
      <c r="N372" s="11"/>
      <c r="O372" s="16"/>
      <c r="P372" s="17"/>
      <c r="Q372" s="29"/>
      <c r="R372" s="60"/>
      <c r="S372" s="9">
        <f t="shared" ref="S372:S375" si="365">SUM(O372:R372)</f>
        <v>0</v>
      </c>
      <c r="T372" s="16"/>
      <c r="U372" s="17"/>
      <c r="V372" s="29"/>
      <c r="W372" s="60"/>
      <c r="X372" s="9">
        <f t="shared" ref="X372:X375" si="366">SUM(T372:W372)</f>
        <v>0</v>
      </c>
      <c r="Y372" s="104">
        <f t="shared" ref="Y372:Y375" si="367">S372+X372</f>
        <v>0</v>
      </c>
    </row>
    <row r="373" spans="1:26" x14ac:dyDescent="0.15">
      <c r="A373" s="254" t="s">
        <v>689</v>
      </c>
      <c r="B373" s="255"/>
      <c r="C373" s="256"/>
      <c r="D373" s="257"/>
      <c r="E373" s="258"/>
      <c r="F373" s="259">
        <f t="shared" si="349"/>
        <v>0</v>
      </c>
      <c r="G373" s="255"/>
      <c r="H373" s="256"/>
      <c r="I373" s="257">
        <v>-5</v>
      </c>
      <c r="J373" s="258"/>
      <c r="K373" s="259">
        <f t="shared" si="350"/>
        <v>-5</v>
      </c>
      <c r="L373" s="260">
        <f t="shared" si="337"/>
        <v>-5</v>
      </c>
      <c r="M373" s="261">
        <v>45938</v>
      </c>
      <c r="N373" s="11"/>
      <c r="O373" s="16"/>
      <c r="P373" s="17"/>
      <c r="Q373" s="29"/>
      <c r="R373" s="60"/>
      <c r="S373" s="9">
        <f t="shared" si="365"/>
        <v>0</v>
      </c>
      <c r="T373" s="16"/>
      <c r="U373" s="17"/>
      <c r="V373" s="29"/>
      <c r="W373" s="60"/>
      <c r="X373" s="9">
        <f t="shared" si="366"/>
        <v>0</v>
      </c>
      <c r="Y373" s="104">
        <f t="shared" si="367"/>
        <v>0</v>
      </c>
    </row>
    <row r="374" spans="1:26" x14ac:dyDescent="0.15">
      <c r="A374" s="47" t="s">
        <v>690</v>
      </c>
      <c r="B374" s="16"/>
      <c r="C374" s="29"/>
      <c r="D374" s="17"/>
      <c r="E374" s="20"/>
      <c r="F374" s="45">
        <f t="shared" si="349"/>
        <v>0</v>
      </c>
      <c r="G374" s="16">
        <v>1</v>
      </c>
      <c r="H374" s="29">
        <v>1</v>
      </c>
      <c r="I374" s="17"/>
      <c r="J374" s="20"/>
      <c r="K374" s="45">
        <f t="shared" si="350"/>
        <v>2</v>
      </c>
      <c r="L374" s="104">
        <f t="shared" si="337"/>
        <v>2</v>
      </c>
      <c r="M374" s="56">
        <v>45939</v>
      </c>
      <c r="N374" s="137" t="s">
        <v>548</v>
      </c>
      <c r="O374" s="201"/>
      <c r="P374" s="202"/>
      <c r="Q374" s="203"/>
      <c r="R374" s="204"/>
      <c r="S374" s="175">
        <f t="shared" si="365"/>
        <v>0</v>
      </c>
      <c r="T374" s="171"/>
      <c r="U374" s="172"/>
      <c r="V374" s="173"/>
      <c r="W374" s="174"/>
      <c r="X374" s="175">
        <f t="shared" si="366"/>
        <v>0</v>
      </c>
      <c r="Y374" s="169">
        <f t="shared" si="367"/>
        <v>0</v>
      </c>
      <c r="Z374" s="224"/>
    </row>
    <row r="375" spans="1:26" x14ac:dyDescent="0.15">
      <c r="A375" s="47" t="s">
        <v>691</v>
      </c>
      <c r="B375" s="16"/>
      <c r="C375" s="29"/>
      <c r="D375" s="17"/>
      <c r="E375" s="20"/>
      <c r="F375" s="45">
        <f t="shared" si="349"/>
        <v>0</v>
      </c>
      <c r="G375" s="16"/>
      <c r="H375" s="29">
        <v>1</v>
      </c>
      <c r="I375" s="17">
        <f>1+1</f>
        <v>2</v>
      </c>
      <c r="J375" s="20"/>
      <c r="K375" s="45">
        <f t="shared" si="350"/>
        <v>3</v>
      </c>
      <c r="L375" s="104">
        <f t="shared" si="337"/>
        <v>3</v>
      </c>
      <c r="M375" s="56">
        <v>45937</v>
      </c>
      <c r="N375" s="11" t="s">
        <v>547</v>
      </c>
      <c r="O375" s="206"/>
      <c r="P375" s="207"/>
      <c r="Q375" s="208"/>
      <c r="R375" s="209"/>
      <c r="S375" s="9">
        <f t="shared" si="365"/>
        <v>0</v>
      </c>
      <c r="T375" s="16"/>
      <c r="U375" s="29"/>
      <c r="V375" s="17"/>
      <c r="W375" s="32"/>
      <c r="X375" s="9">
        <f t="shared" si="366"/>
        <v>0</v>
      </c>
      <c r="Y375" s="104">
        <f t="shared" si="367"/>
        <v>0</v>
      </c>
      <c r="Z375" s="157" t="s">
        <v>549</v>
      </c>
    </row>
    <row r="376" spans="1:26" ht="14.25" thickBot="1" x14ac:dyDescent="0.2">
      <c r="A376" s="47" t="s">
        <v>45</v>
      </c>
      <c r="B376" s="37"/>
      <c r="C376" s="38"/>
      <c r="D376" s="39"/>
      <c r="E376" s="40"/>
      <c r="F376" s="45">
        <f t="shared" si="349"/>
        <v>0</v>
      </c>
      <c r="G376" s="37"/>
      <c r="H376" s="38"/>
      <c r="I376" s="39">
        <v>2</v>
      </c>
      <c r="J376" s="40"/>
      <c r="K376" s="45">
        <f t="shared" si="350"/>
        <v>2</v>
      </c>
      <c r="L376" s="104">
        <f t="shared" si="337"/>
        <v>2</v>
      </c>
      <c r="M376" s="58">
        <v>45938</v>
      </c>
      <c r="N376" s="128" t="s">
        <v>555</v>
      </c>
      <c r="O376" s="274"/>
      <c r="P376" s="275"/>
      <c r="Q376" s="276"/>
      <c r="R376" s="277"/>
      <c r="S376" s="10">
        <f t="shared" ref="S376" si="368">SUM(O376:R376)</f>
        <v>0</v>
      </c>
      <c r="T376" s="123"/>
      <c r="U376" s="124"/>
      <c r="V376" s="125"/>
      <c r="W376" s="126"/>
      <c r="X376" s="271">
        <f t="shared" ref="X376" si="369">SUM(T376:W376)</f>
        <v>0</v>
      </c>
      <c r="Y376" s="101">
        <f t="shared" ref="Y376" si="370">S376+X376</f>
        <v>0</v>
      </c>
      <c r="Z376" s="157" t="s">
        <v>556</v>
      </c>
    </row>
    <row r="377" spans="1:26" ht="14.25" thickBot="1" x14ac:dyDescent="0.2">
      <c r="A377" s="13" t="s">
        <v>8</v>
      </c>
      <c r="B377" s="22">
        <f>SUM(B352:B376)</f>
        <v>7</v>
      </c>
      <c r="C377" s="30">
        <f>SUM(C352:C376)</f>
        <v>5</v>
      </c>
      <c r="D377" s="23">
        <f>SUM(D352:D376)</f>
        <v>9</v>
      </c>
      <c r="E377" s="24">
        <f>SUM(E352:E376)</f>
        <v>4</v>
      </c>
      <c r="F377" s="21">
        <f t="shared" si="349"/>
        <v>25</v>
      </c>
      <c r="G377" s="22">
        <f>SUM(G352:G376)</f>
        <v>6</v>
      </c>
      <c r="H377" s="30">
        <f>SUM(H352:H376)</f>
        <v>6</v>
      </c>
      <c r="I377" s="23">
        <f>SUM(I352:I376)</f>
        <v>4</v>
      </c>
      <c r="J377" s="24">
        <f>SUM(J352:J376)</f>
        <v>3</v>
      </c>
      <c r="K377" s="21">
        <f>SUM(G377:J377)</f>
        <v>19</v>
      </c>
      <c r="L377" s="105">
        <f t="shared" si="337"/>
        <v>44</v>
      </c>
      <c r="N377" s="273" t="s">
        <v>8</v>
      </c>
      <c r="O377" s="133">
        <f>SUM(O352:O376)</f>
        <v>0</v>
      </c>
      <c r="P377" s="135">
        <f t="shared" ref="P377:R377" si="371">SUM(P352:P376)</f>
        <v>13</v>
      </c>
      <c r="Q377" s="135">
        <f t="shared" si="371"/>
        <v>14</v>
      </c>
      <c r="R377" s="282">
        <f t="shared" si="371"/>
        <v>3</v>
      </c>
      <c r="S377" s="121">
        <f t="shared" si="363"/>
        <v>30</v>
      </c>
      <c r="T377" s="22">
        <f>SUM(T352:T376)</f>
        <v>21</v>
      </c>
      <c r="U377" s="30">
        <f>SUM(U352:U376)</f>
        <v>31</v>
      </c>
      <c r="V377" s="23">
        <f>SUM(V352:V376)</f>
        <v>51</v>
      </c>
      <c r="W377" s="24">
        <f>SUM(W352:W376)</f>
        <v>39</v>
      </c>
      <c r="X377" s="48">
        <f t="shared" si="364"/>
        <v>142</v>
      </c>
      <c r="Y377" s="122">
        <f t="shared" si="338"/>
        <v>172</v>
      </c>
    </row>
    <row r="378" spans="1:26" ht="14.25" thickBot="1" x14ac:dyDescent="0.2">
      <c r="A378" s="14" t="s">
        <v>9</v>
      </c>
      <c r="B378" s="25">
        <f t="shared" ref="B378:K378" si="372">B351-B377</f>
        <v>5</v>
      </c>
      <c r="C378" s="31">
        <f t="shared" si="372"/>
        <v>4</v>
      </c>
      <c r="D378" s="26">
        <f t="shared" si="372"/>
        <v>4</v>
      </c>
      <c r="E378" s="27">
        <f t="shared" si="372"/>
        <v>4</v>
      </c>
      <c r="F378" s="83">
        <f t="shared" si="372"/>
        <v>17</v>
      </c>
      <c r="G378" s="25">
        <f t="shared" si="372"/>
        <v>3</v>
      </c>
      <c r="H378" s="31">
        <f t="shared" si="372"/>
        <v>4</v>
      </c>
      <c r="I378" s="26">
        <f t="shared" si="372"/>
        <v>1</v>
      </c>
      <c r="J378" s="27">
        <f t="shared" si="372"/>
        <v>3</v>
      </c>
      <c r="K378" s="83">
        <f t="shared" si="372"/>
        <v>11</v>
      </c>
      <c r="L378" s="102">
        <f t="shared" si="337"/>
        <v>28</v>
      </c>
      <c r="N378" s="13" t="s">
        <v>9</v>
      </c>
      <c r="O378" s="278">
        <f t="shared" ref="O378:X378" si="373">O351-O377</f>
        <v>101</v>
      </c>
      <c r="P378" s="279">
        <f t="shared" si="373"/>
        <v>101</v>
      </c>
      <c r="Q378" s="280">
        <f t="shared" si="373"/>
        <v>99</v>
      </c>
      <c r="R378" s="281">
        <f t="shared" si="373"/>
        <v>144</v>
      </c>
      <c r="S378" s="36">
        <f t="shared" si="373"/>
        <v>445</v>
      </c>
      <c r="T378" s="25">
        <f t="shared" si="373"/>
        <v>80</v>
      </c>
      <c r="U378" s="31">
        <f t="shared" si="373"/>
        <v>157</v>
      </c>
      <c r="V378" s="26">
        <f t="shared" si="373"/>
        <v>101</v>
      </c>
      <c r="W378" s="27">
        <f t="shared" si="373"/>
        <v>103</v>
      </c>
      <c r="X378" s="36">
        <f t="shared" si="373"/>
        <v>441</v>
      </c>
      <c r="Y378" s="102">
        <f t="shared" si="338"/>
        <v>886</v>
      </c>
    </row>
    <row r="379" spans="1:26" x14ac:dyDescent="0.15">
      <c r="N379" s="190"/>
      <c r="O379" s="71"/>
      <c r="P379" s="71"/>
      <c r="Q379" s="71"/>
      <c r="R379" s="71"/>
      <c r="S379" s="71"/>
      <c r="T379" s="191"/>
      <c r="U379" s="191"/>
      <c r="V379" s="191"/>
      <c r="W379" s="191"/>
      <c r="X379" s="191"/>
    </row>
    <row r="380" spans="1:26" x14ac:dyDescent="0.15">
      <c r="N380" s="190"/>
      <c r="O380" s="116"/>
      <c r="P380" s="116"/>
      <c r="Q380" s="116"/>
      <c r="R380" s="116"/>
      <c r="S380" s="149"/>
      <c r="T380" s="192"/>
      <c r="U380" s="192"/>
      <c r="V380" s="192"/>
      <c r="W380" s="192"/>
      <c r="X380" s="193"/>
    </row>
    <row r="381" spans="1:26" ht="19.5" thickBot="1" x14ac:dyDescent="0.25">
      <c r="A381" s="2" t="s">
        <v>16</v>
      </c>
      <c r="B381" s="2"/>
      <c r="C381" s="1"/>
      <c r="D381" s="1"/>
      <c r="E381" s="1"/>
      <c r="F381" s="84"/>
      <c r="G381" s="2"/>
      <c r="H381" s="1" t="s">
        <v>156</v>
      </c>
      <c r="I381" s="1"/>
      <c r="J381" s="1"/>
      <c r="K381" s="84" t="s">
        <v>13</v>
      </c>
      <c r="L381" s="84"/>
      <c r="N381" s="2" t="s">
        <v>17</v>
      </c>
      <c r="O381" s="71"/>
      <c r="P381" s="71"/>
      <c r="Q381" s="71"/>
      <c r="R381" s="71"/>
      <c r="T381" s="71"/>
      <c r="U381" s="1" t="s">
        <v>156</v>
      </c>
      <c r="V381" s="71"/>
      <c r="W381" s="71"/>
      <c r="X381" s="84" t="s">
        <v>13</v>
      </c>
      <c r="Y381" s="84"/>
    </row>
    <row r="382" spans="1:26" ht="14.25" thickBot="1" x14ac:dyDescent="0.2">
      <c r="A382" s="5" t="s">
        <v>0</v>
      </c>
      <c r="B382" s="328" t="s">
        <v>120</v>
      </c>
      <c r="C382" s="329"/>
      <c r="D382" s="329"/>
      <c r="E382" s="329"/>
      <c r="F382" s="330"/>
      <c r="G382" s="331" t="s">
        <v>14</v>
      </c>
      <c r="H382" s="332"/>
      <c r="I382" s="332"/>
      <c r="J382" s="332"/>
      <c r="K382" s="333"/>
      <c r="L382" s="320" t="s">
        <v>30</v>
      </c>
      <c r="N382" s="5" t="s">
        <v>0</v>
      </c>
      <c r="O382" s="328" t="s">
        <v>202</v>
      </c>
      <c r="P382" s="329"/>
      <c r="Q382" s="329"/>
      <c r="R382" s="329"/>
      <c r="S382" s="330"/>
      <c r="T382" s="331" t="s">
        <v>203</v>
      </c>
      <c r="U382" s="332"/>
      <c r="V382" s="332"/>
      <c r="W382" s="332"/>
      <c r="X382" s="333"/>
      <c r="Y382" s="320" t="s">
        <v>30</v>
      </c>
    </row>
    <row r="383" spans="1:26" ht="14.25" thickBot="1" x14ac:dyDescent="0.2">
      <c r="A383" s="5" t="s">
        <v>1</v>
      </c>
      <c r="B383" s="3" t="s">
        <v>22</v>
      </c>
      <c r="C383" s="28" t="s">
        <v>23</v>
      </c>
      <c r="D383" s="4" t="s">
        <v>24</v>
      </c>
      <c r="E383" s="15" t="s">
        <v>25</v>
      </c>
      <c r="F383" s="19" t="s">
        <v>2</v>
      </c>
      <c r="G383" s="3" t="s">
        <v>22</v>
      </c>
      <c r="H383" s="28" t="s">
        <v>23</v>
      </c>
      <c r="I383" s="4" t="s">
        <v>24</v>
      </c>
      <c r="J383" s="15" t="s">
        <v>25</v>
      </c>
      <c r="K383" s="19" t="s">
        <v>2</v>
      </c>
      <c r="L383" s="321"/>
      <c r="N383" s="5" t="s">
        <v>1</v>
      </c>
      <c r="O383" s="3" t="s">
        <v>22</v>
      </c>
      <c r="P383" s="28" t="s">
        <v>23</v>
      </c>
      <c r="Q383" s="4" t="s">
        <v>24</v>
      </c>
      <c r="R383" s="15" t="s">
        <v>25</v>
      </c>
      <c r="S383" s="19" t="s">
        <v>2</v>
      </c>
      <c r="T383" s="3" t="s">
        <v>22</v>
      </c>
      <c r="U383" s="28" t="s">
        <v>23</v>
      </c>
      <c r="V383" s="4" t="s">
        <v>24</v>
      </c>
      <c r="W383" s="15" t="s">
        <v>25</v>
      </c>
      <c r="X383" s="19" t="s">
        <v>2</v>
      </c>
      <c r="Y383" s="321"/>
    </row>
    <row r="384" spans="1:26" x14ac:dyDescent="0.15">
      <c r="A384" s="78" t="s">
        <v>10</v>
      </c>
      <c r="B384" s="79">
        <f>B378</f>
        <v>5</v>
      </c>
      <c r="C384" s="80">
        <f>C378</f>
        <v>4</v>
      </c>
      <c r="D384" s="80">
        <f>D378</f>
        <v>4</v>
      </c>
      <c r="E384" s="81">
        <f>E378</f>
        <v>4</v>
      </c>
      <c r="F384" s="82">
        <f>SUM(B384:E384)</f>
        <v>17</v>
      </c>
      <c r="G384" s="79">
        <f>G378</f>
        <v>3</v>
      </c>
      <c r="H384" s="80">
        <f>H378</f>
        <v>4</v>
      </c>
      <c r="I384" s="80">
        <f>I378</f>
        <v>1</v>
      </c>
      <c r="J384" s="81">
        <f>J378</f>
        <v>3</v>
      </c>
      <c r="K384" s="82">
        <f>SUM(G384:J384)</f>
        <v>11</v>
      </c>
      <c r="L384" s="98">
        <f>F384+K384</f>
        <v>28</v>
      </c>
      <c r="N384" s="78" t="s">
        <v>10</v>
      </c>
      <c r="O384" s="79">
        <f>O378</f>
        <v>101</v>
      </c>
      <c r="P384" s="80">
        <f>P378</f>
        <v>101</v>
      </c>
      <c r="Q384" s="80">
        <f>Q378</f>
        <v>99</v>
      </c>
      <c r="R384" s="81">
        <f>R378</f>
        <v>144</v>
      </c>
      <c r="S384" s="82">
        <f>SUM(O384:R384)</f>
        <v>445</v>
      </c>
      <c r="T384" s="79">
        <f>T378</f>
        <v>80</v>
      </c>
      <c r="U384" s="80">
        <f>U378</f>
        <v>157</v>
      </c>
      <c r="V384" s="80">
        <f>V378</f>
        <v>101</v>
      </c>
      <c r="W384" s="81">
        <f>W378</f>
        <v>103</v>
      </c>
      <c r="X384" s="82">
        <f>SUM(T384:W384)</f>
        <v>441</v>
      </c>
      <c r="Y384" s="98">
        <f>S384+X384</f>
        <v>886</v>
      </c>
    </row>
    <row r="385" spans="1:27" x14ac:dyDescent="0.15">
      <c r="A385" s="254" t="s">
        <v>3</v>
      </c>
      <c r="B385" s="262"/>
      <c r="C385" s="263"/>
      <c r="D385" s="264"/>
      <c r="E385" s="265"/>
      <c r="F385" s="266">
        <f>SUM(B385:E385)</f>
        <v>0</v>
      </c>
      <c r="G385" s="262">
        <v>3</v>
      </c>
      <c r="H385" s="263"/>
      <c r="I385" s="264">
        <v>3</v>
      </c>
      <c r="J385" s="265">
        <v>3</v>
      </c>
      <c r="K385" s="266">
        <f>SUM(G385:J385)</f>
        <v>9</v>
      </c>
      <c r="L385" s="267">
        <f t="shared" ref="L385:L416" si="374">F385+K385</f>
        <v>9</v>
      </c>
      <c r="M385" s="261">
        <v>45939</v>
      </c>
      <c r="N385" s="12" t="s">
        <v>11</v>
      </c>
      <c r="O385" s="16"/>
      <c r="P385" s="29"/>
      <c r="Q385" s="17"/>
      <c r="R385" s="20"/>
      <c r="S385" s="45">
        <f>SUM(O385:R385)</f>
        <v>0</v>
      </c>
      <c r="T385" s="16"/>
      <c r="U385" s="29"/>
      <c r="V385" s="17"/>
      <c r="W385" s="20"/>
      <c r="X385" s="45">
        <f>SUM(T385:W385)</f>
        <v>0</v>
      </c>
      <c r="Y385" s="100">
        <f t="shared" ref="Y385:Y416" si="375">S385+X385</f>
        <v>0</v>
      </c>
    </row>
    <row r="386" spans="1:27" x14ac:dyDescent="0.15">
      <c r="A386" s="12" t="s">
        <v>699</v>
      </c>
      <c r="B386" s="6"/>
      <c r="C386" s="18">
        <v>1</v>
      </c>
      <c r="D386" s="7"/>
      <c r="E386" s="8"/>
      <c r="F386" s="9">
        <f>SUM(B386:E386)</f>
        <v>1</v>
      </c>
      <c r="G386" s="6"/>
      <c r="H386" s="18"/>
      <c r="I386" s="7"/>
      <c r="J386" s="8"/>
      <c r="K386" s="9">
        <f>SUM(G386:J386)</f>
        <v>0</v>
      </c>
      <c r="L386" s="100">
        <f t="shared" si="374"/>
        <v>1</v>
      </c>
      <c r="M386" s="58">
        <v>45939</v>
      </c>
      <c r="N386" s="12" t="s">
        <v>3</v>
      </c>
      <c r="O386" s="16"/>
      <c r="P386" s="29"/>
      <c r="Q386" s="17"/>
      <c r="R386" s="20"/>
      <c r="S386" s="45">
        <f t="shared" ref="S386" si="376">SUM(O386:R386)</f>
        <v>0</v>
      </c>
      <c r="T386" s="16"/>
      <c r="U386" s="29"/>
      <c r="V386" s="17"/>
      <c r="W386" s="20"/>
      <c r="X386" s="45">
        <f t="shared" ref="X386" si="377">SUM(T386:W386)</f>
        <v>0</v>
      </c>
      <c r="Y386" s="100">
        <f t="shared" si="375"/>
        <v>0</v>
      </c>
    </row>
    <row r="387" spans="1:27" x14ac:dyDescent="0.15">
      <c r="A387" s="12" t="s">
        <v>268</v>
      </c>
      <c r="B387" s="6"/>
      <c r="C387" s="18"/>
      <c r="D387" s="7"/>
      <c r="E387" s="8"/>
      <c r="F387" s="9">
        <f>SUM(B387:E387)</f>
        <v>0</v>
      </c>
      <c r="G387" s="6"/>
      <c r="H387" s="18">
        <v>1</v>
      </c>
      <c r="I387" s="7"/>
      <c r="J387" s="8">
        <v>1</v>
      </c>
      <c r="K387" s="9">
        <f>SUM(G387:J387)</f>
        <v>2</v>
      </c>
      <c r="L387" s="100">
        <f t="shared" si="374"/>
        <v>2</v>
      </c>
      <c r="M387" s="58">
        <v>45945</v>
      </c>
      <c r="N387" s="12" t="s">
        <v>4</v>
      </c>
      <c r="O387" s="16"/>
      <c r="P387" s="29"/>
      <c r="Q387" s="17"/>
      <c r="R387" s="20"/>
      <c r="S387" s="45">
        <f t="shared" ref="S387" si="378">SUM(O387:R387)</f>
        <v>0</v>
      </c>
      <c r="T387" s="16"/>
      <c r="U387" s="29"/>
      <c r="V387" s="17"/>
      <c r="W387" s="20"/>
      <c r="X387" s="45">
        <f t="shared" ref="X387" si="379">SUM(T387:W387)</f>
        <v>0</v>
      </c>
      <c r="Y387" s="100">
        <f t="shared" ref="Y387" si="380">S387+X387</f>
        <v>0</v>
      </c>
    </row>
    <row r="388" spans="1:27" ht="14.25" thickBot="1" x14ac:dyDescent="0.2">
      <c r="A388" s="12" t="s">
        <v>360</v>
      </c>
      <c r="B388" s="6">
        <v>2</v>
      </c>
      <c r="C388" s="18">
        <v>3</v>
      </c>
      <c r="D388" s="7">
        <v>3</v>
      </c>
      <c r="E388" s="8">
        <v>2</v>
      </c>
      <c r="F388" s="10">
        <f>SUM(B388:E388)</f>
        <v>10</v>
      </c>
      <c r="G388" s="6"/>
      <c r="H388" s="18"/>
      <c r="I388" s="7"/>
      <c r="J388" s="8"/>
      <c r="K388" s="10">
        <f>SUM(G388:J388)</f>
        <v>0</v>
      </c>
      <c r="L388" s="101">
        <f t="shared" si="374"/>
        <v>10</v>
      </c>
      <c r="M388" s="58">
        <v>45945</v>
      </c>
      <c r="N388" s="12" t="s">
        <v>5</v>
      </c>
      <c r="O388" s="16"/>
      <c r="P388" s="29"/>
      <c r="Q388" s="17"/>
      <c r="R388" s="20"/>
      <c r="S388" s="45">
        <f t="shared" ref="S388" si="381">SUM(O388:R388)</f>
        <v>0</v>
      </c>
      <c r="T388" s="16"/>
      <c r="U388" s="29"/>
      <c r="V388" s="17"/>
      <c r="W388" s="20"/>
      <c r="X388" s="45">
        <f t="shared" ref="X388" si="382">SUM(T388:W388)</f>
        <v>0</v>
      </c>
      <c r="Y388" s="100">
        <f t="shared" si="375"/>
        <v>0</v>
      </c>
    </row>
    <row r="389" spans="1:27" ht="14.25" thickBot="1" x14ac:dyDescent="0.2">
      <c r="A389" s="14" t="s">
        <v>7</v>
      </c>
      <c r="B389" s="62">
        <f t="shared" ref="B389:K389" si="383">SUM(B384:B388)</f>
        <v>7</v>
      </c>
      <c r="C389" s="63">
        <f t="shared" si="383"/>
        <v>8</v>
      </c>
      <c r="D389" s="64">
        <f t="shared" si="383"/>
        <v>7</v>
      </c>
      <c r="E389" s="65">
        <f t="shared" si="383"/>
        <v>6</v>
      </c>
      <c r="F389" s="66">
        <f t="shared" si="383"/>
        <v>28</v>
      </c>
      <c r="G389" s="62">
        <f t="shared" si="383"/>
        <v>6</v>
      </c>
      <c r="H389" s="63">
        <f t="shared" si="383"/>
        <v>5</v>
      </c>
      <c r="I389" s="64">
        <f t="shared" si="383"/>
        <v>4</v>
      </c>
      <c r="J389" s="65">
        <f t="shared" si="383"/>
        <v>7</v>
      </c>
      <c r="K389" s="66">
        <f t="shared" si="383"/>
        <v>22</v>
      </c>
      <c r="L389" s="102">
        <f t="shared" si="374"/>
        <v>50</v>
      </c>
      <c r="N389" s="13" t="s">
        <v>7</v>
      </c>
      <c r="O389" s="25">
        <f t="shared" ref="O389:X389" si="384">SUM(O384:O388)</f>
        <v>101</v>
      </c>
      <c r="P389" s="31">
        <f t="shared" si="384"/>
        <v>101</v>
      </c>
      <c r="Q389" s="26">
        <f t="shared" si="384"/>
        <v>99</v>
      </c>
      <c r="R389" s="67">
        <f t="shared" si="384"/>
        <v>144</v>
      </c>
      <c r="S389" s="68">
        <f t="shared" si="384"/>
        <v>445</v>
      </c>
      <c r="T389" s="25">
        <f t="shared" si="384"/>
        <v>80</v>
      </c>
      <c r="U389" s="31">
        <f t="shared" si="384"/>
        <v>157</v>
      </c>
      <c r="V389" s="26">
        <f t="shared" si="384"/>
        <v>101</v>
      </c>
      <c r="W389" s="67">
        <f t="shared" si="384"/>
        <v>103</v>
      </c>
      <c r="X389" s="68">
        <f t="shared" si="384"/>
        <v>441</v>
      </c>
      <c r="Y389" s="102">
        <f t="shared" si="375"/>
        <v>886</v>
      </c>
    </row>
    <row r="390" spans="1:27" x14ac:dyDescent="0.15">
      <c r="A390" s="47" t="s">
        <v>692</v>
      </c>
      <c r="B390" s="41"/>
      <c r="C390" s="42"/>
      <c r="D390" s="43"/>
      <c r="E390" s="44"/>
      <c r="F390" s="70">
        <f t="shared" ref="F390:F415" si="385">SUM(B390:E390)</f>
        <v>0</v>
      </c>
      <c r="G390" s="41"/>
      <c r="H390" s="42"/>
      <c r="I390" s="43"/>
      <c r="J390" s="44">
        <v>1</v>
      </c>
      <c r="K390" s="70">
        <f t="shared" ref="K390:K414" si="386">SUM(G390:J390)</f>
        <v>1</v>
      </c>
      <c r="L390" s="103">
        <f t="shared" si="374"/>
        <v>1</v>
      </c>
      <c r="M390" s="56">
        <v>45940</v>
      </c>
      <c r="N390" s="11" t="s">
        <v>713</v>
      </c>
      <c r="O390" s="16"/>
      <c r="P390" s="29"/>
      <c r="Q390" s="17"/>
      <c r="R390" s="32"/>
      <c r="S390" s="9">
        <f t="shared" ref="S390:S394" si="387">SUM(O390:R390)</f>
        <v>0</v>
      </c>
      <c r="T390" s="16">
        <v>5</v>
      </c>
      <c r="U390" s="29">
        <v>4</v>
      </c>
      <c r="V390" s="17">
        <v>12</v>
      </c>
      <c r="W390" s="32">
        <v>10</v>
      </c>
      <c r="X390" s="9">
        <f t="shared" ref="X390:X394" si="388">SUM(T390:W390)</f>
        <v>31</v>
      </c>
      <c r="Y390" s="104">
        <f t="shared" ref="Y390:Y394" si="389">S390+X390</f>
        <v>31</v>
      </c>
      <c r="Z390" s="56">
        <v>45967</v>
      </c>
    </row>
    <row r="391" spans="1:27" x14ac:dyDescent="0.15">
      <c r="A391" s="47" t="s">
        <v>45</v>
      </c>
      <c r="B391" s="16"/>
      <c r="C391" s="29">
        <v>1</v>
      </c>
      <c r="D391" s="17"/>
      <c r="E391" s="20"/>
      <c r="F391" s="45">
        <f t="shared" si="385"/>
        <v>1</v>
      </c>
      <c r="G391" s="16"/>
      <c r="H391" s="29">
        <v>1</v>
      </c>
      <c r="I391" s="17"/>
      <c r="J391" s="20"/>
      <c r="K391" s="45">
        <f t="shared" si="386"/>
        <v>1</v>
      </c>
      <c r="L391" s="104">
        <f t="shared" si="374"/>
        <v>2</v>
      </c>
      <c r="M391" s="56">
        <v>45939</v>
      </c>
      <c r="N391" s="268" t="s">
        <v>716</v>
      </c>
      <c r="O391" s="255"/>
      <c r="P391" s="256"/>
      <c r="Q391" s="257"/>
      <c r="R391" s="269"/>
      <c r="S391" s="270">
        <f t="shared" si="387"/>
        <v>0</v>
      </c>
      <c r="T391" s="255"/>
      <c r="U391" s="256">
        <v>3</v>
      </c>
      <c r="V391" s="257">
        <v>3</v>
      </c>
      <c r="W391" s="269"/>
      <c r="X391" s="270">
        <f t="shared" si="388"/>
        <v>6</v>
      </c>
      <c r="Y391" s="260">
        <f t="shared" si="389"/>
        <v>6</v>
      </c>
      <c r="Z391" s="261">
        <v>45951</v>
      </c>
    </row>
    <row r="392" spans="1:27" x14ac:dyDescent="0.15">
      <c r="A392" s="47" t="s">
        <v>695</v>
      </c>
      <c r="B392" s="16"/>
      <c r="C392" s="29"/>
      <c r="D392" s="17"/>
      <c r="E392" s="20"/>
      <c r="F392" s="45">
        <f t="shared" si="385"/>
        <v>0</v>
      </c>
      <c r="G392" s="16">
        <v>1</v>
      </c>
      <c r="H392" s="29"/>
      <c r="I392" s="17"/>
      <c r="J392" s="20"/>
      <c r="K392" s="45">
        <f t="shared" si="386"/>
        <v>1</v>
      </c>
      <c r="L392" s="104">
        <f t="shared" si="374"/>
        <v>1</v>
      </c>
      <c r="M392" s="56">
        <v>45944</v>
      </c>
      <c r="N392" s="11" t="s">
        <v>742</v>
      </c>
      <c r="O392" s="16"/>
      <c r="P392" s="29"/>
      <c r="Q392" s="17"/>
      <c r="R392" s="32"/>
      <c r="S392" s="9">
        <f t="shared" si="387"/>
        <v>0</v>
      </c>
      <c r="T392" s="16"/>
      <c r="U392" s="29">
        <v>5</v>
      </c>
      <c r="V392" s="17">
        <v>13</v>
      </c>
      <c r="W392" s="32"/>
      <c r="X392" s="9">
        <f t="shared" si="388"/>
        <v>18</v>
      </c>
      <c r="Y392" s="104">
        <f t="shared" si="389"/>
        <v>18</v>
      </c>
      <c r="Z392" s="56">
        <v>45974</v>
      </c>
    </row>
    <row r="393" spans="1:27" x14ac:dyDescent="0.15">
      <c r="A393" s="47" t="s">
        <v>697</v>
      </c>
      <c r="B393" s="16"/>
      <c r="C393" s="29"/>
      <c r="D393" s="17"/>
      <c r="E393" s="20"/>
      <c r="F393" s="45">
        <f t="shared" si="385"/>
        <v>0</v>
      </c>
      <c r="G393" s="16">
        <v>1</v>
      </c>
      <c r="H393" s="29"/>
      <c r="I393" s="17"/>
      <c r="J393" s="20"/>
      <c r="K393" s="45">
        <f t="shared" si="386"/>
        <v>1</v>
      </c>
      <c r="L393" s="104">
        <f t="shared" si="374"/>
        <v>1</v>
      </c>
      <c r="M393" s="56">
        <v>45946</v>
      </c>
      <c r="N393" s="11" t="s">
        <v>744</v>
      </c>
      <c r="O393" s="16"/>
      <c r="P393" s="29"/>
      <c r="Q393" s="17"/>
      <c r="R393" s="32"/>
      <c r="S393" s="9">
        <f t="shared" si="387"/>
        <v>0</v>
      </c>
      <c r="T393" s="16"/>
      <c r="U393" s="29">
        <v>1</v>
      </c>
      <c r="V393" s="17"/>
      <c r="W393" s="32"/>
      <c r="X393" s="9">
        <f t="shared" si="388"/>
        <v>1</v>
      </c>
      <c r="Y393" s="104">
        <f t="shared" si="389"/>
        <v>1</v>
      </c>
      <c r="Z393" s="56">
        <v>45960</v>
      </c>
    </row>
    <row r="394" spans="1:27" x14ac:dyDescent="0.15">
      <c r="A394" s="47" t="s">
        <v>701</v>
      </c>
      <c r="B394" s="16"/>
      <c r="C394" s="29">
        <v>1</v>
      </c>
      <c r="D394" s="17"/>
      <c r="E394" s="20"/>
      <c r="F394" s="45">
        <f t="shared" si="385"/>
        <v>1</v>
      </c>
      <c r="G394" s="16"/>
      <c r="H394" s="29"/>
      <c r="I394" s="17"/>
      <c r="J394" s="20"/>
      <c r="K394" s="45">
        <f t="shared" si="386"/>
        <v>0</v>
      </c>
      <c r="L394" s="104">
        <f t="shared" si="374"/>
        <v>1</v>
      </c>
      <c r="M394" s="56">
        <v>45947</v>
      </c>
      <c r="N394" s="289" t="s">
        <v>729</v>
      </c>
      <c r="O394" s="255"/>
      <c r="P394" s="256"/>
      <c r="Q394" s="257"/>
      <c r="R394" s="269"/>
      <c r="S394" s="270">
        <f t="shared" si="387"/>
        <v>0</v>
      </c>
      <c r="T394" s="255"/>
      <c r="U394" s="256">
        <v>10</v>
      </c>
      <c r="V394" s="257"/>
      <c r="W394" s="269">
        <v>15</v>
      </c>
      <c r="X394" s="270">
        <f t="shared" si="388"/>
        <v>25</v>
      </c>
      <c r="Y394" s="260">
        <f t="shared" si="389"/>
        <v>25</v>
      </c>
      <c r="Z394" s="261">
        <v>45960</v>
      </c>
    </row>
    <row r="395" spans="1:27" x14ac:dyDescent="0.15">
      <c r="A395" s="47" t="s">
        <v>45</v>
      </c>
      <c r="B395" s="16"/>
      <c r="C395" s="29"/>
      <c r="D395" s="17"/>
      <c r="E395" s="20">
        <v>1</v>
      </c>
      <c r="F395" s="45">
        <f t="shared" si="385"/>
        <v>1</v>
      </c>
      <c r="G395" s="16"/>
      <c r="H395" s="29"/>
      <c r="I395" s="17"/>
      <c r="J395" s="20"/>
      <c r="K395" s="45">
        <f t="shared" si="386"/>
        <v>0</v>
      </c>
      <c r="L395" s="104">
        <f t="shared" si="374"/>
        <v>1</v>
      </c>
      <c r="M395" s="58">
        <v>45945</v>
      </c>
      <c r="N395" s="11" t="s">
        <v>746</v>
      </c>
      <c r="O395" s="16"/>
      <c r="P395" s="29"/>
      <c r="Q395" s="17"/>
      <c r="R395" s="32"/>
      <c r="S395" s="9">
        <f t="shared" ref="S395" si="390">SUM(O395:R395)</f>
        <v>0</v>
      </c>
      <c r="T395" s="16"/>
      <c r="U395" s="29">
        <v>11</v>
      </c>
      <c r="V395" s="17">
        <v>7</v>
      </c>
      <c r="W395" s="32"/>
      <c r="X395" s="9">
        <f t="shared" ref="X395" si="391">SUM(T395:W395)</f>
        <v>18</v>
      </c>
      <c r="Y395" s="104">
        <f t="shared" si="375"/>
        <v>18</v>
      </c>
      <c r="Z395" s="56">
        <v>45962</v>
      </c>
    </row>
    <row r="396" spans="1:27" x14ac:dyDescent="0.15">
      <c r="A396" s="47" t="s">
        <v>45</v>
      </c>
      <c r="B396" s="16"/>
      <c r="C396" s="29"/>
      <c r="D396" s="17"/>
      <c r="E396" s="20"/>
      <c r="F396" s="45">
        <f t="shared" si="385"/>
        <v>0</v>
      </c>
      <c r="G396" s="16"/>
      <c r="H396" s="29">
        <v>1</v>
      </c>
      <c r="I396" s="17"/>
      <c r="J396" s="20"/>
      <c r="K396" s="45">
        <f t="shared" si="386"/>
        <v>1</v>
      </c>
      <c r="L396" s="104">
        <f t="shared" si="374"/>
        <v>1</v>
      </c>
      <c r="M396" s="58">
        <v>45946</v>
      </c>
      <c r="N396" s="33" t="s">
        <v>40</v>
      </c>
      <c r="O396" s="16"/>
      <c r="P396" s="29"/>
      <c r="Q396" s="17"/>
      <c r="R396" s="32"/>
      <c r="S396" s="9">
        <f>SUM(O396:R396)</f>
        <v>0</v>
      </c>
      <c r="T396" s="16">
        <v>3</v>
      </c>
      <c r="U396" s="29"/>
      <c r="V396" s="17"/>
      <c r="W396" s="32"/>
      <c r="X396" s="9">
        <f>SUM(T396:W396)</f>
        <v>3</v>
      </c>
      <c r="Y396" s="104">
        <f t="shared" si="375"/>
        <v>3</v>
      </c>
      <c r="Z396" s="56">
        <v>45961</v>
      </c>
      <c r="AA396" s="35"/>
    </row>
    <row r="397" spans="1:27" x14ac:dyDescent="0.15">
      <c r="A397" s="47" t="s">
        <v>45</v>
      </c>
      <c r="B397" s="16"/>
      <c r="C397" s="29"/>
      <c r="D397" s="17"/>
      <c r="E397" s="20"/>
      <c r="F397" s="45">
        <f t="shared" si="385"/>
        <v>0</v>
      </c>
      <c r="G397" s="16"/>
      <c r="H397" s="29"/>
      <c r="I397" s="17"/>
      <c r="J397" s="20">
        <v>1</v>
      </c>
      <c r="K397" s="45">
        <f t="shared" si="386"/>
        <v>1</v>
      </c>
      <c r="L397" s="104">
        <f t="shared" si="374"/>
        <v>1</v>
      </c>
      <c r="M397" s="58">
        <v>45948</v>
      </c>
      <c r="N397" s="11" t="s">
        <v>740</v>
      </c>
      <c r="O397" s="16"/>
      <c r="P397" s="29">
        <v>2</v>
      </c>
      <c r="Q397" s="17">
        <v>3</v>
      </c>
      <c r="R397" s="32"/>
      <c r="S397" s="9">
        <f t="shared" ref="S397:S401" si="392">SUM(O397:R397)</f>
        <v>5</v>
      </c>
      <c r="T397" s="16">
        <v>3</v>
      </c>
      <c r="U397" s="29"/>
      <c r="V397" s="17"/>
      <c r="W397" s="32"/>
      <c r="X397" s="9">
        <f t="shared" ref="X397:X401" si="393">SUM(T397:W397)</f>
        <v>3</v>
      </c>
      <c r="Y397" s="104">
        <f t="shared" si="375"/>
        <v>8</v>
      </c>
      <c r="Z397" s="56">
        <v>45978</v>
      </c>
      <c r="AA397" s="35"/>
    </row>
    <row r="398" spans="1:27" x14ac:dyDescent="0.15">
      <c r="A398" s="47" t="s">
        <v>710</v>
      </c>
      <c r="B398" s="16"/>
      <c r="C398" s="29"/>
      <c r="D398" s="17"/>
      <c r="E398" s="20"/>
      <c r="F398" s="45">
        <f t="shared" si="385"/>
        <v>0</v>
      </c>
      <c r="G398" s="16"/>
      <c r="H398" s="29"/>
      <c r="I398" s="17">
        <v>1</v>
      </c>
      <c r="J398" s="20">
        <v>1</v>
      </c>
      <c r="K398" s="45">
        <f t="shared" si="386"/>
        <v>2</v>
      </c>
      <c r="L398" s="104">
        <f t="shared" si="374"/>
        <v>2</v>
      </c>
      <c r="M398" s="56">
        <v>45952</v>
      </c>
      <c r="N398" s="11" t="s">
        <v>761</v>
      </c>
      <c r="O398" s="16"/>
      <c r="P398" s="29"/>
      <c r="Q398" s="17"/>
      <c r="R398" s="32"/>
      <c r="S398" s="9">
        <f t="shared" si="392"/>
        <v>0</v>
      </c>
      <c r="T398" s="16">
        <v>8</v>
      </c>
      <c r="U398" s="29">
        <v>8</v>
      </c>
      <c r="V398" s="17"/>
      <c r="W398" s="32"/>
      <c r="X398" s="9">
        <f t="shared" si="393"/>
        <v>16</v>
      </c>
      <c r="Y398" s="104">
        <f t="shared" si="375"/>
        <v>16</v>
      </c>
      <c r="Z398" s="56">
        <v>45974</v>
      </c>
    </row>
    <row r="399" spans="1:27" x14ac:dyDescent="0.15">
      <c r="A399" s="33" t="s">
        <v>714</v>
      </c>
      <c r="B399" s="16"/>
      <c r="C399" s="29"/>
      <c r="D399" s="17">
        <v>2</v>
      </c>
      <c r="E399" s="20"/>
      <c r="F399" s="45">
        <f t="shared" si="385"/>
        <v>2</v>
      </c>
      <c r="G399" s="16"/>
      <c r="H399" s="29">
        <v>1</v>
      </c>
      <c r="I399" s="17"/>
      <c r="J399" s="20"/>
      <c r="K399" s="45">
        <f t="shared" si="386"/>
        <v>1</v>
      </c>
      <c r="L399" s="104">
        <f t="shared" si="374"/>
        <v>3</v>
      </c>
      <c r="M399" s="58">
        <v>45950</v>
      </c>
      <c r="N399" s="33" t="s">
        <v>767</v>
      </c>
      <c r="O399" s="16">
        <v>3</v>
      </c>
      <c r="P399" s="29">
        <v>3</v>
      </c>
      <c r="Q399" s="17"/>
      <c r="R399" s="32"/>
      <c r="S399" s="9">
        <f t="shared" si="392"/>
        <v>6</v>
      </c>
      <c r="T399" s="16"/>
      <c r="U399" s="29">
        <v>3</v>
      </c>
      <c r="V399" s="17"/>
      <c r="W399" s="32">
        <v>3</v>
      </c>
      <c r="X399" s="9">
        <f t="shared" si="393"/>
        <v>6</v>
      </c>
      <c r="Y399" s="104">
        <f t="shared" si="375"/>
        <v>12</v>
      </c>
      <c r="Z399" s="56">
        <v>45971</v>
      </c>
    </row>
    <row r="400" spans="1:27" x14ac:dyDescent="0.15">
      <c r="A400" s="254" t="s">
        <v>715</v>
      </c>
      <c r="B400" s="255"/>
      <c r="C400" s="256"/>
      <c r="D400" s="257"/>
      <c r="E400" s="258"/>
      <c r="F400" s="259">
        <f t="shared" si="385"/>
        <v>0</v>
      </c>
      <c r="G400" s="255"/>
      <c r="H400" s="256">
        <v>-3</v>
      </c>
      <c r="I400" s="257">
        <v>-3</v>
      </c>
      <c r="J400" s="258"/>
      <c r="K400" s="259">
        <f t="shared" si="386"/>
        <v>-6</v>
      </c>
      <c r="L400" s="260">
        <f t="shared" si="374"/>
        <v>-6</v>
      </c>
      <c r="M400" s="261">
        <v>45951</v>
      </c>
      <c r="N400" s="11" t="s">
        <v>772</v>
      </c>
      <c r="O400" s="16"/>
      <c r="P400" s="29"/>
      <c r="Q400" s="17"/>
      <c r="R400" s="32"/>
      <c r="S400" s="9">
        <f t="shared" si="392"/>
        <v>0</v>
      </c>
      <c r="T400" s="16"/>
      <c r="U400" s="29">
        <v>3</v>
      </c>
      <c r="V400" s="17">
        <v>3</v>
      </c>
      <c r="W400" s="32">
        <v>5</v>
      </c>
      <c r="X400" s="9">
        <f t="shared" si="393"/>
        <v>11</v>
      </c>
      <c r="Y400" s="104">
        <f t="shared" si="375"/>
        <v>11</v>
      </c>
      <c r="Z400" s="56">
        <v>45988</v>
      </c>
    </row>
    <row r="401" spans="1:26" x14ac:dyDescent="0.15">
      <c r="A401" s="47" t="s">
        <v>719</v>
      </c>
      <c r="B401" s="16"/>
      <c r="C401" s="29"/>
      <c r="D401" s="17"/>
      <c r="E401" s="20"/>
      <c r="F401" s="45">
        <f t="shared" si="385"/>
        <v>0</v>
      </c>
      <c r="G401" s="16"/>
      <c r="H401" s="29"/>
      <c r="I401" s="17"/>
      <c r="J401" s="20">
        <v>1</v>
      </c>
      <c r="K401" s="45">
        <f t="shared" si="386"/>
        <v>1</v>
      </c>
      <c r="L401" s="104">
        <f t="shared" si="374"/>
        <v>1</v>
      </c>
      <c r="M401" s="56">
        <v>45953</v>
      </c>
      <c r="N401" s="33" t="s">
        <v>788</v>
      </c>
      <c r="O401" s="16"/>
      <c r="P401" s="29">
        <v>3</v>
      </c>
      <c r="Q401" s="17">
        <v>3</v>
      </c>
      <c r="R401" s="32">
        <v>3</v>
      </c>
      <c r="S401" s="9">
        <f t="shared" si="392"/>
        <v>9</v>
      </c>
      <c r="T401" s="16"/>
      <c r="U401" s="29"/>
      <c r="V401" s="17">
        <v>3</v>
      </c>
      <c r="W401" s="32"/>
      <c r="X401" s="9">
        <f t="shared" si="393"/>
        <v>3</v>
      </c>
      <c r="Y401" s="104">
        <f t="shared" si="375"/>
        <v>12</v>
      </c>
      <c r="Z401" s="56">
        <v>45988</v>
      </c>
    </row>
    <row r="402" spans="1:26" x14ac:dyDescent="0.15">
      <c r="A402" s="47" t="s">
        <v>730</v>
      </c>
      <c r="B402" s="16"/>
      <c r="C402" s="29">
        <v>1</v>
      </c>
      <c r="D402" s="17"/>
      <c r="E402" s="20"/>
      <c r="F402" s="45">
        <f t="shared" si="385"/>
        <v>1</v>
      </c>
      <c r="G402" s="16"/>
      <c r="H402" s="29"/>
      <c r="I402" s="17"/>
      <c r="J402" s="20"/>
      <c r="K402" s="45">
        <f t="shared" si="386"/>
        <v>0</v>
      </c>
      <c r="L402" s="104">
        <f t="shared" si="374"/>
        <v>1</v>
      </c>
      <c r="M402" s="56">
        <v>45957</v>
      </c>
      <c r="N402" s="33"/>
      <c r="O402" s="16"/>
      <c r="P402" s="29"/>
      <c r="Q402" s="17"/>
      <c r="R402" s="32"/>
      <c r="S402" s="9">
        <f>SUM(O402:R402)</f>
        <v>0</v>
      </c>
      <c r="T402" s="16"/>
      <c r="U402" s="29"/>
      <c r="V402" s="17"/>
      <c r="W402" s="32"/>
      <c r="X402" s="9">
        <f>SUM(T402:W402)</f>
        <v>0</v>
      </c>
      <c r="Y402" s="104">
        <f t="shared" si="375"/>
        <v>0</v>
      </c>
      <c r="Z402" s="157"/>
    </row>
    <row r="403" spans="1:26" x14ac:dyDescent="0.15">
      <c r="A403" s="33" t="s">
        <v>45</v>
      </c>
      <c r="B403" s="16"/>
      <c r="C403" s="29"/>
      <c r="D403" s="17">
        <v>1</v>
      </c>
      <c r="E403" s="20"/>
      <c r="F403" s="45">
        <f t="shared" si="385"/>
        <v>1</v>
      </c>
      <c r="G403" s="16"/>
      <c r="H403" s="29"/>
      <c r="I403" s="17"/>
      <c r="J403" s="20"/>
      <c r="K403" s="45">
        <f t="shared" si="386"/>
        <v>0</v>
      </c>
      <c r="L403" s="104">
        <f t="shared" si="374"/>
        <v>1</v>
      </c>
      <c r="M403" s="58">
        <v>45953</v>
      </c>
      <c r="N403" s="72"/>
      <c r="O403" s="16"/>
      <c r="P403" s="29"/>
      <c r="Q403" s="17"/>
      <c r="R403" s="32"/>
      <c r="S403" s="9">
        <f>SUM(O403:R403)</f>
        <v>0</v>
      </c>
      <c r="T403" s="16"/>
      <c r="U403" s="29"/>
      <c r="V403" s="17"/>
      <c r="W403" s="32"/>
      <c r="X403" s="9">
        <f>SUM(T403:W403)</f>
        <v>0</v>
      </c>
      <c r="Y403" s="104">
        <f t="shared" si="375"/>
        <v>0</v>
      </c>
    </row>
    <row r="404" spans="1:26" x14ac:dyDescent="0.15">
      <c r="A404" s="47" t="s">
        <v>739</v>
      </c>
      <c r="B404" s="16"/>
      <c r="C404" s="29"/>
      <c r="D404" s="17"/>
      <c r="E404" s="20"/>
      <c r="F404" s="45">
        <f t="shared" si="385"/>
        <v>0</v>
      </c>
      <c r="G404" s="16"/>
      <c r="H404" s="29"/>
      <c r="I404" s="17">
        <v>1</v>
      </c>
      <c r="J404" s="20"/>
      <c r="K404" s="45">
        <f t="shared" si="386"/>
        <v>1</v>
      </c>
      <c r="L404" s="104">
        <f t="shared" si="374"/>
        <v>1</v>
      </c>
      <c r="M404" s="56">
        <v>45957</v>
      </c>
      <c r="N404" s="72"/>
      <c r="O404" s="16"/>
      <c r="P404" s="29"/>
      <c r="Q404" s="17"/>
      <c r="R404" s="32"/>
      <c r="S404" s="9">
        <f t="shared" ref="S404:S407" si="394">SUM(O404:R404)</f>
        <v>0</v>
      </c>
      <c r="T404" s="16"/>
      <c r="U404" s="29"/>
      <c r="V404" s="17"/>
      <c r="W404" s="32"/>
      <c r="X404" s="9">
        <f t="shared" ref="X404:X407" si="395">SUM(T404:W404)</f>
        <v>0</v>
      </c>
      <c r="Y404" s="104">
        <f t="shared" si="375"/>
        <v>0</v>
      </c>
    </row>
    <row r="405" spans="1:26" x14ac:dyDescent="0.15">
      <c r="A405" s="47" t="s">
        <v>45</v>
      </c>
      <c r="B405" s="16"/>
      <c r="C405" s="29"/>
      <c r="D405" s="17"/>
      <c r="E405" s="20"/>
      <c r="F405" s="45">
        <f t="shared" si="385"/>
        <v>0</v>
      </c>
      <c r="G405" s="16">
        <v>1</v>
      </c>
      <c r="H405" s="29"/>
      <c r="I405" s="17"/>
      <c r="J405" s="20"/>
      <c r="K405" s="45">
        <f t="shared" si="386"/>
        <v>1</v>
      </c>
      <c r="L405" s="104">
        <f t="shared" si="374"/>
        <v>1</v>
      </c>
      <c r="M405" s="58">
        <v>45957</v>
      </c>
      <c r="N405" s="72"/>
      <c r="O405" s="16"/>
      <c r="P405" s="29"/>
      <c r="Q405" s="17"/>
      <c r="R405" s="32"/>
      <c r="S405" s="9">
        <f t="shared" si="394"/>
        <v>0</v>
      </c>
      <c r="T405" s="16"/>
      <c r="U405" s="29"/>
      <c r="V405" s="17"/>
      <c r="W405" s="32"/>
      <c r="X405" s="9">
        <f t="shared" si="395"/>
        <v>0</v>
      </c>
      <c r="Y405" s="104">
        <f t="shared" si="375"/>
        <v>0</v>
      </c>
    </row>
    <row r="406" spans="1:26" x14ac:dyDescent="0.15">
      <c r="A406" s="47" t="s">
        <v>45</v>
      </c>
      <c r="B406" s="16">
        <v>1</v>
      </c>
      <c r="C406" s="29"/>
      <c r="D406" s="17"/>
      <c r="E406" s="20"/>
      <c r="F406" s="45">
        <f t="shared" si="385"/>
        <v>1</v>
      </c>
      <c r="G406" s="16">
        <v>1</v>
      </c>
      <c r="H406" s="29">
        <v>1</v>
      </c>
      <c r="I406" s="17"/>
      <c r="J406" s="20"/>
      <c r="K406" s="45">
        <f t="shared" si="386"/>
        <v>2</v>
      </c>
      <c r="L406" s="104">
        <f t="shared" si="374"/>
        <v>3</v>
      </c>
      <c r="M406" s="56">
        <v>45959</v>
      </c>
      <c r="N406" s="72"/>
      <c r="O406" s="16"/>
      <c r="P406" s="29"/>
      <c r="Q406" s="17"/>
      <c r="R406" s="32"/>
      <c r="S406" s="9">
        <f t="shared" si="394"/>
        <v>0</v>
      </c>
      <c r="T406" s="16"/>
      <c r="U406" s="29"/>
      <c r="V406" s="17"/>
      <c r="W406" s="32"/>
      <c r="X406" s="9">
        <f t="shared" si="395"/>
        <v>0</v>
      </c>
      <c r="Y406" s="104">
        <f t="shared" si="375"/>
        <v>0</v>
      </c>
    </row>
    <row r="407" spans="1:26" x14ac:dyDescent="0.15">
      <c r="A407" s="47" t="s">
        <v>749</v>
      </c>
      <c r="B407" s="16"/>
      <c r="C407" s="29"/>
      <c r="D407" s="17"/>
      <c r="E407" s="20"/>
      <c r="F407" s="45">
        <f t="shared" si="385"/>
        <v>0</v>
      </c>
      <c r="G407" s="16">
        <v>-3</v>
      </c>
      <c r="H407" s="29"/>
      <c r="I407" s="17"/>
      <c r="J407" s="20"/>
      <c r="K407" s="45">
        <f t="shared" si="386"/>
        <v>-3</v>
      </c>
      <c r="L407" s="104">
        <f t="shared" si="374"/>
        <v>-3</v>
      </c>
      <c r="M407" s="56">
        <v>45961</v>
      </c>
      <c r="N407" s="72"/>
      <c r="O407" s="41"/>
      <c r="P407" s="42"/>
      <c r="Q407" s="43"/>
      <c r="R407" s="59"/>
      <c r="S407" s="61">
        <f t="shared" si="394"/>
        <v>0</v>
      </c>
      <c r="T407" s="41"/>
      <c r="U407" s="42"/>
      <c r="V407" s="43"/>
      <c r="W407" s="59"/>
      <c r="X407" s="61">
        <f t="shared" si="395"/>
        <v>0</v>
      </c>
      <c r="Y407" s="104">
        <f t="shared" si="375"/>
        <v>0</v>
      </c>
    </row>
    <row r="408" spans="1:26" x14ac:dyDescent="0.15">
      <c r="A408" s="47" t="s">
        <v>262</v>
      </c>
      <c r="B408" s="16"/>
      <c r="C408" s="29"/>
      <c r="D408" s="17">
        <v>-1</v>
      </c>
      <c r="E408" s="20"/>
      <c r="F408" s="45">
        <f t="shared" si="385"/>
        <v>-1</v>
      </c>
      <c r="G408" s="16"/>
      <c r="H408" s="29">
        <v>-1</v>
      </c>
      <c r="I408" s="17"/>
      <c r="J408" s="20"/>
      <c r="K408" s="45">
        <f t="shared" si="386"/>
        <v>-1</v>
      </c>
      <c r="L408" s="104">
        <f t="shared" si="374"/>
        <v>-2</v>
      </c>
      <c r="M408" s="58">
        <v>45960</v>
      </c>
      <c r="N408" s="33"/>
      <c r="O408" s="16"/>
      <c r="P408" s="29"/>
      <c r="Q408" s="17"/>
      <c r="R408" s="32"/>
      <c r="S408" s="9">
        <f>SUM(O408:R408)</f>
        <v>0</v>
      </c>
      <c r="T408" s="16"/>
      <c r="U408" s="29"/>
      <c r="V408" s="17"/>
      <c r="W408" s="32"/>
      <c r="X408" s="9">
        <f>SUM(T408:W408)</f>
        <v>0</v>
      </c>
      <c r="Y408" s="104">
        <f t="shared" si="375"/>
        <v>0</v>
      </c>
    </row>
    <row r="409" spans="1:26" x14ac:dyDescent="0.15">
      <c r="A409" s="47" t="s">
        <v>760</v>
      </c>
      <c r="B409" s="16"/>
      <c r="C409" s="29"/>
      <c r="D409" s="17"/>
      <c r="E409" s="20"/>
      <c r="F409" s="45">
        <f t="shared" si="385"/>
        <v>0</v>
      </c>
      <c r="G409" s="16">
        <v>1</v>
      </c>
      <c r="H409" s="29"/>
      <c r="I409" s="17"/>
      <c r="J409" s="20"/>
      <c r="K409" s="45">
        <f t="shared" si="386"/>
        <v>1</v>
      </c>
      <c r="L409" s="104">
        <f t="shared" si="374"/>
        <v>1</v>
      </c>
      <c r="M409" s="58">
        <v>45966</v>
      </c>
      <c r="N409" s="33"/>
      <c r="O409" s="16"/>
      <c r="P409" s="29"/>
      <c r="Q409" s="17"/>
      <c r="R409" s="32"/>
      <c r="S409" s="9">
        <f t="shared" ref="S409:S410" si="396">SUM(O409:R409)</f>
        <v>0</v>
      </c>
      <c r="T409" s="16"/>
      <c r="U409" s="29"/>
      <c r="V409" s="17"/>
      <c r="W409" s="32"/>
      <c r="X409" s="9">
        <f t="shared" ref="X409:X410" si="397">SUM(T409:W409)</f>
        <v>0</v>
      </c>
      <c r="Y409" s="104">
        <f t="shared" ref="Y409:Y410" si="398">S409+X409</f>
        <v>0</v>
      </c>
    </row>
    <row r="410" spans="1:26" x14ac:dyDescent="0.15">
      <c r="A410" s="47" t="s">
        <v>45</v>
      </c>
      <c r="B410" s="16">
        <v>2</v>
      </c>
      <c r="C410" s="29"/>
      <c r="D410" s="17"/>
      <c r="E410" s="20"/>
      <c r="F410" s="45">
        <f t="shared" si="385"/>
        <v>2</v>
      </c>
      <c r="G410" s="16"/>
      <c r="H410" s="29">
        <v>2</v>
      </c>
      <c r="I410" s="17"/>
      <c r="J410" s="20"/>
      <c r="K410" s="45">
        <f t="shared" si="386"/>
        <v>2</v>
      </c>
      <c r="L410" s="104">
        <f t="shared" si="374"/>
        <v>4</v>
      </c>
      <c r="M410" s="58">
        <v>45965</v>
      </c>
      <c r="N410" s="33"/>
      <c r="O410" s="16"/>
      <c r="P410" s="29"/>
      <c r="Q410" s="17"/>
      <c r="R410" s="32"/>
      <c r="S410" s="9">
        <f t="shared" si="396"/>
        <v>0</v>
      </c>
      <c r="T410" s="16"/>
      <c r="U410" s="29"/>
      <c r="V410" s="17"/>
      <c r="W410" s="32"/>
      <c r="X410" s="9">
        <f t="shared" si="397"/>
        <v>0</v>
      </c>
      <c r="Y410" s="104">
        <f t="shared" si="398"/>
        <v>0</v>
      </c>
    </row>
    <row r="411" spans="1:26" x14ac:dyDescent="0.15">
      <c r="A411" s="11" t="s">
        <v>763</v>
      </c>
      <c r="B411" s="16"/>
      <c r="C411" s="29">
        <v>2</v>
      </c>
      <c r="D411" s="17">
        <v>1</v>
      </c>
      <c r="E411" s="20"/>
      <c r="F411" s="45">
        <f t="shared" si="385"/>
        <v>3</v>
      </c>
      <c r="G411" s="16"/>
      <c r="H411" s="29"/>
      <c r="I411" s="17"/>
      <c r="J411" s="20"/>
      <c r="K411" s="45">
        <f t="shared" si="386"/>
        <v>0</v>
      </c>
      <c r="L411" s="104">
        <f t="shared" si="374"/>
        <v>3</v>
      </c>
      <c r="M411" s="56">
        <v>45968</v>
      </c>
      <c r="N411" s="33"/>
      <c r="O411" s="16"/>
      <c r="P411" s="29"/>
      <c r="Q411" s="17"/>
      <c r="R411" s="32"/>
      <c r="S411" s="9">
        <f t="shared" ref="S411:S412" si="399">SUM(O411:R411)</f>
        <v>0</v>
      </c>
      <c r="T411" s="16"/>
      <c r="U411" s="29"/>
      <c r="V411" s="17"/>
      <c r="W411" s="32"/>
      <c r="X411" s="9">
        <f t="shared" ref="X411:X412" si="400">SUM(T411:W411)</f>
        <v>0</v>
      </c>
      <c r="Y411" s="104">
        <f t="shared" ref="Y411:Y412" si="401">S411+X411</f>
        <v>0</v>
      </c>
    </row>
    <row r="412" spans="1:26" x14ac:dyDescent="0.15">
      <c r="A412" s="47" t="s">
        <v>765</v>
      </c>
      <c r="B412" s="16">
        <v>1</v>
      </c>
      <c r="C412" s="29"/>
      <c r="D412" s="17"/>
      <c r="E412" s="20">
        <v>1</v>
      </c>
      <c r="F412" s="45">
        <f t="shared" si="385"/>
        <v>2</v>
      </c>
      <c r="G412" s="16"/>
      <c r="H412" s="29"/>
      <c r="I412" s="17"/>
      <c r="J412" s="20">
        <v>1</v>
      </c>
      <c r="K412" s="45">
        <f t="shared" si="386"/>
        <v>1</v>
      </c>
      <c r="L412" s="104">
        <f t="shared" si="374"/>
        <v>3</v>
      </c>
      <c r="M412" s="56">
        <v>45968</v>
      </c>
      <c r="N412" s="33" t="s">
        <v>706</v>
      </c>
      <c r="O412" s="16"/>
      <c r="P412" s="29"/>
      <c r="Q412" s="17"/>
      <c r="R412" s="32"/>
      <c r="S412" s="9">
        <f t="shared" si="399"/>
        <v>0</v>
      </c>
      <c r="T412" s="16"/>
      <c r="U412" s="29"/>
      <c r="V412" s="17"/>
      <c r="W412" s="32"/>
      <c r="X412" s="9">
        <f t="shared" si="400"/>
        <v>0</v>
      </c>
      <c r="Y412" s="104">
        <f t="shared" si="401"/>
        <v>0</v>
      </c>
      <c r="Z412" s="157" t="s">
        <v>707</v>
      </c>
    </row>
    <row r="413" spans="1:26" x14ac:dyDescent="0.15">
      <c r="A413" s="47" t="s">
        <v>766</v>
      </c>
      <c r="B413" s="16">
        <v>-3</v>
      </c>
      <c r="C413" s="29">
        <v>-3</v>
      </c>
      <c r="D413" s="17"/>
      <c r="E413" s="20"/>
      <c r="F413" s="45">
        <f t="shared" si="385"/>
        <v>-6</v>
      </c>
      <c r="G413" s="16"/>
      <c r="H413" s="29">
        <v>-3</v>
      </c>
      <c r="I413" s="17"/>
      <c r="J413" s="20">
        <v>-3</v>
      </c>
      <c r="K413" s="45">
        <f t="shared" si="386"/>
        <v>-6</v>
      </c>
      <c r="L413" s="104">
        <f t="shared" si="374"/>
        <v>-12</v>
      </c>
      <c r="M413" s="56">
        <v>45971</v>
      </c>
      <c r="N413" s="137" t="s">
        <v>648</v>
      </c>
      <c r="O413" s="171"/>
      <c r="P413" s="172"/>
      <c r="Q413" s="173"/>
      <c r="R413" s="174"/>
      <c r="S413" s="175">
        <f t="shared" ref="S413" si="402">SUM(O413:R413)</f>
        <v>0</v>
      </c>
      <c r="T413" s="171"/>
      <c r="U413" s="172"/>
      <c r="V413" s="173"/>
      <c r="W413" s="174"/>
      <c r="X413" s="175">
        <f t="shared" ref="X413" si="403">SUM(T413:W413)</f>
        <v>0</v>
      </c>
      <c r="Y413" s="205">
        <f t="shared" ref="Y413" si="404">S413+X413</f>
        <v>0</v>
      </c>
      <c r="Z413" s="157"/>
    </row>
    <row r="414" spans="1:26" ht="14.25" thickBot="1" x14ac:dyDescent="0.2">
      <c r="A414" s="47" t="s">
        <v>45</v>
      </c>
      <c r="B414" s="37"/>
      <c r="C414" s="38"/>
      <c r="D414" s="39"/>
      <c r="E414" s="40"/>
      <c r="F414" s="45">
        <f t="shared" si="385"/>
        <v>0</v>
      </c>
      <c r="G414" s="37"/>
      <c r="H414" s="38"/>
      <c r="I414" s="39">
        <v>1</v>
      </c>
      <c r="J414" s="40">
        <v>1</v>
      </c>
      <c r="K414" s="45">
        <f t="shared" si="386"/>
        <v>2</v>
      </c>
      <c r="L414" s="104">
        <f t="shared" si="374"/>
        <v>2</v>
      </c>
      <c r="M414" s="58">
        <v>45971</v>
      </c>
      <c r="N414" s="170" t="s">
        <v>520</v>
      </c>
      <c r="O414" s="37"/>
      <c r="P414" s="38"/>
      <c r="Q414" s="39"/>
      <c r="R414" s="129"/>
      <c r="S414" s="10">
        <f t="shared" ref="S414" si="405">SUM(O414:R414)</f>
        <v>0</v>
      </c>
      <c r="T414" s="37"/>
      <c r="U414" s="38"/>
      <c r="V414" s="39"/>
      <c r="W414" s="129"/>
      <c r="X414" s="10">
        <f t="shared" ref="X414" si="406">SUM(T414:W414)</f>
        <v>0</v>
      </c>
      <c r="Y414" s="101">
        <f t="shared" ref="Y414" si="407">S414+X414</f>
        <v>0</v>
      </c>
      <c r="Z414" s="157" t="s">
        <v>632</v>
      </c>
    </row>
    <row r="415" spans="1:26" ht="14.25" thickBot="1" x14ac:dyDescent="0.2">
      <c r="A415" s="13" t="s">
        <v>8</v>
      </c>
      <c r="B415" s="22">
        <f>SUM(B390:B414)</f>
        <v>1</v>
      </c>
      <c r="C415" s="30">
        <f>SUM(C390:C414)</f>
        <v>2</v>
      </c>
      <c r="D415" s="23">
        <f>SUM(D390:D414)</f>
        <v>3</v>
      </c>
      <c r="E415" s="24">
        <f>SUM(E390:E414)</f>
        <v>2</v>
      </c>
      <c r="F415" s="21">
        <f t="shared" si="385"/>
        <v>8</v>
      </c>
      <c r="G415" s="22">
        <f>SUM(G390:G414)</f>
        <v>2</v>
      </c>
      <c r="H415" s="30">
        <f>SUM(H390:H414)</f>
        <v>-1</v>
      </c>
      <c r="I415" s="23">
        <f>SUM(I390:I414)</f>
        <v>0</v>
      </c>
      <c r="J415" s="24">
        <f>SUM(J390:J414)</f>
        <v>3</v>
      </c>
      <c r="K415" s="21">
        <f>SUM(G415:J415)</f>
        <v>4</v>
      </c>
      <c r="L415" s="105">
        <f t="shared" si="374"/>
        <v>12</v>
      </c>
      <c r="N415" s="49" t="s">
        <v>8</v>
      </c>
      <c r="O415" s="22">
        <f>SUM(O390:O414)</f>
        <v>3</v>
      </c>
      <c r="P415" s="30">
        <f>SUM(P390:P414)</f>
        <v>8</v>
      </c>
      <c r="Q415" s="23">
        <f>SUM(Q390:Q414)</f>
        <v>6</v>
      </c>
      <c r="R415" s="24">
        <f>SUM(R390:R414)</f>
        <v>3</v>
      </c>
      <c r="S415" s="48">
        <f t="shared" ref="S415" si="408">SUM(O415:R415)</f>
        <v>20</v>
      </c>
      <c r="T415" s="22">
        <f>SUM(T390:T414)</f>
        <v>19</v>
      </c>
      <c r="U415" s="30">
        <f>SUM(U390:U414)</f>
        <v>48</v>
      </c>
      <c r="V415" s="23">
        <f>SUM(V390:V414)</f>
        <v>41</v>
      </c>
      <c r="W415" s="24">
        <f>SUM(W390:W414)</f>
        <v>33</v>
      </c>
      <c r="X415" s="48">
        <f t="shared" ref="X415" si="409">SUM(T415:W415)</f>
        <v>141</v>
      </c>
      <c r="Y415" s="122">
        <f t="shared" si="375"/>
        <v>161</v>
      </c>
    </row>
    <row r="416" spans="1:26" ht="14.25" thickBot="1" x14ac:dyDescent="0.2">
      <c r="A416" s="14" t="s">
        <v>9</v>
      </c>
      <c r="B416" s="25">
        <f t="shared" ref="B416:K416" si="410">B389-B415</f>
        <v>6</v>
      </c>
      <c r="C416" s="31">
        <f t="shared" si="410"/>
        <v>6</v>
      </c>
      <c r="D416" s="26">
        <f t="shared" si="410"/>
        <v>4</v>
      </c>
      <c r="E416" s="27">
        <f t="shared" si="410"/>
        <v>4</v>
      </c>
      <c r="F416" s="83">
        <f t="shared" si="410"/>
        <v>20</v>
      </c>
      <c r="G416" s="25">
        <f t="shared" si="410"/>
        <v>4</v>
      </c>
      <c r="H416" s="31">
        <f t="shared" si="410"/>
        <v>6</v>
      </c>
      <c r="I416" s="26">
        <f t="shared" si="410"/>
        <v>4</v>
      </c>
      <c r="J416" s="27">
        <f t="shared" si="410"/>
        <v>4</v>
      </c>
      <c r="K416" s="83">
        <f t="shared" si="410"/>
        <v>18</v>
      </c>
      <c r="L416" s="102">
        <f t="shared" si="374"/>
        <v>38</v>
      </c>
      <c r="N416" s="13" t="s">
        <v>9</v>
      </c>
      <c r="O416" s="25">
        <f t="shared" ref="O416:X416" si="411">O389-O415</f>
        <v>98</v>
      </c>
      <c r="P416" s="31">
        <f t="shared" si="411"/>
        <v>93</v>
      </c>
      <c r="Q416" s="26">
        <f t="shared" si="411"/>
        <v>93</v>
      </c>
      <c r="R416" s="27">
        <f t="shared" si="411"/>
        <v>141</v>
      </c>
      <c r="S416" s="36">
        <f t="shared" si="411"/>
        <v>425</v>
      </c>
      <c r="T416" s="25">
        <f t="shared" si="411"/>
        <v>61</v>
      </c>
      <c r="U416" s="31">
        <f t="shared" si="411"/>
        <v>109</v>
      </c>
      <c r="V416" s="26">
        <f t="shared" si="411"/>
        <v>60</v>
      </c>
      <c r="W416" s="27">
        <f t="shared" si="411"/>
        <v>70</v>
      </c>
      <c r="X416" s="36">
        <f t="shared" si="411"/>
        <v>300</v>
      </c>
      <c r="Y416" s="102">
        <f t="shared" si="375"/>
        <v>725</v>
      </c>
    </row>
    <row r="417" spans="1:27" x14ac:dyDescent="0.15">
      <c r="O417" s="55"/>
      <c r="P417" s="55"/>
      <c r="Q417" s="55"/>
      <c r="R417" s="55"/>
      <c r="S417" s="55"/>
      <c r="T417" s="55"/>
      <c r="U417" s="55"/>
      <c r="V417" s="55"/>
      <c r="W417" s="55"/>
      <c r="X417" s="55"/>
    </row>
    <row r="418" spans="1:27" x14ac:dyDescent="0.15">
      <c r="O418" s="116"/>
      <c r="P418" s="116"/>
      <c r="Q418" s="116"/>
      <c r="R418" s="116"/>
      <c r="S418" s="149"/>
      <c r="T418" s="116"/>
      <c r="U418" s="116"/>
      <c r="V418" s="116"/>
      <c r="W418" s="116"/>
      <c r="X418" s="149"/>
    </row>
    <row r="419" spans="1:27" ht="19.5" thickBot="1" x14ac:dyDescent="0.25">
      <c r="A419" s="2" t="s">
        <v>16</v>
      </c>
      <c r="B419" s="2"/>
      <c r="C419" s="1"/>
      <c r="D419" s="1"/>
      <c r="E419" s="1"/>
      <c r="F419" s="84"/>
      <c r="G419" s="2"/>
      <c r="H419" s="1" t="s">
        <v>156</v>
      </c>
      <c r="I419" s="1"/>
      <c r="J419" s="1"/>
      <c r="K419" s="84" t="s">
        <v>13</v>
      </c>
      <c r="L419" s="84"/>
      <c r="N419" s="2" t="s">
        <v>17</v>
      </c>
      <c r="O419" s="71"/>
      <c r="P419" s="71"/>
      <c r="Q419" s="71"/>
      <c r="R419" s="71"/>
      <c r="T419" s="71"/>
      <c r="U419" s="1" t="s">
        <v>156</v>
      </c>
      <c r="V419" s="71"/>
      <c r="W419" s="71"/>
      <c r="X419" s="84" t="s">
        <v>13</v>
      </c>
      <c r="Y419" s="84"/>
    </row>
    <row r="420" spans="1:27" ht="14.25" thickBot="1" x14ac:dyDescent="0.2">
      <c r="A420" s="5" t="s">
        <v>0</v>
      </c>
      <c r="B420" s="328" t="s">
        <v>120</v>
      </c>
      <c r="C420" s="329"/>
      <c r="D420" s="329"/>
      <c r="E420" s="329"/>
      <c r="F420" s="330"/>
      <c r="G420" s="331" t="s">
        <v>14</v>
      </c>
      <c r="H420" s="332"/>
      <c r="I420" s="332"/>
      <c r="J420" s="332"/>
      <c r="K420" s="333"/>
      <c r="L420" s="320" t="s">
        <v>30</v>
      </c>
      <c r="N420" s="5" t="s">
        <v>0</v>
      </c>
      <c r="O420" s="328" t="s">
        <v>202</v>
      </c>
      <c r="P420" s="329"/>
      <c r="Q420" s="329"/>
      <c r="R420" s="329"/>
      <c r="S420" s="330"/>
      <c r="T420" s="331" t="s">
        <v>203</v>
      </c>
      <c r="U420" s="332"/>
      <c r="V420" s="332"/>
      <c r="W420" s="332"/>
      <c r="X420" s="333"/>
      <c r="Y420" s="320" t="s">
        <v>30</v>
      </c>
    </row>
    <row r="421" spans="1:27" ht="14.25" thickBot="1" x14ac:dyDescent="0.2">
      <c r="A421" s="5" t="s">
        <v>1</v>
      </c>
      <c r="B421" s="3" t="s">
        <v>22</v>
      </c>
      <c r="C421" s="28" t="s">
        <v>23</v>
      </c>
      <c r="D421" s="4" t="s">
        <v>24</v>
      </c>
      <c r="E421" s="15" t="s">
        <v>25</v>
      </c>
      <c r="F421" s="19" t="s">
        <v>2</v>
      </c>
      <c r="G421" s="3" t="s">
        <v>22</v>
      </c>
      <c r="H421" s="28" t="s">
        <v>23</v>
      </c>
      <c r="I421" s="4" t="s">
        <v>24</v>
      </c>
      <c r="J421" s="15" t="s">
        <v>25</v>
      </c>
      <c r="K421" s="19" t="s">
        <v>2</v>
      </c>
      <c r="L421" s="321"/>
      <c r="N421" s="5" t="s">
        <v>1</v>
      </c>
      <c r="O421" s="3" t="s">
        <v>22</v>
      </c>
      <c r="P421" s="28" t="s">
        <v>23</v>
      </c>
      <c r="Q421" s="4" t="s">
        <v>24</v>
      </c>
      <c r="R421" s="15" t="s">
        <v>25</v>
      </c>
      <c r="S421" s="19" t="s">
        <v>2</v>
      </c>
      <c r="T421" s="3" t="s">
        <v>22</v>
      </c>
      <c r="U421" s="28" t="s">
        <v>23</v>
      </c>
      <c r="V421" s="4" t="s">
        <v>24</v>
      </c>
      <c r="W421" s="15" t="s">
        <v>25</v>
      </c>
      <c r="X421" s="19" t="s">
        <v>2</v>
      </c>
      <c r="Y421" s="321"/>
    </row>
    <row r="422" spans="1:27" x14ac:dyDescent="0.15">
      <c r="A422" s="78" t="s">
        <v>10</v>
      </c>
      <c r="B422" s="79">
        <f>B416</f>
        <v>6</v>
      </c>
      <c r="C422" s="80">
        <f>C416</f>
        <v>6</v>
      </c>
      <c r="D422" s="80">
        <f>D416</f>
        <v>4</v>
      </c>
      <c r="E422" s="81">
        <f>E416</f>
        <v>4</v>
      </c>
      <c r="F422" s="82">
        <f>SUM(B422:E422)</f>
        <v>20</v>
      </c>
      <c r="G422" s="79">
        <f>G416</f>
        <v>4</v>
      </c>
      <c r="H422" s="80">
        <f>H416</f>
        <v>6</v>
      </c>
      <c r="I422" s="80">
        <f>I416</f>
        <v>4</v>
      </c>
      <c r="J422" s="81">
        <f>J416</f>
        <v>4</v>
      </c>
      <c r="K422" s="82">
        <f>SUM(G422:J422)</f>
        <v>18</v>
      </c>
      <c r="L422" s="98">
        <f>F422+K422</f>
        <v>38</v>
      </c>
      <c r="N422" s="78" t="s">
        <v>10</v>
      </c>
      <c r="O422" s="79">
        <f>O416</f>
        <v>98</v>
      </c>
      <c r="P422" s="80">
        <f>P416</f>
        <v>93</v>
      </c>
      <c r="Q422" s="80">
        <f>Q416</f>
        <v>93</v>
      </c>
      <c r="R422" s="81">
        <f>R416</f>
        <v>141</v>
      </c>
      <c r="S422" s="82">
        <f>SUM(O422:R422)</f>
        <v>425</v>
      </c>
      <c r="T422" s="79">
        <f>T416</f>
        <v>61</v>
      </c>
      <c r="U422" s="80">
        <f>U416</f>
        <v>109</v>
      </c>
      <c r="V422" s="80">
        <f>V416</f>
        <v>60</v>
      </c>
      <c r="W422" s="81">
        <f>W416</f>
        <v>70</v>
      </c>
      <c r="X422" s="82">
        <f>SUM(T422:W422)</f>
        <v>300</v>
      </c>
      <c r="Y422" s="98">
        <f>S422+X422</f>
        <v>725</v>
      </c>
    </row>
    <row r="423" spans="1:27" x14ac:dyDescent="0.15">
      <c r="A423" s="47" t="s">
        <v>66</v>
      </c>
      <c r="B423" s="51"/>
      <c r="C423" s="52"/>
      <c r="D423" s="53"/>
      <c r="E423" s="54"/>
      <c r="F423" s="61">
        <f>SUM(B423:E423)</f>
        <v>0</v>
      </c>
      <c r="G423" s="51"/>
      <c r="H423" s="52"/>
      <c r="I423" s="53">
        <v>1</v>
      </c>
      <c r="J423" s="54"/>
      <c r="K423" s="61">
        <f>SUM(G423:J423)</f>
        <v>1</v>
      </c>
      <c r="L423" s="99">
        <f t="shared" ref="L423:L454" si="412">F423+K423</f>
        <v>1</v>
      </c>
      <c r="M423" s="58">
        <v>45973</v>
      </c>
      <c r="N423" s="12" t="s">
        <v>71</v>
      </c>
      <c r="O423" s="16">
        <v>0</v>
      </c>
      <c r="P423" s="29">
        <v>0</v>
      </c>
      <c r="Q423" s="17">
        <v>0</v>
      </c>
      <c r="R423" s="20">
        <v>0</v>
      </c>
      <c r="S423" s="45">
        <f t="shared" ref="S423" si="413">SUM(O423:R423)</f>
        <v>0</v>
      </c>
      <c r="T423" s="16">
        <v>50</v>
      </c>
      <c r="U423" s="29">
        <v>50</v>
      </c>
      <c r="V423" s="17">
        <v>20</v>
      </c>
      <c r="W423" s="20">
        <v>20</v>
      </c>
      <c r="X423" s="45">
        <f t="shared" ref="X423" si="414">SUM(T423:W423)</f>
        <v>140</v>
      </c>
      <c r="Y423" s="100">
        <f t="shared" ref="Y423" si="415">S423+X423</f>
        <v>140</v>
      </c>
      <c r="Z423" s="56" t="s">
        <v>799</v>
      </c>
      <c r="AA423" s="35"/>
    </row>
    <row r="424" spans="1:27" x14ac:dyDescent="0.15">
      <c r="A424" s="12" t="s">
        <v>776</v>
      </c>
      <c r="B424" s="6"/>
      <c r="C424" s="18"/>
      <c r="D424" s="7"/>
      <c r="E424" s="8"/>
      <c r="F424" s="9">
        <f>SUM(B424:E424)</f>
        <v>0</v>
      </c>
      <c r="G424" s="6">
        <v>1</v>
      </c>
      <c r="H424" s="18">
        <v>1</v>
      </c>
      <c r="I424" s="7"/>
      <c r="J424" s="8">
        <v>1</v>
      </c>
      <c r="K424" s="9">
        <f>SUM(G424:J424)</f>
        <v>3</v>
      </c>
      <c r="L424" s="100">
        <f t="shared" si="412"/>
        <v>3</v>
      </c>
      <c r="M424" s="58">
        <v>45974</v>
      </c>
      <c r="N424" s="12" t="s">
        <v>615</v>
      </c>
      <c r="O424" s="16">
        <v>0</v>
      </c>
      <c r="P424" s="29">
        <v>0</v>
      </c>
      <c r="Q424" s="17">
        <v>0</v>
      </c>
      <c r="R424" s="20">
        <v>0</v>
      </c>
      <c r="S424" s="45">
        <f t="shared" ref="S424" si="416">SUM(O424:R424)</f>
        <v>0</v>
      </c>
      <c r="T424" s="16">
        <v>50</v>
      </c>
      <c r="U424" s="29">
        <v>60</v>
      </c>
      <c r="V424" s="17">
        <v>40</v>
      </c>
      <c r="W424" s="20">
        <v>30</v>
      </c>
      <c r="X424" s="45">
        <f t="shared" ref="X424" si="417">SUM(T424:W424)</f>
        <v>180</v>
      </c>
      <c r="Y424" s="100">
        <f t="shared" ref="Y424" si="418">S424+X424</f>
        <v>180</v>
      </c>
      <c r="Z424" s="56" t="s">
        <v>799</v>
      </c>
      <c r="AA424" s="35"/>
    </row>
    <row r="425" spans="1:27" x14ac:dyDescent="0.15">
      <c r="A425" s="12" t="s">
        <v>787</v>
      </c>
      <c r="B425" s="6"/>
      <c r="C425" s="18"/>
      <c r="D425" s="7"/>
      <c r="E425" s="8">
        <v>2</v>
      </c>
      <c r="F425" s="9">
        <f>SUM(B425:E425)</f>
        <v>2</v>
      </c>
      <c r="G425" s="6"/>
      <c r="H425" s="18">
        <v>1</v>
      </c>
      <c r="I425" s="7"/>
      <c r="J425" s="8"/>
      <c r="K425" s="9">
        <f>SUM(G425:J425)</f>
        <v>1</v>
      </c>
      <c r="L425" s="100">
        <f t="shared" si="412"/>
        <v>3</v>
      </c>
      <c r="M425" s="56">
        <v>45978</v>
      </c>
      <c r="N425" s="12" t="s">
        <v>47</v>
      </c>
      <c r="O425" s="16"/>
      <c r="P425" s="29"/>
      <c r="Q425" s="17"/>
      <c r="R425" s="20"/>
      <c r="S425" s="45">
        <f t="shared" ref="S425" si="419">SUM(O425:R425)</f>
        <v>0</v>
      </c>
      <c r="T425" s="16"/>
      <c r="U425" s="29">
        <v>1</v>
      </c>
      <c r="V425" s="17"/>
      <c r="W425" s="20">
        <v>1</v>
      </c>
      <c r="X425" s="45">
        <f t="shared" ref="X425" si="420">SUM(T425:W425)</f>
        <v>2</v>
      </c>
      <c r="Y425" s="100">
        <f t="shared" ref="Y425" si="421">S425+X425</f>
        <v>2</v>
      </c>
      <c r="Z425" s="157"/>
    </row>
    <row r="426" spans="1:27" ht="14.25" thickBot="1" x14ac:dyDescent="0.2">
      <c r="A426" s="12" t="s">
        <v>6</v>
      </c>
      <c r="B426" s="6"/>
      <c r="C426" s="18">
        <v>3</v>
      </c>
      <c r="D426" s="7">
        <v>3</v>
      </c>
      <c r="E426" s="8">
        <v>3</v>
      </c>
      <c r="F426" s="10">
        <f>SUM(B426:E426)</f>
        <v>9</v>
      </c>
      <c r="G426" s="6"/>
      <c r="H426" s="18"/>
      <c r="I426" s="7">
        <v>3</v>
      </c>
      <c r="J426" s="8"/>
      <c r="K426" s="10">
        <f>SUM(G426:J426)</f>
        <v>3</v>
      </c>
      <c r="L426" s="101">
        <f t="shared" si="412"/>
        <v>12</v>
      </c>
      <c r="M426" s="56">
        <v>45988</v>
      </c>
      <c r="N426" s="12" t="s">
        <v>5</v>
      </c>
      <c r="O426" s="16"/>
      <c r="P426" s="29"/>
      <c r="Q426" s="17"/>
      <c r="R426" s="20"/>
      <c r="S426" s="45">
        <f t="shared" ref="S426" si="422">SUM(O426:R426)</f>
        <v>0</v>
      </c>
      <c r="T426" s="16"/>
      <c r="U426" s="29"/>
      <c r="V426" s="17"/>
      <c r="W426" s="20"/>
      <c r="X426" s="45">
        <f t="shared" ref="X426" si="423">SUM(T426:W426)</f>
        <v>0</v>
      </c>
      <c r="Y426" s="100">
        <f t="shared" ref="Y426:Y454" si="424">S426+X426</f>
        <v>0</v>
      </c>
    </row>
    <row r="427" spans="1:27" ht="14.25" thickBot="1" x14ac:dyDescent="0.2">
      <c r="A427" s="14" t="s">
        <v>7</v>
      </c>
      <c r="B427" s="62">
        <f t="shared" ref="B427:K427" si="425">SUM(B422:B426)</f>
        <v>6</v>
      </c>
      <c r="C427" s="63">
        <f t="shared" si="425"/>
        <v>9</v>
      </c>
      <c r="D427" s="64">
        <f t="shared" si="425"/>
        <v>7</v>
      </c>
      <c r="E427" s="65">
        <f t="shared" si="425"/>
        <v>9</v>
      </c>
      <c r="F427" s="66">
        <f t="shared" si="425"/>
        <v>31</v>
      </c>
      <c r="G427" s="62">
        <f t="shared" si="425"/>
        <v>5</v>
      </c>
      <c r="H427" s="63">
        <f t="shared" si="425"/>
        <v>8</v>
      </c>
      <c r="I427" s="64">
        <f t="shared" si="425"/>
        <v>8</v>
      </c>
      <c r="J427" s="65">
        <f t="shared" si="425"/>
        <v>5</v>
      </c>
      <c r="K427" s="66">
        <f t="shared" si="425"/>
        <v>26</v>
      </c>
      <c r="L427" s="102">
        <f t="shared" si="412"/>
        <v>57</v>
      </c>
      <c r="N427" s="13" t="s">
        <v>7</v>
      </c>
      <c r="O427" s="25">
        <f t="shared" ref="O427:X427" si="426">SUM(O422:O426)</f>
        <v>98</v>
      </c>
      <c r="P427" s="31">
        <f t="shared" si="426"/>
        <v>93</v>
      </c>
      <c r="Q427" s="26">
        <f t="shared" si="426"/>
        <v>93</v>
      </c>
      <c r="R427" s="67">
        <f t="shared" si="426"/>
        <v>141</v>
      </c>
      <c r="S427" s="68">
        <f t="shared" si="426"/>
        <v>425</v>
      </c>
      <c r="T427" s="25">
        <f t="shared" si="426"/>
        <v>161</v>
      </c>
      <c r="U427" s="31">
        <f t="shared" si="426"/>
        <v>220</v>
      </c>
      <c r="V427" s="26">
        <f t="shared" si="426"/>
        <v>120</v>
      </c>
      <c r="W427" s="67">
        <f t="shared" si="426"/>
        <v>121</v>
      </c>
      <c r="X427" s="68">
        <f t="shared" si="426"/>
        <v>622</v>
      </c>
      <c r="Y427" s="102">
        <f t="shared" si="424"/>
        <v>1047</v>
      </c>
    </row>
    <row r="428" spans="1:27" x14ac:dyDescent="0.15">
      <c r="A428" s="47" t="s">
        <v>774</v>
      </c>
      <c r="B428" s="41"/>
      <c r="C428" s="42">
        <v>1</v>
      </c>
      <c r="D428" s="43"/>
      <c r="E428" s="44"/>
      <c r="F428" s="70">
        <f t="shared" ref="F428:F453" si="427">SUM(B428:E428)</f>
        <v>1</v>
      </c>
      <c r="G428" s="41"/>
      <c r="H428" s="42"/>
      <c r="I428" s="43"/>
      <c r="J428" s="44"/>
      <c r="K428" s="70">
        <f t="shared" ref="K428:K452" si="428">SUM(G428:J428)</f>
        <v>0</v>
      </c>
      <c r="L428" s="103">
        <f t="shared" si="412"/>
        <v>1</v>
      </c>
      <c r="M428" s="56">
        <v>45974</v>
      </c>
      <c r="N428" s="11" t="s">
        <v>778</v>
      </c>
      <c r="O428" s="16"/>
      <c r="P428" s="29"/>
      <c r="Q428" s="17"/>
      <c r="R428" s="32"/>
      <c r="S428" s="9">
        <f t="shared" ref="S428" si="429">SUM(O428:R428)</f>
        <v>0</v>
      </c>
      <c r="T428" s="16">
        <v>5</v>
      </c>
      <c r="U428" s="29"/>
      <c r="V428" s="17">
        <v>5</v>
      </c>
      <c r="W428" s="32"/>
      <c r="X428" s="9">
        <f t="shared" ref="X428" si="430">SUM(T428:W428)</f>
        <v>10</v>
      </c>
      <c r="Y428" s="104">
        <f t="shared" si="424"/>
        <v>10</v>
      </c>
      <c r="Z428" s="56">
        <v>45995</v>
      </c>
    </row>
    <row r="429" spans="1:27" x14ac:dyDescent="0.15">
      <c r="A429" s="47" t="s">
        <v>45</v>
      </c>
      <c r="B429" s="16"/>
      <c r="C429" s="29"/>
      <c r="D429" s="17"/>
      <c r="E429" s="20"/>
      <c r="F429" s="45">
        <f t="shared" si="427"/>
        <v>0</v>
      </c>
      <c r="G429" s="16"/>
      <c r="H429" s="29"/>
      <c r="I429" s="17"/>
      <c r="J429" s="20">
        <v>1</v>
      </c>
      <c r="K429" s="45">
        <f t="shared" si="428"/>
        <v>1</v>
      </c>
      <c r="L429" s="104">
        <f t="shared" si="412"/>
        <v>1</v>
      </c>
      <c r="M429" s="58">
        <v>45974</v>
      </c>
      <c r="N429" s="11" t="s">
        <v>786</v>
      </c>
      <c r="O429" s="16"/>
      <c r="P429" s="29"/>
      <c r="Q429" s="17"/>
      <c r="R429" s="32"/>
      <c r="S429" s="9">
        <f t="shared" ref="S429:S433" si="431">SUM(O429:R429)</f>
        <v>0</v>
      </c>
      <c r="T429" s="16"/>
      <c r="U429" s="29">
        <v>10</v>
      </c>
      <c r="V429" s="17">
        <v>10</v>
      </c>
      <c r="W429" s="32">
        <v>10</v>
      </c>
      <c r="X429" s="9">
        <f t="shared" ref="X429:X433" si="432">SUM(T429:W429)</f>
        <v>30</v>
      </c>
      <c r="Y429" s="104">
        <f t="shared" si="424"/>
        <v>30</v>
      </c>
      <c r="Z429" s="56">
        <v>46002</v>
      </c>
    </row>
    <row r="430" spans="1:27" x14ac:dyDescent="0.15">
      <c r="A430" s="47" t="s">
        <v>45</v>
      </c>
      <c r="B430" s="16">
        <v>1</v>
      </c>
      <c r="C430" s="29"/>
      <c r="D430" s="17"/>
      <c r="E430" s="20"/>
      <c r="F430" s="45">
        <f t="shared" si="427"/>
        <v>1</v>
      </c>
      <c r="G430" s="16"/>
      <c r="H430" s="29"/>
      <c r="I430" s="17">
        <v>1</v>
      </c>
      <c r="J430" s="20"/>
      <c r="K430" s="45">
        <f t="shared" si="428"/>
        <v>1</v>
      </c>
      <c r="L430" s="104">
        <f t="shared" si="412"/>
        <v>2</v>
      </c>
      <c r="M430" s="58">
        <v>45975</v>
      </c>
      <c r="N430" s="11" t="s">
        <v>756</v>
      </c>
      <c r="O430" s="16">
        <v>5</v>
      </c>
      <c r="P430" s="29">
        <v>20</v>
      </c>
      <c r="Q430" s="17">
        <v>5</v>
      </c>
      <c r="R430" s="32">
        <v>10</v>
      </c>
      <c r="S430" s="9">
        <f t="shared" ref="S430" si="433">SUM(O430:R430)</f>
        <v>40</v>
      </c>
      <c r="T430" s="16">
        <v>5</v>
      </c>
      <c r="U430" s="29">
        <v>5</v>
      </c>
      <c r="V430" s="17">
        <v>5</v>
      </c>
      <c r="W430" s="32">
        <v>10</v>
      </c>
      <c r="X430" s="9">
        <f t="shared" ref="X430" si="434">SUM(T430:W430)</f>
        <v>25</v>
      </c>
      <c r="Y430" s="104">
        <f t="shared" ref="Y430" si="435">S430+X430</f>
        <v>65</v>
      </c>
      <c r="Z430" s="56">
        <v>46000</v>
      </c>
    </row>
    <row r="431" spans="1:27" x14ac:dyDescent="0.15">
      <c r="A431" s="47" t="s">
        <v>45</v>
      </c>
      <c r="B431" s="16"/>
      <c r="C431" s="29"/>
      <c r="D431" s="17">
        <v>1</v>
      </c>
      <c r="E431" s="20"/>
      <c r="F431" s="45">
        <f t="shared" si="427"/>
        <v>1</v>
      </c>
      <c r="G431" s="16"/>
      <c r="H431" s="29"/>
      <c r="I431" s="17"/>
      <c r="J431" s="20"/>
      <c r="K431" s="45">
        <f t="shared" si="428"/>
        <v>0</v>
      </c>
      <c r="L431" s="104">
        <f t="shared" si="412"/>
        <v>1</v>
      </c>
      <c r="M431" s="58">
        <v>45982</v>
      </c>
      <c r="N431" s="268" t="s">
        <v>803</v>
      </c>
      <c r="O431" s="255"/>
      <c r="P431" s="256"/>
      <c r="Q431" s="257"/>
      <c r="R431" s="269">
        <v>3</v>
      </c>
      <c r="S431" s="270">
        <f t="shared" si="431"/>
        <v>3</v>
      </c>
      <c r="T431" s="255"/>
      <c r="U431" s="256"/>
      <c r="V431" s="257">
        <v>3</v>
      </c>
      <c r="W431" s="269">
        <v>3</v>
      </c>
      <c r="X431" s="270">
        <f t="shared" si="432"/>
        <v>6</v>
      </c>
      <c r="Y431" s="260">
        <f t="shared" si="424"/>
        <v>9</v>
      </c>
      <c r="Z431" s="261">
        <v>45993</v>
      </c>
      <c r="AA431" s="292"/>
    </row>
    <row r="432" spans="1:27" x14ac:dyDescent="0.15">
      <c r="A432" s="47" t="s">
        <v>783</v>
      </c>
      <c r="B432" s="16">
        <v>1</v>
      </c>
      <c r="C432" s="29"/>
      <c r="D432" s="17"/>
      <c r="E432" s="20"/>
      <c r="F432" s="45">
        <f t="shared" si="427"/>
        <v>1</v>
      </c>
      <c r="G432" s="16"/>
      <c r="H432" s="29"/>
      <c r="I432" s="17"/>
      <c r="J432" s="20"/>
      <c r="K432" s="45">
        <f t="shared" si="428"/>
        <v>0</v>
      </c>
      <c r="L432" s="104">
        <f t="shared" si="412"/>
        <v>1</v>
      </c>
      <c r="M432" s="58">
        <v>45986</v>
      </c>
      <c r="N432" s="33" t="s">
        <v>812</v>
      </c>
      <c r="O432" s="16">
        <v>6</v>
      </c>
      <c r="P432" s="29">
        <v>7</v>
      </c>
      <c r="Q432" s="17">
        <v>7</v>
      </c>
      <c r="R432" s="32">
        <v>5</v>
      </c>
      <c r="S432" s="9">
        <f t="shared" si="431"/>
        <v>25</v>
      </c>
      <c r="T432" s="16"/>
      <c r="U432" s="29"/>
      <c r="V432" s="17"/>
      <c r="W432" s="32"/>
      <c r="X432" s="9">
        <f t="shared" si="432"/>
        <v>0</v>
      </c>
      <c r="Y432" s="104">
        <f t="shared" si="424"/>
        <v>25</v>
      </c>
      <c r="Z432" s="56">
        <v>45996</v>
      </c>
    </row>
    <row r="433" spans="1:27" x14ac:dyDescent="0.15">
      <c r="A433" s="47" t="s">
        <v>45</v>
      </c>
      <c r="B433" s="16"/>
      <c r="C433" s="29">
        <v>3</v>
      </c>
      <c r="D433" s="17"/>
      <c r="E433" s="20">
        <v>3</v>
      </c>
      <c r="F433" s="45">
        <f t="shared" si="427"/>
        <v>6</v>
      </c>
      <c r="G433" s="16"/>
      <c r="H433" s="29"/>
      <c r="I433" s="17">
        <v>2</v>
      </c>
      <c r="J433" s="20"/>
      <c r="K433" s="45">
        <f t="shared" si="428"/>
        <v>2</v>
      </c>
      <c r="L433" s="104">
        <f t="shared" si="412"/>
        <v>8</v>
      </c>
      <c r="M433" s="58">
        <v>45986</v>
      </c>
      <c r="N433" s="47" t="s">
        <v>813</v>
      </c>
      <c r="O433" s="16"/>
      <c r="P433" s="29"/>
      <c r="Q433" s="17">
        <v>1</v>
      </c>
      <c r="R433" s="32">
        <v>5</v>
      </c>
      <c r="S433" s="9">
        <f t="shared" si="431"/>
        <v>6</v>
      </c>
      <c r="T433" s="16">
        <v>1</v>
      </c>
      <c r="U433" s="29"/>
      <c r="V433" s="17">
        <v>1</v>
      </c>
      <c r="W433" s="32">
        <v>1</v>
      </c>
      <c r="X433" s="9">
        <f t="shared" si="432"/>
        <v>3</v>
      </c>
      <c r="Y433" s="104">
        <f t="shared" si="424"/>
        <v>9</v>
      </c>
      <c r="Z433" s="56">
        <v>45995</v>
      </c>
    </row>
    <row r="434" spans="1:27" x14ac:dyDescent="0.15">
      <c r="A434" s="47" t="s">
        <v>789</v>
      </c>
      <c r="B434" s="16"/>
      <c r="C434" s="29"/>
      <c r="D434" s="17"/>
      <c r="E434" s="20"/>
      <c r="F434" s="45">
        <f t="shared" si="427"/>
        <v>0</v>
      </c>
      <c r="G434" s="16"/>
      <c r="H434" s="29"/>
      <c r="I434" s="17"/>
      <c r="J434" s="20">
        <v>1</v>
      </c>
      <c r="K434" s="45">
        <f t="shared" si="428"/>
        <v>1</v>
      </c>
      <c r="L434" s="104">
        <f t="shared" si="412"/>
        <v>1</v>
      </c>
      <c r="M434" s="56">
        <v>45989</v>
      </c>
      <c r="N434" s="11" t="s">
        <v>793</v>
      </c>
      <c r="O434" s="16"/>
      <c r="P434" s="29">
        <v>10</v>
      </c>
      <c r="Q434" s="17">
        <v>3</v>
      </c>
      <c r="R434" s="32">
        <v>8</v>
      </c>
      <c r="S434" s="9">
        <f>SUM(O434:R434)</f>
        <v>21</v>
      </c>
      <c r="T434" s="16"/>
      <c r="U434" s="29"/>
      <c r="V434" s="17"/>
      <c r="W434" s="32"/>
      <c r="X434" s="9">
        <f>SUM(T434:W434)</f>
        <v>0</v>
      </c>
      <c r="Y434" s="104">
        <f t="shared" si="424"/>
        <v>21</v>
      </c>
      <c r="Z434" s="56">
        <v>46000</v>
      </c>
      <c r="AA434" s="35"/>
    </row>
    <row r="435" spans="1:27" x14ac:dyDescent="0.15">
      <c r="A435" s="47" t="s">
        <v>790</v>
      </c>
      <c r="B435" s="16"/>
      <c r="C435" s="29"/>
      <c r="D435" s="17"/>
      <c r="E435" s="20">
        <v>1</v>
      </c>
      <c r="F435" s="45">
        <f t="shared" si="427"/>
        <v>1</v>
      </c>
      <c r="G435" s="16"/>
      <c r="H435" s="29"/>
      <c r="I435" s="17"/>
      <c r="J435" s="20"/>
      <c r="K435" s="45">
        <f t="shared" si="428"/>
        <v>0</v>
      </c>
      <c r="L435" s="104">
        <f t="shared" si="412"/>
        <v>1</v>
      </c>
      <c r="M435" s="56">
        <v>45989</v>
      </c>
      <c r="N435" s="268" t="s">
        <v>822</v>
      </c>
      <c r="O435" s="255">
        <v>3</v>
      </c>
      <c r="P435" s="256"/>
      <c r="Q435" s="257"/>
      <c r="R435" s="269"/>
      <c r="S435" s="270">
        <f t="shared" ref="S435:S439" si="436">SUM(O435:R435)</f>
        <v>3</v>
      </c>
      <c r="T435" s="255">
        <v>3</v>
      </c>
      <c r="U435" s="256"/>
      <c r="V435" s="257"/>
      <c r="W435" s="269"/>
      <c r="X435" s="270">
        <f t="shared" ref="X435:X439" si="437">SUM(T435:W435)</f>
        <v>3</v>
      </c>
      <c r="Y435" s="260">
        <f t="shared" si="424"/>
        <v>6</v>
      </c>
      <c r="Z435" s="261">
        <v>45995</v>
      </c>
    </row>
    <row r="436" spans="1:27" x14ac:dyDescent="0.15">
      <c r="A436" s="47" t="s">
        <v>45</v>
      </c>
      <c r="B436" s="16"/>
      <c r="C436" s="29"/>
      <c r="D436" s="17">
        <v>1</v>
      </c>
      <c r="E436" s="20"/>
      <c r="F436" s="45">
        <f t="shared" si="427"/>
        <v>1</v>
      </c>
      <c r="G436" s="16"/>
      <c r="H436" s="29"/>
      <c r="I436" s="17"/>
      <c r="J436" s="20"/>
      <c r="K436" s="45">
        <f t="shared" si="428"/>
        <v>0</v>
      </c>
      <c r="L436" s="104">
        <f t="shared" si="412"/>
        <v>1</v>
      </c>
      <c r="M436" s="56">
        <v>45988</v>
      </c>
      <c r="N436" s="11" t="s">
        <v>800</v>
      </c>
      <c r="O436" s="206"/>
      <c r="P436" s="207"/>
      <c r="Q436" s="208"/>
      <c r="R436" s="209"/>
      <c r="S436" s="9">
        <f t="shared" si="436"/>
        <v>0</v>
      </c>
      <c r="T436" s="16">
        <v>15</v>
      </c>
      <c r="U436" s="29">
        <v>20</v>
      </c>
      <c r="V436" s="17">
        <v>15</v>
      </c>
      <c r="W436" s="32">
        <v>20</v>
      </c>
      <c r="X436" s="9">
        <f t="shared" si="437"/>
        <v>70</v>
      </c>
      <c r="Y436" s="104">
        <f t="shared" si="424"/>
        <v>70</v>
      </c>
      <c r="Z436" s="56">
        <v>46016</v>
      </c>
    </row>
    <row r="437" spans="1:27" x14ac:dyDescent="0.15">
      <c r="A437" s="47" t="s">
        <v>795</v>
      </c>
      <c r="B437" s="16"/>
      <c r="C437" s="29"/>
      <c r="D437" s="17">
        <v>1</v>
      </c>
      <c r="E437" s="20"/>
      <c r="F437" s="45">
        <f t="shared" si="427"/>
        <v>1</v>
      </c>
      <c r="G437" s="16"/>
      <c r="H437" s="29">
        <v>1</v>
      </c>
      <c r="I437" s="17"/>
      <c r="J437" s="20"/>
      <c r="K437" s="45">
        <f t="shared" si="428"/>
        <v>1</v>
      </c>
      <c r="L437" s="104">
        <f t="shared" si="412"/>
        <v>2</v>
      </c>
      <c r="M437" s="56">
        <v>45992</v>
      </c>
      <c r="N437" s="268" t="s">
        <v>822</v>
      </c>
      <c r="O437" s="255"/>
      <c r="P437" s="256">
        <v>5</v>
      </c>
      <c r="Q437" s="257"/>
      <c r="R437" s="269"/>
      <c r="S437" s="270">
        <f t="shared" si="436"/>
        <v>5</v>
      </c>
      <c r="T437" s="255"/>
      <c r="U437" s="256"/>
      <c r="V437" s="257"/>
      <c r="W437" s="269"/>
      <c r="X437" s="270">
        <f t="shared" si="437"/>
        <v>0</v>
      </c>
      <c r="Y437" s="260">
        <f t="shared" si="424"/>
        <v>5</v>
      </c>
      <c r="Z437" s="261">
        <v>46000</v>
      </c>
    </row>
    <row r="438" spans="1:27" x14ac:dyDescent="0.15">
      <c r="A438" s="47" t="s">
        <v>45</v>
      </c>
      <c r="B438" s="16"/>
      <c r="C438" s="29"/>
      <c r="D438" s="17"/>
      <c r="E438" s="20">
        <v>1</v>
      </c>
      <c r="F438" s="45">
        <f t="shared" si="427"/>
        <v>1</v>
      </c>
      <c r="G438" s="16"/>
      <c r="H438" s="29"/>
      <c r="I438" s="17"/>
      <c r="J438" s="20"/>
      <c r="K438" s="45">
        <f t="shared" si="428"/>
        <v>0</v>
      </c>
      <c r="L438" s="104">
        <f t="shared" si="412"/>
        <v>1</v>
      </c>
      <c r="M438" s="58">
        <v>45990</v>
      </c>
      <c r="N438" s="11" t="s">
        <v>821</v>
      </c>
      <c r="O438" s="16"/>
      <c r="P438" s="29"/>
      <c r="Q438" s="17"/>
      <c r="R438" s="32"/>
      <c r="S438" s="9">
        <f t="shared" si="436"/>
        <v>0</v>
      </c>
      <c r="T438" s="16"/>
      <c r="U438" s="29">
        <v>6</v>
      </c>
      <c r="V438" s="17">
        <v>3</v>
      </c>
      <c r="W438" s="32"/>
      <c r="X438" s="9">
        <f t="shared" si="437"/>
        <v>9</v>
      </c>
      <c r="Y438" s="104">
        <f t="shared" si="424"/>
        <v>9</v>
      </c>
      <c r="Z438" s="56">
        <v>46014</v>
      </c>
    </row>
    <row r="439" spans="1:27" x14ac:dyDescent="0.15">
      <c r="A439" s="47" t="s">
        <v>798</v>
      </c>
      <c r="B439" s="16"/>
      <c r="C439" s="29"/>
      <c r="D439" s="17"/>
      <c r="E439" s="20"/>
      <c r="F439" s="45">
        <f t="shared" si="427"/>
        <v>0</v>
      </c>
      <c r="G439" s="16"/>
      <c r="H439" s="29"/>
      <c r="I439" s="17"/>
      <c r="J439" s="20">
        <v>1</v>
      </c>
      <c r="K439" s="45">
        <f t="shared" si="428"/>
        <v>1</v>
      </c>
      <c r="L439" s="104">
        <f t="shared" si="412"/>
        <v>1</v>
      </c>
      <c r="M439" s="56">
        <v>45994</v>
      </c>
      <c r="N439" s="33" t="s">
        <v>872</v>
      </c>
      <c r="O439" s="16"/>
      <c r="P439" s="29">
        <v>3</v>
      </c>
      <c r="Q439" s="17"/>
      <c r="R439" s="32"/>
      <c r="S439" s="9">
        <f t="shared" si="436"/>
        <v>3</v>
      </c>
      <c r="T439" s="16"/>
      <c r="U439" s="29"/>
      <c r="V439" s="17"/>
      <c r="W439" s="32"/>
      <c r="X439" s="9">
        <f t="shared" si="437"/>
        <v>0</v>
      </c>
      <c r="Y439" s="104">
        <f t="shared" si="424"/>
        <v>3</v>
      </c>
      <c r="Z439" s="56">
        <v>46015</v>
      </c>
    </row>
    <row r="440" spans="1:27" x14ac:dyDescent="0.15">
      <c r="A440" s="47" t="s">
        <v>45</v>
      </c>
      <c r="B440" s="16"/>
      <c r="C440" s="29">
        <v>1</v>
      </c>
      <c r="D440" s="17"/>
      <c r="E440" s="20">
        <v>2</v>
      </c>
      <c r="F440" s="45">
        <f t="shared" si="427"/>
        <v>3</v>
      </c>
      <c r="G440" s="16"/>
      <c r="H440" s="29">
        <v>1</v>
      </c>
      <c r="I440" s="17">
        <v>2</v>
      </c>
      <c r="J440" s="20"/>
      <c r="K440" s="45">
        <f t="shared" si="428"/>
        <v>3</v>
      </c>
      <c r="L440" s="104">
        <f t="shared" si="412"/>
        <v>6</v>
      </c>
      <c r="M440" s="58">
        <v>45992</v>
      </c>
      <c r="N440" s="33"/>
      <c r="O440" s="16"/>
      <c r="P440" s="29"/>
      <c r="Q440" s="17"/>
      <c r="R440" s="32"/>
      <c r="S440" s="9">
        <f>SUM(O440:R440)</f>
        <v>0</v>
      </c>
      <c r="T440" s="16"/>
      <c r="U440" s="29"/>
      <c r="V440" s="17"/>
      <c r="W440" s="32"/>
      <c r="X440" s="9">
        <f>SUM(T440:W440)</f>
        <v>0</v>
      </c>
      <c r="Y440" s="104">
        <f t="shared" si="424"/>
        <v>0</v>
      </c>
    </row>
    <row r="441" spans="1:27" x14ac:dyDescent="0.15">
      <c r="A441" s="254" t="s">
        <v>802</v>
      </c>
      <c r="B441" s="255"/>
      <c r="C441" s="256"/>
      <c r="D441" s="257"/>
      <c r="E441" s="258">
        <v>-3</v>
      </c>
      <c r="F441" s="259">
        <f t="shared" si="427"/>
        <v>-3</v>
      </c>
      <c r="G441" s="255"/>
      <c r="H441" s="256"/>
      <c r="I441" s="257">
        <v>-3</v>
      </c>
      <c r="J441" s="258">
        <v>-3</v>
      </c>
      <c r="K441" s="259">
        <f t="shared" si="428"/>
        <v>-6</v>
      </c>
      <c r="L441" s="260">
        <f t="shared" si="412"/>
        <v>-9</v>
      </c>
      <c r="M441" s="261">
        <v>45993</v>
      </c>
      <c r="N441" s="72"/>
      <c r="O441" s="16"/>
      <c r="P441" s="29"/>
      <c r="Q441" s="17"/>
      <c r="R441" s="32"/>
      <c r="S441" s="9">
        <f>SUM(O441:R441)</f>
        <v>0</v>
      </c>
      <c r="T441" s="16"/>
      <c r="U441" s="29"/>
      <c r="V441" s="17"/>
      <c r="W441" s="32"/>
      <c r="X441" s="9">
        <f>SUM(T441:W441)</f>
        <v>0</v>
      </c>
      <c r="Y441" s="104">
        <f t="shared" si="424"/>
        <v>0</v>
      </c>
    </row>
    <row r="442" spans="1:27" x14ac:dyDescent="0.15">
      <c r="A442" s="33" t="s">
        <v>45</v>
      </c>
      <c r="B442" s="16">
        <v>1</v>
      </c>
      <c r="C442" s="29"/>
      <c r="D442" s="17"/>
      <c r="E442" s="20"/>
      <c r="F442" s="45">
        <f t="shared" si="427"/>
        <v>1</v>
      </c>
      <c r="G442" s="16">
        <v>1</v>
      </c>
      <c r="H442" s="29"/>
      <c r="I442" s="17"/>
      <c r="J442" s="20"/>
      <c r="K442" s="45">
        <f t="shared" si="428"/>
        <v>1</v>
      </c>
      <c r="L442" s="104">
        <f t="shared" si="412"/>
        <v>2</v>
      </c>
      <c r="M442" s="56">
        <v>45993</v>
      </c>
      <c r="N442" s="72"/>
      <c r="O442" s="16"/>
      <c r="P442" s="29"/>
      <c r="Q442" s="17"/>
      <c r="R442" s="32"/>
      <c r="S442" s="9">
        <f t="shared" ref="S442:S445" si="438">SUM(O442:R442)</f>
        <v>0</v>
      </c>
      <c r="T442" s="16"/>
      <c r="U442" s="29"/>
      <c r="V442" s="17"/>
      <c r="W442" s="32"/>
      <c r="X442" s="9">
        <f t="shared" ref="X442:X445" si="439">SUM(T442:W442)</f>
        <v>0</v>
      </c>
      <c r="Y442" s="104">
        <f t="shared" si="424"/>
        <v>0</v>
      </c>
    </row>
    <row r="443" spans="1:27" x14ac:dyDescent="0.15">
      <c r="A443" s="47" t="s">
        <v>820</v>
      </c>
      <c r="B443" s="16">
        <v>1</v>
      </c>
      <c r="C443" s="29"/>
      <c r="D443" s="17"/>
      <c r="E443" s="20"/>
      <c r="F443" s="45">
        <f t="shared" si="427"/>
        <v>1</v>
      </c>
      <c r="G443" s="16">
        <v>1</v>
      </c>
      <c r="H443" s="29"/>
      <c r="I443" s="17">
        <v>1</v>
      </c>
      <c r="J443" s="20">
        <v>1</v>
      </c>
      <c r="K443" s="45">
        <f t="shared" si="428"/>
        <v>3</v>
      </c>
      <c r="L443" s="104">
        <f t="shared" si="412"/>
        <v>4</v>
      </c>
      <c r="M443" s="56">
        <v>45996</v>
      </c>
      <c r="N443" s="72"/>
      <c r="O443" s="16"/>
      <c r="P443" s="29"/>
      <c r="Q443" s="17"/>
      <c r="R443" s="32"/>
      <c r="S443" s="9">
        <f t="shared" si="438"/>
        <v>0</v>
      </c>
      <c r="T443" s="16"/>
      <c r="U443" s="29"/>
      <c r="V443" s="17"/>
      <c r="W443" s="32"/>
      <c r="X443" s="9">
        <f t="shared" si="439"/>
        <v>0</v>
      </c>
      <c r="Y443" s="104">
        <f t="shared" si="424"/>
        <v>0</v>
      </c>
    </row>
    <row r="444" spans="1:27" x14ac:dyDescent="0.15">
      <c r="A444" s="47" t="s">
        <v>45</v>
      </c>
      <c r="B444" s="16"/>
      <c r="C444" s="29"/>
      <c r="D444" s="17"/>
      <c r="E444" s="20">
        <v>1</v>
      </c>
      <c r="F444" s="45">
        <f t="shared" si="427"/>
        <v>1</v>
      </c>
      <c r="G444" s="16"/>
      <c r="H444" s="29"/>
      <c r="I444" s="17"/>
      <c r="J444" s="20"/>
      <c r="K444" s="45">
        <f t="shared" si="428"/>
        <v>0</v>
      </c>
      <c r="L444" s="104">
        <f t="shared" si="412"/>
        <v>1</v>
      </c>
      <c r="M444" s="58">
        <v>45994</v>
      </c>
      <c r="N444" s="72"/>
      <c r="O444" s="16"/>
      <c r="P444" s="29"/>
      <c r="Q444" s="17"/>
      <c r="R444" s="32"/>
      <c r="S444" s="9">
        <f t="shared" si="438"/>
        <v>0</v>
      </c>
      <c r="T444" s="16"/>
      <c r="U444" s="29"/>
      <c r="V444" s="17"/>
      <c r="W444" s="32"/>
      <c r="X444" s="9">
        <f t="shared" si="439"/>
        <v>0</v>
      </c>
      <c r="Y444" s="104">
        <f t="shared" si="424"/>
        <v>0</v>
      </c>
    </row>
    <row r="445" spans="1:27" x14ac:dyDescent="0.15">
      <c r="A445" s="254" t="s">
        <v>150</v>
      </c>
      <c r="B445" s="255">
        <v>-3</v>
      </c>
      <c r="C445" s="256"/>
      <c r="D445" s="257"/>
      <c r="E445" s="258"/>
      <c r="F445" s="259">
        <f t="shared" si="427"/>
        <v>-3</v>
      </c>
      <c r="G445" s="255">
        <v>-3</v>
      </c>
      <c r="H445" s="256"/>
      <c r="I445" s="257"/>
      <c r="J445" s="258"/>
      <c r="K445" s="259">
        <f t="shared" si="428"/>
        <v>-3</v>
      </c>
      <c r="L445" s="260">
        <f t="shared" si="412"/>
        <v>-6</v>
      </c>
      <c r="M445" s="261">
        <v>45995</v>
      </c>
      <c r="N445" s="72"/>
      <c r="O445" s="41"/>
      <c r="P445" s="42"/>
      <c r="Q445" s="43"/>
      <c r="R445" s="59"/>
      <c r="S445" s="61">
        <f t="shared" si="438"/>
        <v>0</v>
      </c>
      <c r="T445" s="41"/>
      <c r="U445" s="42"/>
      <c r="V445" s="43"/>
      <c r="W445" s="59"/>
      <c r="X445" s="61">
        <f t="shared" si="439"/>
        <v>0</v>
      </c>
      <c r="Y445" s="104">
        <f t="shared" si="424"/>
        <v>0</v>
      </c>
    </row>
    <row r="446" spans="1:27" x14ac:dyDescent="0.15">
      <c r="A446" s="47" t="s">
        <v>824</v>
      </c>
      <c r="B446" s="16">
        <v>1</v>
      </c>
      <c r="C446" s="29"/>
      <c r="D446" s="17"/>
      <c r="E446" s="20"/>
      <c r="F446" s="45">
        <f t="shared" si="427"/>
        <v>1</v>
      </c>
      <c r="G446" s="16"/>
      <c r="H446" s="29"/>
      <c r="I446" s="17"/>
      <c r="J446" s="20"/>
      <c r="K446" s="45">
        <f t="shared" si="428"/>
        <v>0</v>
      </c>
      <c r="L446" s="104">
        <f t="shared" si="412"/>
        <v>1</v>
      </c>
      <c r="M446" s="56">
        <v>45996</v>
      </c>
      <c r="N446" s="33"/>
      <c r="O446" s="16"/>
      <c r="P446" s="29"/>
      <c r="Q446" s="17"/>
      <c r="R446" s="32"/>
      <c r="S446" s="9">
        <f>SUM(O446:R446)</f>
        <v>0</v>
      </c>
      <c r="T446" s="16"/>
      <c r="U446" s="29"/>
      <c r="V446" s="17"/>
      <c r="W446" s="32"/>
      <c r="X446" s="9">
        <f>SUM(T446:W446)</f>
        <v>0</v>
      </c>
      <c r="Y446" s="104">
        <f t="shared" si="424"/>
        <v>0</v>
      </c>
    </row>
    <row r="447" spans="1:27" x14ac:dyDescent="0.15">
      <c r="A447" s="47" t="s">
        <v>826</v>
      </c>
      <c r="B447" s="16"/>
      <c r="C447" s="29">
        <v>2</v>
      </c>
      <c r="D447" s="17"/>
      <c r="E447" s="20"/>
      <c r="F447" s="45">
        <f t="shared" si="427"/>
        <v>2</v>
      </c>
      <c r="G447" s="16"/>
      <c r="H447" s="29"/>
      <c r="I447" s="17"/>
      <c r="J447" s="20"/>
      <c r="K447" s="45">
        <f t="shared" si="428"/>
        <v>0</v>
      </c>
      <c r="L447" s="104">
        <f t="shared" si="412"/>
        <v>2</v>
      </c>
      <c r="M447" s="56">
        <v>45999</v>
      </c>
      <c r="N447" s="137" t="s">
        <v>662</v>
      </c>
      <c r="O447" s="166"/>
      <c r="P447" s="167"/>
      <c r="Q447" s="160"/>
      <c r="R447" s="168"/>
      <c r="S447" s="165">
        <f t="shared" ref="S447:S448" si="440">SUM(O447:R447)</f>
        <v>0</v>
      </c>
      <c r="T447" s="206"/>
      <c r="U447" s="207"/>
      <c r="V447" s="208"/>
      <c r="W447" s="209"/>
      <c r="X447" s="9">
        <f t="shared" ref="X447:X448" si="441">SUM(T447:W447)</f>
        <v>0</v>
      </c>
      <c r="Y447" s="104">
        <f t="shared" ref="Y447:Y448" si="442">S447+X447</f>
        <v>0</v>
      </c>
      <c r="Z447" s="157"/>
    </row>
    <row r="448" spans="1:27" x14ac:dyDescent="0.15">
      <c r="A448" s="47" t="s">
        <v>828</v>
      </c>
      <c r="B448" s="16">
        <v>-3</v>
      </c>
      <c r="C448" s="29">
        <v>-2</v>
      </c>
      <c r="D448" s="17"/>
      <c r="E448" s="20"/>
      <c r="F448" s="45">
        <f t="shared" si="427"/>
        <v>-5</v>
      </c>
      <c r="G448" s="16">
        <v>-1</v>
      </c>
      <c r="H448" s="29"/>
      <c r="I448" s="17"/>
      <c r="J448" s="20">
        <v>-2</v>
      </c>
      <c r="K448" s="45">
        <f t="shared" si="428"/>
        <v>-3</v>
      </c>
      <c r="L448" s="104">
        <f t="shared" si="412"/>
        <v>-8</v>
      </c>
      <c r="M448" s="58">
        <v>45993</v>
      </c>
      <c r="N448" s="33" t="s">
        <v>662</v>
      </c>
      <c r="O448" s="16"/>
      <c r="P448" s="29"/>
      <c r="Q448" s="17"/>
      <c r="R448" s="32"/>
      <c r="S448" s="9">
        <f t="shared" si="440"/>
        <v>0</v>
      </c>
      <c r="T448" s="206"/>
      <c r="U448" s="207"/>
      <c r="V448" s="208"/>
      <c r="W448" s="209"/>
      <c r="X448" s="9">
        <f t="shared" si="441"/>
        <v>0</v>
      </c>
      <c r="Y448" s="104">
        <f t="shared" si="442"/>
        <v>0</v>
      </c>
      <c r="Z448" s="157" t="s">
        <v>663</v>
      </c>
    </row>
    <row r="449" spans="1:27" x14ac:dyDescent="0.15">
      <c r="A449" s="47" t="s">
        <v>829</v>
      </c>
      <c r="B449" s="16"/>
      <c r="C449" s="29"/>
      <c r="D449" s="17"/>
      <c r="E449" s="20"/>
      <c r="F449" s="45">
        <f t="shared" si="427"/>
        <v>0</v>
      </c>
      <c r="G449" s="16"/>
      <c r="H449" s="29"/>
      <c r="I449" s="17">
        <v>-2</v>
      </c>
      <c r="J449" s="20"/>
      <c r="K449" s="45">
        <f t="shared" si="428"/>
        <v>-2</v>
      </c>
      <c r="L449" s="104">
        <f t="shared" si="412"/>
        <v>-2</v>
      </c>
      <c r="M449" s="58">
        <v>45996</v>
      </c>
      <c r="N449" s="137" t="s">
        <v>685</v>
      </c>
      <c r="O449" s="166"/>
      <c r="P449" s="167"/>
      <c r="Q449" s="160"/>
      <c r="R449" s="168"/>
      <c r="S449" s="165">
        <f t="shared" ref="S449:S450" si="443">SUM(O449:R449)</f>
        <v>0</v>
      </c>
      <c r="T449" s="161"/>
      <c r="U449" s="162"/>
      <c r="V449" s="163"/>
      <c r="W449" s="164"/>
      <c r="X449" s="165">
        <f t="shared" ref="X449:X450" si="444">SUM(T449:W449)</f>
        <v>0</v>
      </c>
      <c r="Y449" s="169">
        <f t="shared" ref="Y449:Y450" si="445">S449+X449</f>
        <v>0</v>
      </c>
      <c r="Z449" s="224"/>
    </row>
    <row r="450" spans="1:27" x14ac:dyDescent="0.15">
      <c r="A450" s="47" t="s">
        <v>832</v>
      </c>
      <c r="B450" s="16">
        <v>1</v>
      </c>
      <c r="C450" s="29">
        <v>1</v>
      </c>
      <c r="D450" s="17"/>
      <c r="E450" s="20"/>
      <c r="F450" s="45">
        <f t="shared" si="427"/>
        <v>2</v>
      </c>
      <c r="G450" s="16"/>
      <c r="H450" s="29"/>
      <c r="I450" s="17"/>
      <c r="J450" s="20"/>
      <c r="K450" s="45">
        <f t="shared" si="428"/>
        <v>0</v>
      </c>
      <c r="L450" s="104">
        <f t="shared" si="412"/>
        <v>2</v>
      </c>
      <c r="M450" s="58">
        <v>46000</v>
      </c>
      <c r="N450" s="33" t="s">
        <v>684</v>
      </c>
      <c r="O450" s="16"/>
      <c r="P450" s="29"/>
      <c r="Q450" s="17"/>
      <c r="R450" s="32"/>
      <c r="S450" s="9">
        <f t="shared" si="443"/>
        <v>0</v>
      </c>
      <c r="T450" s="206"/>
      <c r="U450" s="207"/>
      <c r="V450" s="208"/>
      <c r="W450" s="209"/>
      <c r="X450" s="9">
        <f t="shared" si="444"/>
        <v>0</v>
      </c>
      <c r="Y450" s="104">
        <f t="shared" si="445"/>
        <v>0</v>
      </c>
      <c r="Z450" s="157" t="s">
        <v>722</v>
      </c>
    </row>
    <row r="451" spans="1:27" x14ac:dyDescent="0.15">
      <c r="A451" s="47" t="s">
        <v>834</v>
      </c>
      <c r="B451" s="16"/>
      <c r="C451" s="29"/>
      <c r="D451" s="17"/>
      <c r="E451" s="20"/>
      <c r="F451" s="45">
        <f t="shared" si="427"/>
        <v>0</v>
      </c>
      <c r="G451" s="16"/>
      <c r="H451" s="29">
        <v>1</v>
      </c>
      <c r="I451" s="17"/>
      <c r="J451" s="20">
        <v>2</v>
      </c>
      <c r="K451" s="45">
        <f t="shared" si="428"/>
        <v>3</v>
      </c>
      <c r="L451" s="104">
        <f t="shared" si="412"/>
        <v>3</v>
      </c>
      <c r="M451" s="56">
        <v>46001</v>
      </c>
      <c r="N451" s="72" t="s">
        <v>647</v>
      </c>
      <c r="O451" s="161"/>
      <c r="P451" s="162"/>
      <c r="Q451" s="163"/>
      <c r="R451" s="248"/>
      <c r="S451" s="165">
        <f t="shared" ref="S451" si="446">SUM(O451:R451)</f>
        <v>0</v>
      </c>
      <c r="T451" s="166"/>
      <c r="U451" s="167"/>
      <c r="V451" s="160"/>
      <c r="W451" s="168"/>
      <c r="X451" s="165">
        <f t="shared" ref="X451" si="447">SUM(T451:W451)</f>
        <v>0</v>
      </c>
      <c r="Y451" s="169">
        <f t="shared" ref="Y451" si="448">S451+X451</f>
        <v>0</v>
      </c>
      <c r="Z451" s="224"/>
    </row>
    <row r="452" spans="1:27" ht="14.25" thickBot="1" x14ac:dyDescent="0.2">
      <c r="A452" s="47" t="s">
        <v>45</v>
      </c>
      <c r="B452" s="37"/>
      <c r="C452" s="38">
        <v>2</v>
      </c>
      <c r="D452" s="39"/>
      <c r="E452" s="40"/>
      <c r="F452" s="45">
        <f t="shared" si="427"/>
        <v>2</v>
      </c>
      <c r="G452" s="37"/>
      <c r="H452" s="38"/>
      <c r="I452" s="39"/>
      <c r="J452" s="40">
        <v>1</v>
      </c>
      <c r="K452" s="45">
        <f t="shared" si="428"/>
        <v>1</v>
      </c>
      <c r="L452" s="104">
        <f t="shared" si="412"/>
        <v>3</v>
      </c>
      <c r="M452" s="58">
        <v>45999</v>
      </c>
      <c r="N452" s="170" t="s">
        <v>273</v>
      </c>
      <c r="O452" s="229"/>
      <c r="P452" s="230"/>
      <c r="Q452" s="231"/>
      <c r="R452" s="232"/>
      <c r="S452" s="48">
        <f t="shared" ref="S452:S453" si="449">SUM(O452:R452)</f>
        <v>0</v>
      </c>
      <c r="T452" s="37"/>
      <c r="U452" s="38"/>
      <c r="V452" s="39"/>
      <c r="W452" s="129"/>
      <c r="X452" s="48">
        <f t="shared" ref="X452:X453" si="450">SUM(T452:W452)</f>
        <v>0</v>
      </c>
      <c r="Y452" s="122">
        <f t="shared" si="424"/>
        <v>0</v>
      </c>
      <c r="Z452" s="157" t="s">
        <v>459</v>
      </c>
    </row>
    <row r="453" spans="1:27" ht="14.25" thickBot="1" x14ac:dyDescent="0.2">
      <c r="A453" s="13" t="s">
        <v>8</v>
      </c>
      <c r="B453" s="22">
        <f>SUM(B428:B452)</f>
        <v>0</v>
      </c>
      <c r="C453" s="30">
        <f>SUM(C428:C452)</f>
        <v>8</v>
      </c>
      <c r="D453" s="23">
        <f>SUM(D428:D452)</f>
        <v>3</v>
      </c>
      <c r="E453" s="24">
        <f>SUM(E428:E452)</f>
        <v>5</v>
      </c>
      <c r="F453" s="21">
        <f t="shared" si="427"/>
        <v>16</v>
      </c>
      <c r="G453" s="22">
        <f>SUM(G428:G452)</f>
        <v>-2</v>
      </c>
      <c r="H453" s="30">
        <f>SUM(H428:H452)</f>
        <v>3</v>
      </c>
      <c r="I453" s="23">
        <f>SUM(I428:I452)</f>
        <v>1</v>
      </c>
      <c r="J453" s="24">
        <f>SUM(J428:J452)</f>
        <v>2</v>
      </c>
      <c r="K453" s="21">
        <f>SUM(G453:J453)</f>
        <v>4</v>
      </c>
      <c r="L453" s="105">
        <f t="shared" si="412"/>
        <v>20</v>
      </c>
      <c r="N453" s="49" t="s">
        <v>8</v>
      </c>
      <c r="O453" s="22">
        <f>SUM(O428:O452)</f>
        <v>14</v>
      </c>
      <c r="P453" s="30">
        <f>SUM(P428:P452)</f>
        <v>45</v>
      </c>
      <c r="Q453" s="23">
        <f>SUM(Q428:Q452)</f>
        <v>16</v>
      </c>
      <c r="R453" s="24">
        <f>SUM(R428:R452)</f>
        <v>31</v>
      </c>
      <c r="S453" s="48">
        <f t="shared" si="449"/>
        <v>106</v>
      </c>
      <c r="T453" s="22">
        <f>SUM(T428:T452)</f>
        <v>29</v>
      </c>
      <c r="U453" s="30">
        <f>SUM(U428:U452)</f>
        <v>41</v>
      </c>
      <c r="V453" s="23">
        <f>SUM(V428:V452)</f>
        <v>42</v>
      </c>
      <c r="W453" s="24">
        <f>SUM(W428:W452)</f>
        <v>44</v>
      </c>
      <c r="X453" s="48">
        <f t="shared" si="450"/>
        <v>156</v>
      </c>
      <c r="Y453" s="122">
        <f t="shared" si="424"/>
        <v>262</v>
      </c>
    </row>
    <row r="454" spans="1:27" ht="14.25" thickBot="1" x14ac:dyDescent="0.2">
      <c r="A454" s="14" t="s">
        <v>9</v>
      </c>
      <c r="B454" s="25">
        <f t="shared" ref="B454:K454" si="451">B427-B453</f>
        <v>6</v>
      </c>
      <c r="C454" s="31">
        <f t="shared" si="451"/>
        <v>1</v>
      </c>
      <c r="D454" s="26">
        <f t="shared" si="451"/>
        <v>4</v>
      </c>
      <c r="E454" s="27">
        <f t="shared" si="451"/>
        <v>4</v>
      </c>
      <c r="F454" s="83">
        <f t="shared" si="451"/>
        <v>15</v>
      </c>
      <c r="G454" s="25">
        <f t="shared" si="451"/>
        <v>7</v>
      </c>
      <c r="H454" s="31">
        <f t="shared" si="451"/>
        <v>5</v>
      </c>
      <c r="I454" s="26">
        <f t="shared" si="451"/>
        <v>7</v>
      </c>
      <c r="J454" s="27">
        <f t="shared" si="451"/>
        <v>3</v>
      </c>
      <c r="K454" s="83">
        <f t="shared" si="451"/>
        <v>22</v>
      </c>
      <c r="L454" s="102">
        <f t="shared" si="412"/>
        <v>37</v>
      </c>
      <c r="N454" s="13" t="s">
        <v>9</v>
      </c>
      <c r="O454" s="25">
        <f t="shared" ref="O454:X454" si="452">O427-O453</f>
        <v>84</v>
      </c>
      <c r="P454" s="31">
        <f t="shared" si="452"/>
        <v>48</v>
      </c>
      <c r="Q454" s="26">
        <f t="shared" si="452"/>
        <v>77</v>
      </c>
      <c r="R454" s="27">
        <f t="shared" si="452"/>
        <v>110</v>
      </c>
      <c r="S454" s="36">
        <f t="shared" si="452"/>
        <v>319</v>
      </c>
      <c r="T454" s="25">
        <f t="shared" si="452"/>
        <v>132</v>
      </c>
      <c r="U454" s="31">
        <f t="shared" si="452"/>
        <v>179</v>
      </c>
      <c r="V454" s="26">
        <f t="shared" si="452"/>
        <v>78</v>
      </c>
      <c r="W454" s="27">
        <f t="shared" si="452"/>
        <v>77</v>
      </c>
      <c r="X454" s="36">
        <f t="shared" si="452"/>
        <v>466</v>
      </c>
      <c r="Y454" s="102">
        <f t="shared" si="424"/>
        <v>785</v>
      </c>
    </row>
    <row r="455" spans="1:27" x14ac:dyDescent="0.15">
      <c r="O455" s="55"/>
      <c r="P455" s="55"/>
      <c r="Q455" s="55"/>
      <c r="R455" s="55"/>
      <c r="S455" s="55"/>
      <c r="T455" s="55"/>
      <c r="U455" s="55"/>
      <c r="V455" s="55"/>
      <c r="W455" s="55"/>
      <c r="X455" s="55"/>
    </row>
    <row r="456" spans="1:27" x14ac:dyDescent="0.15">
      <c r="O456" s="116"/>
      <c r="P456" s="116"/>
      <c r="Q456" s="116"/>
      <c r="R456" s="116"/>
      <c r="S456" s="149"/>
      <c r="T456" s="116"/>
      <c r="U456" s="116"/>
      <c r="V456" s="116"/>
      <c r="W456" s="116"/>
      <c r="X456" s="149"/>
    </row>
    <row r="457" spans="1:27" ht="19.5" thickBot="1" x14ac:dyDescent="0.25">
      <c r="A457" s="2" t="s">
        <v>16</v>
      </c>
      <c r="B457" s="2"/>
      <c r="C457" s="1"/>
      <c r="D457" s="1"/>
      <c r="E457" s="1"/>
      <c r="F457" s="84"/>
      <c r="G457" s="2"/>
      <c r="H457" s="1" t="s">
        <v>156</v>
      </c>
      <c r="I457" s="1"/>
      <c r="J457" s="1"/>
      <c r="K457" s="84" t="s">
        <v>13</v>
      </c>
      <c r="L457" s="84"/>
      <c r="N457" s="2" t="s">
        <v>17</v>
      </c>
      <c r="O457" s="71"/>
      <c r="P457" s="71"/>
      <c r="Q457" s="71"/>
      <c r="R457" s="71"/>
      <c r="T457" s="71"/>
      <c r="U457" s="1" t="s">
        <v>156</v>
      </c>
      <c r="V457" s="71"/>
      <c r="W457" s="71"/>
      <c r="X457" s="84" t="s">
        <v>13</v>
      </c>
      <c r="Y457" s="84"/>
    </row>
    <row r="458" spans="1:27" ht="14.25" thickBot="1" x14ac:dyDescent="0.2">
      <c r="A458" s="5" t="s">
        <v>0</v>
      </c>
      <c r="B458" s="328" t="s">
        <v>120</v>
      </c>
      <c r="C458" s="329"/>
      <c r="D458" s="329"/>
      <c r="E458" s="329"/>
      <c r="F458" s="330"/>
      <c r="G458" s="331" t="s">
        <v>14</v>
      </c>
      <c r="H458" s="332"/>
      <c r="I458" s="332"/>
      <c r="J458" s="332"/>
      <c r="K458" s="333"/>
      <c r="L458" s="320" t="s">
        <v>30</v>
      </c>
      <c r="N458" s="5" t="s">
        <v>0</v>
      </c>
      <c r="O458" s="328" t="s">
        <v>202</v>
      </c>
      <c r="P458" s="329"/>
      <c r="Q458" s="329"/>
      <c r="R458" s="329"/>
      <c r="S458" s="330"/>
      <c r="T458" s="331" t="s">
        <v>203</v>
      </c>
      <c r="U458" s="332"/>
      <c r="V458" s="332"/>
      <c r="W458" s="332"/>
      <c r="X458" s="333"/>
      <c r="Y458" s="320" t="s">
        <v>30</v>
      </c>
    </row>
    <row r="459" spans="1:27" ht="14.25" thickBot="1" x14ac:dyDescent="0.2">
      <c r="A459" s="5" t="s">
        <v>1</v>
      </c>
      <c r="B459" s="3" t="s">
        <v>22</v>
      </c>
      <c r="C459" s="28" t="s">
        <v>23</v>
      </c>
      <c r="D459" s="4" t="s">
        <v>24</v>
      </c>
      <c r="E459" s="15" t="s">
        <v>25</v>
      </c>
      <c r="F459" s="19" t="s">
        <v>2</v>
      </c>
      <c r="G459" s="3" t="s">
        <v>22</v>
      </c>
      <c r="H459" s="28" t="s">
        <v>23</v>
      </c>
      <c r="I459" s="4" t="s">
        <v>24</v>
      </c>
      <c r="J459" s="15" t="s">
        <v>25</v>
      </c>
      <c r="K459" s="19" t="s">
        <v>2</v>
      </c>
      <c r="L459" s="321"/>
      <c r="N459" s="5" t="s">
        <v>1</v>
      </c>
      <c r="O459" s="3" t="s">
        <v>22</v>
      </c>
      <c r="P459" s="28" t="s">
        <v>23</v>
      </c>
      <c r="Q459" s="4" t="s">
        <v>24</v>
      </c>
      <c r="R459" s="15" t="s">
        <v>25</v>
      </c>
      <c r="S459" s="19" t="s">
        <v>2</v>
      </c>
      <c r="T459" s="3" t="s">
        <v>22</v>
      </c>
      <c r="U459" s="28" t="s">
        <v>23</v>
      </c>
      <c r="V459" s="4" t="s">
        <v>24</v>
      </c>
      <c r="W459" s="15" t="s">
        <v>25</v>
      </c>
      <c r="X459" s="19" t="s">
        <v>2</v>
      </c>
      <c r="Y459" s="321"/>
    </row>
    <row r="460" spans="1:27" x14ac:dyDescent="0.15">
      <c r="A460" s="78" t="s">
        <v>10</v>
      </c>
      <c r="B460" s="79">
        <f>B454</f>
        <v>6</v>
      </c>
      <c r="C460" s="80">
        <f>C454</f>
        <v>1</v>
      </c>
      <c r="D460" s="80">
        <f>D454</f>
        <v>4</v>
      </c>
      <c r="E460" s="81">
        <f>E454</f>
        <v>4</v>
      </c>
      <c r="F460" s="82">
        <f>SUM(B460:E460)</f>
        <v>15</v>
      </c>
      <c r="G460" s="79">
        <f>G454</f>
        <v>7</v>
      </c>
      <c r="H460" s="80">
        <f>H454</f>
        <v>5</v>
      </c>
      <c r="I460" s="80">
        <f>I454</f>
        <v>7</v>
      </c>
      <c r="J460" s="81">
        <f>J454</f>
        <v>3</v>
      </c>
      <c r="K460" s="82">
        <f>SUM(G460:J460)</f>
        <v>22</v>
      </c>
      <c r="L460" s="98">
        <f>F460+K460</f>
        <v>37</v>
      </c>
      <c r="N460" s="78" t="s">
        <v>10</v>
      </c>
      <c r="O460" s="79">
        <f>O454</f>
        <v>84</v>
      </c>
      <c r="P460" s="80">
        <f>P454</f>
        <v>48</v>
      </c>
      <c r="Q460" s="80">
        <f>Q454</f>
        <v>77</v>
      </c>
      <c r="R460" s="81">
        <f>R454</f>
        <v>110</v>
      </c>
      <c r="S460" s="82">
        <f>SUM(O460:R460)</f>
        <v>319</v>
      </c>
      <c r="T460" s="79">
        <f>T454</f>
        <v>132</v>
      </c>
      <c r="U460" s="80">
        <f>U454</f>
        <v>179</v>
      </c>
      <c r="V460" s="80">
        <f>V454</f>
        <v>78</v>
      </c>
      <c r="W460" s="81">
        <f>W454</f>
        <v>77</v>
      </c>
      <c r="X460" s="82">
        <f>SUM(T460:W460)</f>
        <v>466</v>
      </c>
      <c r="Y460" s="98">
        <f>S460+X460</f>
        <v>785</v>
      </c>
    </row>
    <row r="461" spans="1:27" x14ac:dyDescent="0.15">
      <c r="A461" s="254" t="s">
        <v>3</v>
      </c>
      <c r="B461" s="262"/>
      <c r="C461" s="263">
        <v>5</v>
      </c>
      <c r="D461" s="264"/>
      <c r="E461" s="265"/>
      <c r="F461" s="266">
        <f>SUM(B461:E461)</f>
        <v>5</v>
      </c>
      <c r="G461" s="262"/>
      <c r="H461" s="263"/>
      <c r="I461" s="264"/>
      <c r="J461" s="265"/>
      <c r="K461" s="266">
        <f>SUM(G461:J461)</f>
        <v>0</v>
      </c>
      <c r="L461" s="267">
        <f t="shared" ref="L461:L492" si="453">F461+K461</f>
        <v>5</v>
      </c>
      <c r="M461" s="261">
        <v>46000</v>
      </c>
      <c r="N461" s="12" t="s">
        <v>11</v>
      </c>
      <c r="O461" s="16"/>
      <c r="P461" s="29"/>
      <c r="Q461" s="17"/>
      <c r="R461" s="20"/>
      <c r="S461" s="45">
        <f>SUM(O461:R461)</f>
        <v>0</v>
      </c>
      <c r="T461" s="16"/>
      <c r="U461" s="29"/>
      <c r="V461" s="17"/>
      <c r="W461" s="20"/>
      <c r="X461" s="45">
        <f>SUM(T461:W461)</f>
        <v>0</v>
      </c>
      <c r="Y461" s="100">
        <f t="shared" ref="Y461:Y492" si="454">S461+X461</f>
        <v>0</v>
      </c>
    </row>
    <row r="462" spans="1:27" x14ac:dyDescent="0.15">
      <c r="A462" s="283" t="s">
        <v>4</v>
      </c>
      <c r="B462" s="284"/>
      <c r="C462" s="285"/>
      <c r="D462" s="286">
        <v>3</v>
      </c>
      <c r="E462" s="287"/>
      <c r="F462" s="270">
        <f>SUM(B462:E462)</f>
        <v>3</v>
      </c>
      <c r="G462" s="284"/>
      <c r="H462" s="285"/>
      <c r="I462" s="286"/>
      <c r="J462" s="287">
        <v>3</v>
      </c>
      <c r="K462" s="270">
        <f>SUM(G462:J462)</f>
        <v>3</v>
      </c>
      <c r="L462" s="288">
        <f t="shared" si="453"/>
        <v>6</v>
      </c>
      <c r="M462" s="261">
        <v>46006</v>
      </c>
      <c r="N462" s="12" t="s">
        <v>464</v>
      </c>
      <c r="O462" s="16">
        <v>40</v>
      </c>
      <c r="P462" s="29">
        <v>70</v>
      </c>
      <c r="Q462" s="17">
        <v>40</v>
      </c>
      <c r="R462" s="20">
        <v>0</v>
      </c>
      <c r="S462" s="45">
        <f t="shared" ref="S462:S463" si="455">SUM(O462:R462)</f>
        <v>150</v>
      </c>
      <c r="T462" s="16">
        <v>20</v>
      </c>
      <c r="U462" s="29">
        <v>50</v>
      </c>
      <c r="V462" s="17">
        <v>60</v>
      </c>
      <c r="W462" s="20">
        <v>40</v>
      </c>
      <c r="X462" s="45">
        <f t="shared" ref="X462:X463" si="456">SUM(T462:W462)</f>
        <v>170</v>
      </c>
      <c r="Y462" s="100">
        <f t="shared" si="454"/>
        <v>320</v>
      </c>
      <c r="Z462" s="56" t="s">
        <v>890</v>
      </c>
      <c r="AA462" s="35"/>
    </row>
    <row r="463" spans="1:27" x14ac:dyDescent="0.15">
      <c r="A463" s="283" t="s">
        <v>5</v>
      </c>
      <c r="B463" s="284"/>
      <c r="C463" s="285">
        <v>3</v>
      </c>
      <c r="D463" s="286"/>
      <c r="E463" s="287"/>
      <c r="F463" s="270">
        <f>SUM(B463:E463)</f>
        <v>3</v>
      </c>
      <c r="G463" s="284"/>
      <c r="H463" s="285"/>
      <c r="I463" s="286"/>
      <c r="J463" s="287"/>
      <c r="K463" s="270">
        <f>SUM(G463:J463)</f>
        <v>0</v>
      </c>
      <c r="L463" s="288">
        <f t="shared" si="453"/>
        <v>3</v>
      </c>
      <c r="M463" s="261">
        <v>46008</v>
      </c>
      <c r="N463" s="12" t="s">
        <v>728</v>
      </c>
      <c r="O463" s="16">
        <v>0</v>
      </c>
      <c r="P463" s="29">
        <v>30</v>
      </c>
      <c r="Q463" s="17">
        <v>30</v>
      </c>
      <c r="R463" s="20">
        <v>40</v>
      </c>
      <c r="S463" s="45">
        <f t="shared" si="455"/>
        <v>100</v>
      </c>
      <c r="T463" s="16">
        <v>0</v>
      </c>
      <c r="U463" s="29">
        <v>0</v>
      </c>
      <c r="V463" s="17">
        <v>0</v>
      </c>
      <c r="W463" s="20">
        <v>0</v>
      </c>
      <c r="X463" s="45">
        <f t="shared" si="456"/>
        <v>0</v>
      </c>
      <c r="Y463" s="100">
        <f t="shared" si="454"/>
        <v>100</v>
      </c>
      <c r="Z463" s="56" t="s">
        <v>891</v>
      </c>
      <c r="AA463" s="35"/>
    </row>
    <row r="464" spans="1:27" ht="14.25" thickBot="1" x14ac:dyDescent="0.2">
      <c r="A464" s="12" t="s">
        <v>863</v>
      </c>
      <c r="B464" s="6">
        <v>4</v>
      </c>
      <c r="C464" s="18">
        <v>2</v>
      </c>
      <c r="D464" s="7">
        <v>2</v>
      </c>
      <c r="E464" s="8"/>
      <c r="F464" s="10">
        <f>SUM(B464:E464)</f>
        <v>8</v>
      </c>
      <c r="G464" s="6"/>
      <c r="H464" s="18"/>
      <c r="I464" s="7"/>
      <c r="J464" s="8"/>
      <c r="K464" s="10">
        <f>SUM(G464:J464)</f>
        <v>0</v>
      </c>
      <c r="L464" s="101">
        <f t="shared" si="453"/>
        <v>8</v>
      </c>
      <c r="M464" s="58">
        <v>46007</v>
      </c>
      <c r="N464" s="12" t="s">
        <v>876</v>
      </c>
      <c r="O464" s="16"/>
      <c r="P464" s="29"/>
      <c r="Q464" s="17"/>
      <c r="R464" s="20"/>
      <c r="S464" s="45">
        <f t="shared" ref="S464" si="457">SUM(O464:R464)</f>
        <v>0</v>
      </c>
      <c r="T464" s="16"/>
      <c r="U464" s="29">
        <v>-2</v>
      </c>
      <c r="V464" s="17">
        <v>-8</v>
      </c>
      <c r="W464" s="20"/>
      <c r="X464" s="45">
        <f t="shared" ref="X464" si="458">SUM(T464:W464)</f>
        <v>-10</v>
      </c>
      <c r="Y464" s="100">
        <f t="shared" si="454"/>
        <v>-10</v>
      </c>
      <c r="Z464" s="157"/>
      <c r="AA464" s="35"/>
    </row>
    <row r="465" spans="1:26" ht="14.25" thickBot="1" x14ac:dyDescent="0.2">
      <c r="A465" s="14" t="s">
        <v>7</v>
      </c>
      <c r="B465" s="62">
        <f t="shared" ref="B465:K465" si="459">SUM(B460:B464)</f>
        <v>10</v>
      </c>
      <c r="C465" s="63">
        <f t="shared" si="459"/>
        <v>11</v>
      </c>
      <c r="D465" s="64">
        <f t="shared" si="459"/>
        <v>9</v>
      </c>
      <c r="E465" s="65">
        <f t="shared" si="459"/>
        <v>4</v>
      </c>
      <c r="F465" s="66">
        <f t="shared" si="459"/>
        <v>34</v>
      </c>
      <c r="G465" s="62">
        <f t="shared" si="459"/>
        <v>7</v>
      </c>
      <c r="H465" s="63">
        <f t="shared" si="459"/>
        <v>5</v>
      </c>
      <c r="I465" s="64">
        <f t="shared" si="459"/>
        <v>7</v>
      </c>
      <c r="J465" s="65">
        <f t="shared" si="459"/>
        <v>6</v>
      </c>
      <c r="K465" s="66">
        <f t="shared" si="459"/>
        <v>25</v>
      </c>
      <c r="L465" s="102">
        <f t="shared" si="453"/>
        <v>59</v>
      </c>
      <c r="N465" s="13" t="s">
        <v>7</v>
      </c>
      <c r="O465" s="25">
        <f t="shared" ref="O465:X465" si="460">SUM(O460:O464)</f>
        <v>124</v>
      </c>
      <c r="P465" s="31">
        <f t="shared" si="460"/>
        <v>148</v>
      </c>
      <c r="Q465" s="26">
        <f t="shared" si="460"/>
        <v>147</v>
      </c>
      <c r="R465" s="67">
        <f t="shared" si="460"/>
        <v>150</v>
      </c>
      <c r="S465" s="68">
        <f t="shared" si="460"/>
        <v>569</v>
      </c>
      <c r="T465" s="25">
        <f t="shared" si="460"/>
        <v>152</v>
      </c>
      <c r="U465" s="31">
        <f t="shared" si="460"/>
        <v>227</v>
      </c>
      <c r="V465" s="26">
        <f t="shared" si="460"/>
        <v>130</v>
      </c>
      <c r="W465" s="67">
        <f t="shared" si="460"/>
        <v>117</v>
      </c>
      <c r="X465" s="68">
        <f t="shared" si="460"/>
        <v>626</v>
      </c>
      <c r="Y465" s="102">
        <f t="shared" si="454"/>
        <v>1195</v>
      </c>
    </row>
    <row r="466" spans="1:26" x14ac:dyDescent="0.15">
      <c r="A466" s="47" t="s">
        <v>845</v>
      </c>
      <c r="B466" s="41">
        <v>1</v>
      </c>
      <c r="C466" s="42"/>
      <c r="D466" s="43"/>
      <c r="E466" s="44"/>
      <c r="F466" s="70">
        <f t="shared" ref="F466:F491" si="461">SUM(B466:E466)</f>
        <v>1</v>
      </c>
      <c r="G466" s="41">
        <v>1</v>
      </c>
      <c r="H466" s="42"/>
      <c r="I466" s="43"/>
      <c r="J466" s="44"/>
      <c r="K466" s="70">
        <f t="shared" ref="K466:K490" si="462">SUM(G466:J466)</f>
        <v>1</v>
      </c>
      <c r="L466" s="103">
        <f t="shared" si="453"/>
        <v>2</v>
      </c>
      <c r="M466" s="56">
        <v>46002</v>
      </c>
      <c r="N466" s="268" t="s">
        <v>822</v>
      </c>
      <c r="O466" s="255"/>
      <c r="P466" s="256"/>
      <c r="Q466" s="257">
        <v>3</v>
      </c>
      <c r="R466" s="269"/>
      <c r="S466" s="270">
        <f t="shared" ref="S466:S471" si="463">SUM(O466:R466)</f>
        <v>3</v>
      </c>
      <c r="T466" s="255"/>
      <c r="U466" s="256"/>
      <c r="V466" s="257"/>
      <c r="W466" s="269">
        <v>3</v>
      </c>
      <c r="X466" s="270">
        <f t="shared" ref="X466:X471" si="464">SUM(T466:W466)</f>
        <v>3</v>
      </c>
      <c r="Y466" s="260">
        <f t="shared" si="454"/>
        <v>6</v>
      </c>
      <c r="Z466" s="261">
        <v>46006</v>
      </c>
    </row>
    <row r="467" spans="1:26" x14ac:dyDescent="0.15">
      <c r="A467" s="47" t="s">
        <v>45</v>
      </c>
      <c r="B467" s="16"/>
      <c r="C467" s="29"/>
      <c r="D467" s="17"/>
      <c r="E467" s="20"/>
      <c r="F467" s="45">
        <f t="shared" si="461"/>
        <v>0</v>
      </c>
      <c r="G467" s="16"/>
      <c r="H467" s="29"/>
      <c r="I467" s="17">
        <v>2</v>
      </c>
      <c r="J467" s="20"/>
      <c r="K467" s="45">
        <f t="shared" si="462"/>
        <v>2</v>
      </c>
      <c r="L467" s="104">
        <f t="shared" si="453"/>
        <v>2</v>
      </c>
      <c r="M467" s="58">
        <v>46000</v>
      </c>
      <c r="N467" s="268" t="s">
        <v>822</v>
      </c>
      <c r="O467" s="255"/>
      <c r="P467" s="256">
        <v>3</v>
      </c>
      <c r="Q467" s="257"/>
      <c r="R467" s="269"/>
      <c r="S467" s="270">
        <f t="shared" si="463"/>
        <v>3</v>
      </c>
      <c r="T467" s="255"/>
      <c r="U467" s="256"/>
      <c r="V467" s="257"/>
      <c r="W467" s="269"/>
      <c r="X467" s="270">
        <f t="shared" si="464"/>
        <v>0</v>
      </c>
      <c r="Y467" s="260">
        <f t="shared" si="454"/>
        <v>3</v>
      </c>
      <c r="Z467" s="261">
        <v>46008</v>
      </c>
    </row>
    <row r="468" spans="1:26" x14ac:dyDescent="0.15">
      <c r="A468" s="47" t="s">
        <v>848</v>
      </c>
      <c r="B468" s="16"/>
      <c r="C468" s="29">
        <v>2</v>
      </c>
      <c r="D468" s="17"/>
      <c r="E468" s="20"/>
      <c r="F468" s="45">
        <f t="shared" si="461"/>
        <v>2</v>
      </c>
      <c r="G468" s="16"/>
      <c r="H468" s="29"/>
      <c r="I468" s="17">
        <v>1</v>
      </c>
      <c r="J468" s="20"/>
      <c r="K468" s="45">
        <f t="shared" si="462"/>
        <v>1</v>
      </c>
      <c r="L468" s="104">
        <f t="shared" si="453"/>
        <v>3</v>
      </c>
      <c r="M468" s="56">
        <v>46003</v>
      </c>
      <c r="N468" s="11" t="s">
        <v>60</v>
      </c>
      <c r="O468" s="16">
        <v>2</v>
      </c>
      <c r="P468" s="29">
        <v>4</v>
      </c>
      <c r="Q468" s="17">
        <v>2</v>
      </c>
      <c r="R468" s="32">
        <v>3</v>
      </c>
      <c r="S468" s="9">
        <f t="shared" si="463"/>
        <v>11</v>
      </c>
      <c r="T468" s="16">
        <v>2</v>
      </c>
      <c r="U468" s="29">
        <v>3</v>
      </c>
      <c r="V468" s="17">
        <v>2</v>
      </c>
      <c r="W468" s="32">
        <v>2</v>
      </c>
      <c r="X468" s="9">
        <f t="shared" si="464"/>
        <v>9</v>
      </c>
      <c r="Y468" s="104">
        <f t="shared" si="454"/>
        <v>20</v>
      </c>
      <c r="Z468" s="56">
        <v>45662</v>
      </c>
    </row>
    <row r="469" spans="1:26" x14ac:dyDescent="0.15">
      <c r="A469" s="47" t="s">
        <v>45</v>
      </c>
      <c r="B469" s="16"/>
      <c r="C469" s="29"/>
      <c r="D469" s="17">
        <v>1</v>
      </c>
      <c r="E469" s="20"/>
      <c r="F469" s="45">
        <f t="shared" si="461"/>
        <v>1</v>
      </c>
      <c r="G469" s="16"/>
      <c r="H469" s="29"/>
      <c r="I469" s="17"/>
      <c r="J469" s="20"/>
      <c r="K469" s="45">
        <f t="shared" si="462"/>
        <v>0</v>
      </c>
      <c r="L469" s="104">
        <f t="shared" si="453"/>
        <v>1</v>
      </c>
      <c r="M469" s="56">
        <v>46001</v>
      </c>
      <c r="N469" s="11" t="s">
        <v>875</v>
      </c>
      <c r="O469" s="206"/>
      <c r="P469" s="207"/>
      <c r="Q469" s="208"/>
      <c r="R469" s="209"/>
      <c r="S469" s="9">
        <f t="shared" si="463"/>
        <v>0</v>
      </c>
      <c r="T469" s="16">
        <v>20</v>
      </c>
      <c r="U469" s="29">
        <v>25</v>
      </c>
      <c r="V469" s="17">
        <v>20</v>
      </c>
      <c r="W469" s="32">
        <v>10</v>
      </c>
      <c r="X469" s="9">
        <f t="shared" si="464"/>
        <v>75</v>
      </c>
      <c r="Y469" s="104">
        <f t="shared" si="454"/>
        <v>75</v>
      </c>
      <c r="Z469" s="56">
        <v>45666</v>
      </c>
    </row>
    <row r="470" spans="1:26" x14ac:dyDescent="0.15">
      <c r="A470" s="47" t="s">
        <v>45</v>
      </c>
      <c r="B470" s="16"/>
      <c r="C470" s="29"/>
      <c r="D470" s="17"/>
      <c r="E470" s="20"/>
      <c r="F470" s="45">
        <f t="shared" si="461"/>
        <v>0</v>
      </c>
      <c r="G470" s="16"/>
      <c r="H470" s="29"/>
      <c r="I470" s="17"/>
      <c r="J470" s="20">
        <v>1</v>
      </c>
      <c r="K470" s="45">
        <f t="shared" si="462"/>
        <v>1</v>
      </c>
      <c r="L470" s="104">
        <f t="shared" si="453"/>
        <v>1</v>
      </c>
      <c r="M470" s="58">
        <v>46003</v>
      </c>
      <c r="N470" s="11" t="s">
        <v>801</v>
      </c>
      <c r="O470" s="206"/>
      <c r="P470" s="207"/>
      <c r="Q470" s="208"/>
      <c r="R470" s="209"/>
      <c r="S470" s="9">
        <f t="shared" si="463"/>
        <v>0</v>
      </c>
      <c r="T470" s="16"/>
      <c r="U470" s="29">
        <v>10</v>
      </c>
      <c r="V470" s="17">
        <v>10</v>
      </c>
      <c r="W470" s="32"/>
      <c r="X470" s="9">
        <f t="shared" si="464"/>
        <v>20</v>
      </c>
      <c r="Y470" s="104">
        <f t="shared" si="454"/>
        <v>20</v>
      </c>
      <c r="Z470" s="56">
        <v>46045</v>
      </c>
    </row>
    <row r="471" spans="1:26" x14ac:dyDescent="0.15">
      <c r="A471" s="47" t="s">
        <v>848</v>
      </c>
      <c r="B471" s="16"/>
      <c r="C471" s="29">
        <v>1</v>
      </c>
      <c r="D471" s="17"/>
      <c r="E471" s="20"/>
      <c r="F471" s="45">
        <f t="shared" si="461"/>
        <v>1</v>
      </c>
      <c r="G471" s="16"/>
      <c r="H471" s="29"/>
      <c r="I471" s="17"/>
      <c r="J471" s="20"/>
      <c r="K471" s="45">
        <f t="shared" si="462"/>
        <v>0</v>
      </c>
      <c r="L471" s="104">
        <f t="shared" si="453"/>
        <v>1</v>
      </c>
      <c r="M471" s="56">
        <v>46008</v>
      </c>
      <c r="N471" s="11" t="s">
        <v>835</v>
      </c>
      <c r="O471" s="206"/>
      <c r="P471" s="207"/>
      <c r="Q471" s="208"/>
      <c r="R471" s="209"/>
      <c r="S471" s="9">
        <f t="shared" si="463"/>
        <v>0</v>
      </c>
      <c r="T471" s="16">
        <v>15</v>
      </c>
      <c r="U471" s="29">
        <v>10</v>
      </c>
      <c r="V471" s="17"/>
      <c r="W471" s="32">
        <v>10</v>
      </c>
      <c r="X471" s="9">
        <f t="shared" si="464"/>
        <v>35</v>
      </c>
      <c r="Y471" s="104">
        <f t="shared" si="454"/>
        <v>35</v>
      </c>
      <c r="Z471" s="56">
        <v>46051</v>
      </c>
    </row>
    <row r="472" spans="1:26" x14ac:dyDescent="0.15">
      <c r="A472" s="47" t="s">
        <v>864</v>
      </c>
      <c r="B472" s="16"/>
      <c r="C472" s="29"/>
      <c r="D472" s="17"/>
      <c r="E472" s="20"/>
      <c r="F472" s="45">
        <f t="shared" si="461"/>
        <v>0</v>
      </c>
      <c r="G472" s="16"/>
      <c r="H472" s="29">
        <v>-5</v>
      </c>
      <c r="I472" s="17">
        <v>-2</v>
      </c>
      <c r="J472" s="20">
        <v>-5</v>
      </c>
      <c r="K472" s="45">
        <f t="shared" si="462"/>
        <v>-12</v>
      </c>
      <c r="L472" s="104">
        <f t="shared" si="453"/>
        <v>-12</v>
      </c>
      <c r="M472" s="58">
        <v>46008</v>
      </c>
      <c r="N472" s="11" t="s">
        <v>85</v>
      </c>
      <c r="O472" s="16">
        <v>5</v>
      </c>
      <c r="P472" s="29">
        <v>4</v>
      </c>
      <c r="Q472" s="17">
        <v>3</v>
      </c>
      <c r="R472" s="32">
        <v>3</v>
      </c>
      <c r="S472" s="9">
        <f>SUM(O472:R472)</f>
        <v>15</v>
      </c>
      <c r="T472" s="16">
        <v>1</v>
      </c>
      <c r="U472" s="29">
        <v>2</v>
      </c>
      <c r="V472" s="17">
        <v>2</v>
      </c>
      <c r="W472" s="32">
        <v>2</v>
      </c>
      <c r="X472" s="9">
        <f>SUM(T472:W472)</f>
        <v>7</v>
      </c>
      <c r="Y472" s="104">
        <f t="shared" si="454"/>
        <v>22</v>
      </c>
      <c r="Z472" s="56">
        <v>46041</v>
      </c>
    </row>
    <row r="473" spans="1:26" x14ac:dyDescent="0.15">
      <c r="A473" s="47" t="s">
        <v>868</v>
      </c>
      <c r="B473" s="16"/>
      <c r="C473" s="29"/>
      <c r="D473" s="17">
        <v>1</v>
      </c>
      <c r="E473" s="20"/>
      <c r="F473" s="45">
        <f t="shared" si="461"/>
        <v>1</v>
      </c>
      <c r="G473" s="16"/>
      <c r="H473" s="29"/>
      <c r="I473" s="17"/>
      <c r="J473" s="20"/>
      <c r="K473" s="45">
        <f t="shared" si="462"/>
        <v>0</v>
      </c>
      <c r="L473" s="104">
        <f t="shared" si="453"/>
        <v>1</v>
      </c>
      <c r="M473" s="56">
        <v>46010</v>
      </c>
      <c r="N473" s="33" t="s">
        <v>903</v>
      </c>
      <c r="O473" s="16"/>
      <c r="P473" s="29"/>
      <c r="Q473" s="17"/>
      <c r="R473" s="32"/>
      <c r="S473" s="9">
        <f t="shared" ref="S473:S478" si="465">SUM(O473:R473)</f>
        <v>0</v>
      </c>
      <c r="T473" s="16"/>
      <c r="U473" s="29">
        <v>-5</v>
      </c>
      <c r="V473" s="17"/>
      <c r="W473" s="32">
        <v>-3</v>
      </c>
      <c r="X473" s="9">
        <f t="shared" ref="X473:X478" si="466">SUM(T473:W473)</f>
        <v>-8</v>
      </c>
      <c r="Y473" s="104">
        <f t="shared" si="454"/>
        <v>-8</v>
      </c>
      <c r="Z473" s="58">
        <v>46039</v>
      </c>
    </row>
    <row r="474" spans="1:26" x14ac:dyDescent="0.15">
      <c r="A474" s="47" t="s">
        <v>869</v>
      </c>
      <c r="B474" s="16"/>
      <c r="C474" s="29"/>
      <c r="D474" s="17"/>
      <c r="E474" s="20"/>
      <c r="F474" s="45">
        <f t="shared" si="461"/>
        <v>0</v>
      </c>
      <c r="G474" s="16">
        <v>-4</v>
      </c>
      <c r="H474" s="29">
        <v>-6</v>
      </c>
      <c r="I474" s="17">
        <v>-2</v>
      </c>
      <c r="J474" s="20">
        <v>-3</v>
      </c>
      <c r="K474" s="45">
        <f t="shared" si="462"/>
        <v>-15</v>
      </c>
      <c r="L474" s="104">
        <f t="shared" si="453"/>
        <v>-15</v>
      </c>
      <c r="M474" s="56">
        <v>46007</v>
      </c>
      <c r="N474" s="289" t="s">
        <v>822</v>
      </c>
      <c r="O474" s="255"/>
      <c r="P474" s="256"/>
      <c r="Q474" s="257"/>
      <c r="R474" s="269">
        <v>3</v>
      </c>
      <c r="S474" s="270">
        <f t="shared" si="465"/>
        <v>3</v>
      </c>
      <c r="T474" s="255"/>
      <c r="U474" s="256"/>
      <c r="V474" s="257"/>
      <c r="W474" s="269"/>
      <c r="X474" s="270">
        <f t="shared" si="466"/>
        <v>0</v>
      </c>
      <c r="Y474" s="260">
        <f t="shared" si="454"/>
        <v>3</v>
      </c>
      <c r="Z474" s="261">
        <v>46043</v>
      </c>
    </row>
    <row r="475" spans="1:26" x14ac:dyDescent="0.15">
      <c r="A475" s="33" t="s">
        <v>262</v>
      </c>
      <c r="B475" s="16"/>
      <c r="C475" s="29">
        <v>-1</v>
      </c>
      <c r="D475" s="17">
        <v>-2</v>
      </c>
      <c r="E475" s="20"/>
      <c r="F475" s="45">
        <f t="shared" si="461"/>
        <v>-3</v>
      </c>
      <c r="G475" s="16"/>
      <c r="H475" s="29"/>
      <c r="I475" s="17"/>
      <c r="J475" s="20"/>
      <c r="K475" s="45">
        <f t="shared" si="462"/>
        <v>0</v>
      </c>
      <c r="L475" s="104">
        <f t="shared" si="453"/>
        <v>-3</v>
      </c>
      <c r="M475" s="58">
        <v>46015</v>
      </c>
      <c r="N475" s="33" t="s">
        <v>913</v>
      </c>
      <c r="O475" s="16"/>
      <c r="P475" s="29">
        <v>15</v>
      </c>
      <c r="Q475" s="17">
        <v>10</v>
      </c>
      <c r="R475" s="32">
        <v>3</v>
      </c>
      <c r="S475" s="9">
        <f t="shared" si="465"/>
        <v>28</v>
      </c>
      <c r="T475" s="16"/>
      <c r="U475" s="29"/>
      <c r="V475" s="17"/>
      <c r="W475" s="32"/>
      <c r="X475" s="9">
        <f t="shared" si="466"/>
        <v>0</v>
      </c>
      <c r="Y475" s="104">
        <f t="shared" si="454"/>
        <v>28</v>
      </c>
      <c r="Z475" s="56">
        <v>46045</v>
      </c>
    </row>
    <row r="476" spans="1:26" x14ac:dyDescent="0.15">
      <c r="A476" s="47" t="s">
        <v>45</v>
      </c>
      <c r="B476" s="16"/>
      <c r="C476" s="29"/>
      <c r="D476" s="17"/>
      <c r="E476" s="20"/>
      <c r="F476" s="45">
        <f t="shared" si="461"/>
        <v>0</v>
      </c>
      <c r="G476" s="16"/>
      <c r="H476" s="29"/>
      <c r="I476" s="17">
        <v>1</v>
      </c>
      <c r="J476" s="20"/>
      <c r="K476" s="45">
        <f t="shared" si="462"/>
        <v>1</v>
      </c>
      <c r="L476" s="104">
        <f t="shared" si="453"/>
        <v>1</v>
      </c>
      <c r="M476" s="56">
        <v>46016</v>
      </c>
      <c r="N476" s="33" t="s">
        <v>917</v>
      </c>
      <c r="O476" s="16"/>
      <c r="P476" s="29"/>
      <c r="Q476" s="17"/>
      <c r="R476" s="32"/>
      <c r="S476" s="9">
        <f t="shared" si="465"/>
        <v>0</v>
      </c>
      <c r="T476" s="16"/>
      <c r="U476" s="29"/>
      <c r="V476" s="17">
        <v>4</v>
      </c>
      <c r="W476" s="32">
        <v>5</v>
      </c>
      <c r="X476" s="9">
        <f t="shared" si="466"/>
        <v>9</v>
      </c>
      <c r="Y476" s="104">
        <f t="shared" si="454"/>
        <v>9</v>
      </c>
      <c r="Z476" s="56">
        <v>46049</v>
      </c>
    </row>
    <row r="477" spans="1:26" x14ac:dyDescent="0.15">
      <c r="A477" s="47" t="s">
        <v>878</v>
      </c>
      <c r="B477" s="16"/>
      <c r="C477" s="29"/>
      <c r="D477" s="17"/>
      <c r="E477" s="20"/>
      <c r="F477" s="45">
        <f t="shared" si="461"/>
        <v>0</v>
      </c>
      <c r="G477" s="16"/>
      <c r="H477" s="29">
        <v>1</v>
      </c>
      <c r="I477" s="17"/>
      <c r="J477" s="20"/>
      <c r="K477" s="45">
        <f t="shared" si="462"/>
        <v>1</v>
      </c>
      <c r="L477" s="104">
        <f t="shared" si="453"/>
        <v>1</v>
      </c>
      <c r="M477" s="56">
        <v>46029</v>
      </c>
      <c r="N477" s="11"/>
      <c r="O477" s="16"/>
      <c r="P477" s="29"/>
      <c r="Q477" s="17"/>
      <c r="R477" s="32"/>
      <c r="S477" s="9">
        <f t="shared" si="465"/>
        <v>0</v>
      </c>
      <c r="T477" s="16"/>
      <c r="U477" s="29"/>
      <c r="V477" s="17"/>
      <c r="W477" s="32"/>
      <c r="X477" s="9">
        <f t="shared" si="466"/>
        <v>0</v>
      </c>
      <c r="Y477" s="104">
        <f t="shared" ref="Y477:Y478" si="467">S477+X477</f>
        <v>0</v>
      </c>
    </row>
    <row r="478" spans="1:26" x14ac:dyDescent="0.15">
      <c r="A478" s="47" t="s">
        <v>45</v>
      </c>
      <c r="B478" s="16"/>
      <c r="C478" s="29">
        <v>1</v>
      </c>
      <c r="D478" s="17">
        <v>1</v>
      </c>
      <c r="E478" s="20">
        <v>1</v>
      </c>
      <c r="F478" s="45">
        <f t="shared" si="461"/>
        <v>3</v>
      </c>
      <c r="G478" s="16">
        <v>1</v>
      </c>
      <c r="H478" s="29">
        <v>1</v>
      </c>
      <c r="I478" s="17"/>
      <c r="J478" s="20"/>
      <c r="K478" s="45">
        <f t="shared" si="462"/>
        <v>2</v>
      </c>
      <c r="L478" s="104">
        <f t="shared" si="453"/>
        <v>5</v>
      </c>
      <c r="M478" s="58">
        <v>46027</v>
      </c>
      <c r="N478" s="11"/>
      <c r="O478" s="16"/>
      <c r="P478" s="29"/>
      <c r="Q478" s="17"/>
      <c r="R478" s="32"/>
      <c r="S478" s="9">
        <f t="shared" si="465"/>
        <v>0</v>
      </c>
      <c r="T478" s="16"/>
      <c r="U478" s="29"/>
      <c r="V478" s="17"/>
      <c r="W478" s="32"/>
      <c r="X478" s="9">
        <f t="shared" si="466"/>
        <v>0</v>
      </c>
      <c r="Y478" s="104">
        <f t="shared" si="467"/>
        <v>0</v>
      </c>
    </row>
    <row r="479" spans="1:26" x14ac:dyDescent="0.15">
      <c r="A479" s="47" t="s">
        <v>45</v>
      </c>
      <c r="B479" s="16"/>
      <c r="C479" s="29"/>
      <c r="D479" s="17">
        <v>1</v>
      </c>
      <c r="E479" s="20">
        <v>1</v>
      </c>
      <c r="F479" s="45">
        <f t="shared" si="461"/>
        <v>2</v>
      </c>
      <c r="G479" s="16"/>
      <c r="H479" s="29"/>
      <c r="I479" s="17"/>
      <c r="J479" s="20">
        <v>1</v>
      </c>
      <c r="K479" s="45">
        <f t="shared" si="462"/>
        <v>1</v>
      </c>
      <c r="L479" s="104">
        <f t="shared" si="453"/>
        <v>3</v>
      </c>
      <c r="M479" s="58">
        <v>46035</v>
      </c>
      <c r="N479" s="11"/>
      <c r="O479" s="16"/>
      <c r="P479" s="29"/>
      <c r="Q479" s="17"/>
      <c r="R479" s="32"/>
      <c r="S479" s="9">
        <f>SUM(O479:R479)</f>
        <v>0</v>
      </c>
      <c r="T479" s="16"/>
      <c r="U479" s="29"/>
      <c r="V479" s="17"/>
      <c r="W479" s="32"/>
      <c r="X479" s="9">
        <f>SUM(T479:W479)</f>
        <v>0</v>
      </c>
      <c r="Y479" s="104">
        <f t="shared" si="454"/>
        <v>0</v>
      </c>
    </row>
    <row r="480" spans="1:26" x14ac:dyDescent="0.15">
      <c r="A480" s="47" t="s">
        <v>45</v>
      </c>
      <c r="B480" s="16"/>
      <c r="C480" s="29"/>
      <c r="D480" s="17"/>
      <c r="E480" s="20"/>
      <c r="F480" s="45">
        <f t="shared" si="461"/>
        <v>0</v>
      </c>
      <c r="G480" s="16">
        <v>1</v>
      </c>
      <c r="H480" s="29"/>
      <c r="I480" s="17"/>
      <c r="J480" s="20"/>
      <c r="K480" s="45">
        <f t="shared" si="462"/>
        <v>1</v>
      </c>
      <c r="L480" s="104">
        <f t="shared" si="453"/>
        <v>1</v>
      </c>
      <c r="M480" s="58">
        <v>46037</v>
      </c>
      <c r="N480" s="72"/>
      <c r="O480" s="16"/>
      <c r="P480" s="29"/>
      <c r="Q480" s="17"/>
      <c r="R480" s="32"/>
      <c r="S480" s="9">
        <f t="shared" ref="S480:S481" si="468">SUM(O480:R480)</f>
        <v>0</v>
      </c>
      <c r="T480" s="16"/>
      <c r="U480" s="29"/>
      <c r="V480" s="17"/>
      <c r="W480" s="32"/>
      <c r="X480" s="9">
        <f t="shared" ref="X480:X481" si="469">SUM(T480:W480)</f>
        <v>0</v>
      </c>
      <c r="Y480" s="104">
        <f t="shared" si="454"/>
        <v>0</v>
      </c>
    </row>
    <row r="481" spans="1:27" x14ac:dyDescent="0.15">
      <c r="A481" s="47" t="s">
        <v>902</v>
      </c>
      <c r="B481" s="16"/>
      <c r="C481" s="29"/>
      <c r="D481" s="17"/>
      <c r="E481" s="20"/>
      <c r="F481" s="45">
        <f t="shared" si="461"/>
        <v>0</v>
      </c>
      <c r="G481" s="16"/>
      <c r="H481" s="29">
        <v>5</v>
      </c>
      <c r="I481" s="17"/>
      <c r="J481" s="20">
        <v>3</v>
      </c>
      <c r="K481" s="45">
        <f t="shared" si="462"/>
        <v>8</v>
      </c>
      <c r="L481" s="104">
        <f t="shared" si="453"/>
        <v>8</v>
      </c>
      <c r="M481" s="58">
        <v>46039</v>
      </c>
      <c r="N481" s="72"/>
      <c r="O481" s="16"/>
      <c r="P481" s="29"/>
      <c r="Q481" s="17"/>
      <c r="R481" s="32"/>
      <c r="S481" s="9">
        <f t="shared" si="468"/>
        <v>0</v>
      </c>
      <c r="T481" s="16"/>
      <c r="U481" s="29"/>
      <c r="V481" s="17"/>
      <c r="W481" s="32"/>
      <c r="X481" s="9">
        <f t="shared" si="469"/>
        <v>0</v>
      </c>
      <c r="Y481" s="104">
        <f t="shared" si="454"/>
        <v>0</v>
      </c>
    </row>
    <row r="482" spans="1:27" x14ac:dyDescent="0.15">
      <c r="A482" s="47" t="s">
        <v>45</v>
      </c>
      <c r="B482" s="16"/>
      <c r="C482" s="29"/>
      <c r="D482" s="17"/>
      <c r="E482" s="20"/>
      <c r="F482" s="45">
        <f t="shared" si="461"/>
        <v>0</v>
      </c>
      <c r="G482" s="16">
        <v>1</v>
      </c>
      <c r="H482" s="29"/>
      <c r="I482" s="17"/>
      <c r="J482" s="20"/>
      <c r="K482" s="45">
        <f t="shared" si="462"/>
        <v>1</v>
      </c>
      <c r="L482" s="104">
        <f t="shared" si="453"/>
        <v>1</v>
      </c>
      <c r="M482" s="58">
        <v>46039</v>
      </c>
      <c r="N482" s="72"/>
      <c r="O482" s="16"/>
      <c r="P482" s="29"/>
      <c r="Q482" s="17"/>
      <c r="R482" s="32"/>
      <c r="S482" s="9">
        <f t="shared" ref="S482:S485" si="470">SUM(O482:R482)</f>
        <v>0</v>
      </c>
      <c r="T482" s="16"/>
      <c r="U482" s="29"/>
      <c r="V482" s="17"/>
      <c r="W482" s="32"/>
      <c r="X482" s="9">
        <f t="shared" ref="X482:X485" si="471">SUM(T482:W482)</f>
        <v>0</v>
      </c>
      <c r="Y482" s="104">
        <f t="shared" ref="Y482:Y485" si="472">S482+X482</f>
        <v>0</v>
      </c>
    </row>
    <row r="483" spans="1:27" x14ac:dyDescent="0.15">
      <c r="A483" s="47" t="s">
        <v>45</v>
      </c>
      <c r="B483" s="16">
        <v>1</v>
      </c>
      <c r="C483" s="29"/>
      <c r="D483" s="17"/>
      <c r="E483" s="20"/>
      <c r="F483" s="45">
        <f t="shared" si="461"/>
        <v>1</v>
      </c>
      <c r="G483" s="16"/>
      <c r="H483" s="29"/>
      <c r="I483" s="17"/>
      <c r="J483" s="20"/>
      <c r="K483" s="45">
        <f t="shared" si="462"/>
        <v>0</v>
      </c>
      <c r="L483" s="104">
        <f t="shared" si="453"/>
        <v>1</v>
      </c>
      <c r="M483" s="56">
        <v>46041</v>
      </c>
      <c r="N483" s="72"/>
      <c r="O483" s="16"/>
      <c r="P483" s="29"/>
      <c r="Q483" s="17"/>
      <c r="R483" s="32"/>
      <c r="S483" s="9">
        <f t="shared" si="470"/>
        <v>0</v>
      </c>
      <c r="T483" s="16"/>
      <c r="U483" s="29"/>
      <c r="V483" s="17"/>
      <c r="W483" s="32"/>
      <c r="X483" s="9">
        <f t="shared" si="471"/>
        <v>0</v>
      </c>
      <c r="Y483" s="104">
        <f t="shared" si="472"/>
        <v>0</v>
      </c>
    </row>
    <row r="484" spans="1:27" x14ac:dyDescent="0.15">
      <c r="A484" s="254" t="s">
        <v>150</v>
      </c>
      <c r="B484" s="255"/>
      <c r="C484" s="256"/>
      <c r="D484" s="257"/>
      <c r="E484" s="258">
        <v>-3</v>
      </c>
      <c r="F484" s="259">
        <f t="shared" si="461"/>
        <v>-3</v>
      </c>
      <c r="G484" s="255"/>
      <c r="H484" s="256"/>
      <c r="I484" s="257"/>
      <c r="J484" s="258"/>
      <c r="K484" s="259">
        <f t="shared" si="462"/>
        <v>0</v>
      </c>
      <c r="L484" s="260">
        <f t="shared" si="453"/>
        <v>-3</v>
      </c>
      <c r="M484" s="261">
        <v>46043</v>
      </c>
      <c r="N484" s="72" t="s">
        <v>721</v>
      </c>
      <c r="O484" s="166"/>
      <c r="P484" s="167"/>
      <c r="Q484" s="160"/>
      <c r="R484" s="168"/>
      <c r="S484" s="165">
        <f t="shared" si="470"/>
        <v>0</v>
      </c>
      <c r="T484" s="166"/>
      <c r="U484" s="167"/>
      <c r="V484" s="160"/>
      <c r="W484" s="168"/>
      <c r="X484" s="165">
        <f t="shared" si="471"/>
        <v>0</v>
      </c>
      <c r="Y484" s="169">
        <f t="shared" si="472"/>
        <v>0</v>
      </c>
      <c r="Z484" s="157"/>
    </row>
    <row r="485" spans="1:27" x14ac:dyDescent="0.15">
      <c r="A485" s="47" t="s">
        <v>914</v>
      </c>
      <c r="B485" s="16"/>
      <c r="C485" s="29"/>
      <c r="D485" s="17"/>
      <c r="E485" s="20"/>
      <c r="F485" s="45">
        <f t="shared" si="461"/>
        <v>0</v>
      </c>
      <c r="G485" s="16"/>
      <c r="H485" s="29">
        <v>-4</v>
      </c>
      <c r="I485" s="17">
        <v>-4</v>
      </c>
      <c r="J485" s="20">
        <v>-1</v>
      </c>
      <c r="K485" s="45">
        <f t="shared" si="462"/>
        <v>-9</v>
      </c>
      <c r="L485" s="104">
        <f t="shared" si="453"/>
        <v>-9</v>
      </c>
      <c r="M485" s="58">
        <v>46043</v>
      </c>
      <c r="N485" s="11" t="s">
        <v>28</v>
      </c>
      <c r="O485" s="16"/>
      <c r="P485" s="29"/>
      <c r="Q485" s="17"/>
      <c r="R485" s="32"/>
      <c r="S485" s="9">
        <f t="shared" si="470"/>
        <v>0</v>
      </c>
      <c r="T485" s="16"/>
      <c r="U485" s="29"/>
      <c r="V485" s="17"/>
      <c r="W485" s="32"/>
      <c r="X485" s="9">
        <f t="shared" si="471"/>
        <v>0</v>
      </c>
      <c r="Y485" s="104">
        <f t="shared" si="472"/>
        <v>0</v>
      </c>
      <c r="Z485" s="157" t="s">
        <v>720</v>
      </c>
    </row>
    <row r="486" spans="1:27" x14ac:dyDescent="0.15">
      <c r="A486" s="47" t="s">
        <v>45</v>
      </c>
      <c r="B486" s="16"/>
      <c r="C486" s="29"/>
      <c r="D486" s="17"/>
      <c r="E486" s="20">
        <v>1</v>
      </c>
      <c r="F486" s="45">
        <f t="shared" si="461"/>
        <v>1</v>
      </c>
      <c r="G486" s="16"/>
      <c r="H486" s="29"/>
      <c r="I486" s="17"/>
      <c r="J486" s="20"/>
      <c r="K486" s="45">
        <f t="shared" si="462"/>
        <v>0</v>
      </c>
      <c r="L486" s="104">
        <f t="shared" si="453"/>
        <v>1</v>
      </c>
      <c r="M486" s="56">
        <v>46043</v>
      </c>
      <c r="N486" s="33" t="s">
        <v>791</v>
      </c>
      <c r="O486" s="16"/>
      <c r="P486" s="29"/>
      <c r="Q486" s="17"/>
      <c r="R486" s="32"/>
      <c r="S486" s="9">
        <f t="shared" ref="S486:S487" si="473">SUM(O486:R486)</f>
        <v>0</v>
      </c>
      <c r="T486" s="16"/>
      <c r="U486" s="29"/>
      <c r="V486" s="17"/>
      <c r="W486" s="32"/>
      <c r="X486" s="9">
        <f t="shared" ref="X486:X487" si="474">SUM(T486:W486)</f>
        <v>0</v>
      </c>
      <c r="Y486" s="104">
        <f t="shared" ref="Y486:Y488" si="475">S486+X486</f>
        <v>0</v>
      </c>
      <c r="Z486" s="157" t="s">
        <v>792</v>
      </c>
      <c r="AA486" s="35"/>
    </row>
    <row r="487" spans="1:27" x14ac:dyDescent="0.15">
      <c r="A487" s="47" t="s">
        <v>916</v>
      </c>
      <c r="B487" s="16"/>
      <c r="C487" s="29">
        <v>1</v>
      </c>
      <c r="D487" s="17"/>
      <c r="E487" s="20"/>
      <c r="F487" s="45">
        <f t="shared" si="461"/>
        <v>1</v>
      </c>
      <c r="G487" s="16"/>
      <c r="H487" s="29"/>
      <c r="I487" s="17">
        <v>1</v>
      </c>
      <c r="J487" s="20"/>
      <c r="K487" s="45">
        <f t="shared" si="462"/>
        <v>1</v>
      </c>
      <c r="L487" s="104">
        <f t="shared" si="453"/>
        <v>2</v>
      </c>
      <c r="M487" s="56">
        <v>46045</v>
      </c>
      <c r="N487" s="137" t="s">
        <v>782</v>
      </c>
      <c r="O487" s="171"/>
      <c r="P487" s="172"/>
      <c r="Q487" s="173"/>
      <c r="R487" s="174"/>
      <c r="S487" s="175">
        <f t="shared" si="473"/>
        <v>0</v>
      </c>
      <c r="T487" s="171"/>
      <c r="U487" s="172"/>
      <c r="V487" s="173"/>
      <c r="W487" s="174"/>
      <c r="X487" s="175">
        <f t="shared" si="474"/>
        <v>0</v>
      </c>
      <c r="Y487" s="169">
        <f t="shared" si="475"/>
        <v>0</v>
      </c>
      <c r="Z487" s="157"/>
      <c r="AA487" s="35"/>
    </row>
    <row r="488" spans="1:27" x14ac:dyDescent="0.15">
      <c r="A488" s="47" t="s">
        <v>922</v>
      </c>
      <c r="B488" s="16"/>
      <c r="C488" s="29">
        <v>1</v>
      </c>
      <c r="D488" s="17">
        <v>1</v>
      </c>
      <c r="E488" s="20"/>
      <c r="F488" s="45">
        <f t="shared" si="461"/>
        <v>2</v>
      </c>
      <c r="G488" s="16"/>
      <c r="H488" s="29">
        <v>1</v>
      </c>
      <c r="I488" s="17"/>
      <c r="J488" s="20"/>
      <c r="K488" s="45">
        <f t="shared" si="462"/>
        <v>1</v>
      </c>
      <c r="L488" s="104">
        <f t="shared" si="453"/>
        <v>3</v>
      </c>
      <c r="M488" s="56">
        <v>46051</v>
      </c>
      <c r="N488" s="33" t="s">
        <v>780</v>
      </c>
      <c r="O488" s="16"/>
      <c r="P488" s="29"/>
      <c r="Q488" s="17"/>
      <c r="R488" s="32"/>
      <c r="S488" s="9">
        <f>SUM(O488:R488)</f>
        <v>0</v>
      </c>
      <c r="T488" s="16"/>
      <c r="U488" s="29"/>
      <c r="V488" s="17"/>
      <c r="W488" s="32"/>
      <c r="X488" s="9">
        <f>SUM(T488:W488)</f>
        <v>0</v>
      </c>
      <c r="Y488" s="104">
        <f t="shared" si="475"/>
        <v>0</v>
      </c>
      <c r="Z488" s="157" t="s">
        <v>781</v>
      </c>
      <c r="AA488" s="35"/>
    </row>
    <row r="489" spans="1:27" x14ac:dyDescent="0.15">
      <c r="A489" s="47" t="s">
        <v>923</v>
      </c>
      <c r="B489" s="16"/>
      <c r="C489" s="29"/>
      <c r="D489" s="17">
        <v>1</v>
      </c>
      <c r="E489" s="20"/>
      <c r="F489" s="45">
        <f t="shared" si="461"/>
        <v>1</v>
      </c>
      <c r="G489" s="16"/>
      <c r="H489" s="29"/>
      <c r="I489" s="17"/>
      <c r="J489" s="20"/>
      <c r="K489" s="45">
        <f t="shared" si="462"/>
        <v>0</v>
      </c>
      <c r="L489" s="104">
        <f t="shared" si="453"/>
        <v>1</v>
      </c>
      <c r="M489" s="56">
        <v>46052</v>
      </c>
      <c r="N489" s="72" t="s">
        <v>711</v>
      </c>
      <c r="O489" s="161"/>
      <c r="P489" s="162"/>
      <c r="Q489" s="163"/>
      <c r="R489" s="164"/>
      <c r="S489" s="165">
        <f t="shared" ref="S489:S491" si="476">SUM(O489:R489)</f>
        <v>0</v>
      </c>
      <c r="T489" s="166"/>
      <c r="U489" s="167"/>
      <c r="V489" s="160"/>
      <c r="W489" s="168"/>
      <c r="X489" s="165">
        <f t="shared" ref="X489:X491" si="477">SUM(T489:W489)</f>
        <v>0</v>
      </c>
      <c r="Y489" s="169">
        <f t="shared" si="454"/>
        <v>0</v>
      </c>
      <c r="Z489" s="224"/>
      <c r="AA489" s="35"/>
    </row>
    <row r="490" spans="1:27" ht="14.25" thickBot="1" x14ac:dyDescent="0.2">
      <c r="A490" s="47" t="s">
        <v>927</v>
      </c>
      <c r="B490" s="37"/>
      <c r="C490" s="38">
        <v>-1</v>
      </c>
      <c r="D490" s="39"/>
      <c r="E490" s="40"/>
      <c r="F490" s="45">
        <f t="shared" si="461"/>
        <v>-1</v>
      </c>
      <c r="G490" s="37"/>
      <c r="H490" s="38"/>
      <c r="I490" s="39"/>
      <c r="J490" s="40"/>
      <c r="K490" s="45">
        <f t="shared" si="462"/>
        <v>0</v>
      </c>
      <c r="L490" s="104">
        <f t="shared" si="453"/>
        <v>-1</v>
      </c>
      <c r="M490" s="58">
        <v>46048</v>
      </c>
      <c r="N490" s="128" t="s">
        <v>644</v>
      </c>
      <c r="O490" s="123"/>
      <c r="P490" s="124"/>
      <c r="Q490" s="125"/>
      <c r="R490" s="126"/>
      <c r="S490" s="10">
        <f t="shared" si="476"/>
        <v>0</v>
      </c>
      <c r="T490" s="37"/>
      <c r="U490" s="38"/>
      <c r="V490" s="39"/>
      <c r="W490" s="129"/>
      <c r="X490" s="10">
        <f t="shared" si="477"/>
        <v>0</v>
      </c>
      <c r="Y490" s="101">
        <f t="shared" si="454"/>
        <v>0</v>
      </c>
      <c r="Z490" s="56">
        <v>45669</v>
      </c>
    </row>
    <row r="491" spans="1:27" ht="14.25" thickBot="1" x14ac:dyDescent="0.2">
      <c r="A491" s="13" t="s">
        <v>8</v>
      </c>
      <c r="B491" s="22">
        <f>SUM(B466:B490)</f>
        <v>2</v>
      </c>
      <c r="C491" s="30">
        <f>SUM(C466:C490)</f>
        <v>4</v>
      </c>
      <c r="D491" s="23">
        <f>SUM(D466:D490)</f>
        <v>4</v>
      </c>
      <c r="E491" s="24">
        <f>SUM(E466:E490)</f>
        <v>0</v>
      </c>
      <c r="F491" s="21">
        <f t="shared" si="461"/>
        <v>10</v>
      </c>
      <c r="G491" s="22">
        <f>SUM(G466:G490)</f>
        <v>0</v>
      </c>
      <c r="H491" s="30">
        <f>SUM(H466:H490)</f>
        <v>-7</v>
      </c>
      <c r="I491" s="23">
        <f>SUM(I466:I490)</f>
        <v>-3</v>
      </c>
      <c r="J491" s="24">
        <f>SUM(J466:J490)</f>
        <v>-4</v>
      </c>
      <c r="K491" s="21">
        <f>SUM(G491:J491)</f>
        <v>-14</v>
      </c>
      <c r="L491" s="105">
        <f t="shared" si="453"/>
        <v>-4</v>
      </c>
      <c r="N491" s="49" t="s">
        <v>8</v>
      </c>
      <c r="O491" s="22">
        <f>SUM(O466:O490)</f>
        <v>7</v>
      </c>
      <c r="P491" s="30">
        <f>SUM(P466:P490)</f>
        <v>26</v>
      </c>
      <c r="Q491" s="23">
        <f>SUM(Q466:Q490)</f>
        <v>18</v>
      </c>
      <c r="R491" s="24">
        <f>SUM(R466:R490)</f>
        <v>12</v>
      </c>
      <c r="S491" s="48">
        <f t="shared" si="476"/>
        <v>63</v>
      </c>
      <c r="T491" s="22">
        <f>SUM(T466:T490)</f>
        <v>38</v>
      </c>
      <c r="U491" s="30">
        <f>SUM(U466:U490)</f>
        <v>45</v>
      </c>
      <c r="V491" s="23">
        <f>SUM(V466:V490)</f>
        <v>38</v>
      </c>
      <c r="W491" s="24">
        <f>SUM(W466:W490)</f>
        <v>29</v>
      </c>
      <c r="X491" s="48">
        <f t="shared" si="477"/>
        <v>150</v>
      </c>
      <c r="Y491" s="122">
        <f t="shared" si="454"/>
        <v>213</v>
      </c>
    </row>
    <row r="492" spans="1:27" ht="14.25" thickBot="1" x14ac:dyDescent="0.2">
      <c r="A492" s="14" t="s">
        <v>9</v>
      </c>
      <c r="B492" s="25">
        <f t="shared" ref="B492:K492" si="478">B465-B491</f>
        <v>8</v>
      </c>
      <c r="C492" s="31">
        <f t="shared" si="478"/>
        <v>7</v>
      </c>
      <c r="D492" s="26">
        <f t="shared" si="478"/>
        <v>5</v>
      </c>
      <c r="E492" s="27">
        <f t="shared" si="478"/>
        <v>4</v>
      </c>
      <c r="F492" s="83">
        <f t="shared" si="478"/>
        <v>24</v>
      </c>
      <c r="G492" s="25">
        <f t="shared" si="478"/>
        <v>7</v>
      </c>
      <c r="H492" s="31">
        <f t="shared" si="478"/>
        <v>12</v>
      </c>
      <c r="I492" s="26">
        <f t="shared" si="478"/>
        <v>10</v>
      </c>
      <c r="J492" s="27">
        <f t="shared" si="478"/>
        <v>10</v>
      </c>
      <c r="K492" s="83">
        <f t="shared" si="478"/>
        <v>39</v>
      </c>
      <c r="L492" s="102">
        <f t="shared" si="453"/>
        <v>63</v>
      </c>
      <c r="N492" s="13" t="s">
        <v>9</v>
      </c>
      <c r="O492" s="25">
        <f t="shared" ref="O492:X492" si="479">O465-O491</f>
        <v>117</v>
      </c>
      <c r="P492" s="31">
        <f t="shared" si="479"/>
        <v>122</v>
      </c>
      <c r="Q492" s="26">
        <f t="shared" si="479"/>
        <v>129</v>
      </c>
      <c r="R492" s="27">
        <f t="shared" si="479"/>
        <v>138</v>
      </c>
      <c r="S492" s="36">
        <f t="shared" si="479"/>
        <v>506</v>
      </c>
      <c r="T492" s="25">
        <f t="shared" si="479"/>
        <v>114</v>
      </c>
      <c r="U492" s="31">
        <f t="shared" si="479"/>
        <v>182</v>
      </c>
      <c r="V492" s="26">
        <f t="shared" si="479"/>
        <v>92</v>
      </c>
      <c r="W492" s="27">
        <f t="shared" si="479"/>
        <v>88</v>
      </c>
      <c r="X492" s="36">
        <f t="shared" si="479"/>
        <v>476</v>
      </c>
      <c r="Y492" s="102">
        <f t="shared" si="454"/>
        <v>982</v>
      </c>
    </row>
    <row r="493" spans="1:27" x14ac:dyDescent="0.15">
      <c r="N493" s="241" t="s">
        <v>727</v>
      </c>
      <c r="O493" s="116">
        <f>O491+O453+O415+O377+O339+O303</f>
        <v>206</v>
      </c>
      <c r="P493" s="116">
        <f t="shared" ref="P493:W493" si="480">P491+P453+P415+P377+P339+P303</f>
        <v>330</v>
      </c>
      <c r="Q493" s="116">
        <f t="shared" si="480"/>
        <v>259</v>
      </c>
      <c r="R493" s="116">
        <f t="shared" si="480"/>
        <v>262</v>
      </c>
      <c r="S493" s="116">
        <f t="shared" si="480"/>
        <v>1057</v>
      </c>
      <c r="T493" s="116">
        <f t="shared" si="480"/>
        <v>351</v>
      </c>
      <c r="U493" s="116">
        <f t="shared" si="480"/>
        <v>556</v>
      </c>
      <c r="V493" s="116">
        <f t="shared" si="480"/>
        <v>552</v>
      </c>
      <c r="W493" s="116">
        <f t="shared" si="480"/>
        <v>499</v>
      </c>
      <c r="X493" s="116">
        <f>X491+X453+X415+X377+X339+X303</f>
        <v>1958</v>
      </c>
      <c r="Y493" s="116">
        <v>2975</v>
      </c>
    </row>
    <row r="494" spans="1:27" x14ac:dyDescent="0.15">
      <c r="N494" s="241" t="s">
        <v>312</v>
      </c>
      <c r="O494" s="149">
        <f>O493/$S$493*100</f>
        <v>19.489120151371807</v>
      </c>
      <c r="P494" s="149">
        <f t="shared" ref="P494:S494" si="481">P493/$S$493*100</f>
        <v>31.220435193945129</v>
      </c>
      <c r="Q494" s="149">
        <f t="shared" si="481"/>
        <v>24.503311258278146</v>
      </c>
      <c r="R494" s="149">
        <f t="shared" si="481"/>
        <v>24.787133396404919</v>
      </c>
      <c r="S494" s="149">
        <f t="shared" si="481"/>
        <v>100</v>
      </c>
      <c r="T494" s="149">
        <f>T493/$X$493*100</f>
        <v>17.926455566905005</v>
      </c>
      <c r="U494" s="149">
        <f t="shared" ref="U494:X494" si="482">U493/$X$493*100</f>
        <v>28.396322778345251</v>
      </c>
      <c r="V494" s="149">
        <f t="shared" si="482"/>
        <v>28.192032686414709</v>
      </c>
      <c r="W494" s="149">
        <f t="shared" si="482"/>
        <v>25.485188968335038</v>
      </c>
      <c r="X494" s="149">
        <f t="shared" si="482"/>
        <v>100</v>
      </c>
    </row>
    <row r="495" spans="1:27" ht="19.5" thickBot="1" x14ac:dyDescent="0.25">
      <c r="A495" s="2" t="s">
        <v>16</v>
      </c>
      <c r="B495" s="2"/>
      <c r="C495" s="1"/>
      <c r="D495" s="1"/>
      <c r="E495" s="1"/>
      <c r="F495" s="84"/>
      <c r="G495" s="2"/>
      <c r="H495" s="1" t="s">
        <v>156</v>
      </c>
      <c r="I495" s="1"/>
      <c r="J495" s="1"/>
      <c r="K495" s="84" t="s">
        <v>13</v>
      </c>
      <c r="L495" s="84"/>
      <c r="N495" s="2" t="s">
        <v>17</v>
      </c>
      <c r="O495" s="71"/>
      <c r="P495" s="71"/>
      <c r="Q495" s="71"/>
      <c r="R495" s="71"/>
      <c r="T495" s="71"/>
      <c r="U495" s="1" t="s">
        <v>156</v>
      </c>
      <c r="V495" s="71"/>
      <c r="W495" s="71"/>
      <c r="X495" s="84" t="s">
        <v>13</v>
      </c>
      <c r="Y495" s="84"/>
    </row>
    <row r="496" spans="1:27" ht="14.25" thickBot="1" x14ac:dyDescent="0.2">
      <c r="A496" s="5" t="s">
        <v>0</v>
      </c>
      <c r="B496" s="328" t="s">
        <v>120</v>
      </c>
      <c r="C496" s="329"/>
      <c r="D496" s="329"/>
      <c r="E496" s="329"/>
      <c r="F496" s="330"/>
      <c r="G496" s="331" t="s">
        <v>14</v>
      </c>
      <c r="H496" s="332"/>
      <c r="I496" s="332"/>
      <c r="J496" s="332"/>
      <c r="K496" s="333"/>
      <c r="L496" s="320" t="s">
        <v>30</v>
      </c>
      <c r="N496" s="5" t="s">
        <v>0</v>
      </c>
      <c r="O496" s="328" t="s">
        <v>202</v>
      </c>
      <c r="P496" s="329"/>
      <c r="Q496" s="329"/>
      <c r="R496" s="329"/>
      <c r="S496" s="330"/>
      <c r="T496" s="331" t="s">
        <v>203</v>
      </c>
      <c r="U496" s="332"/>
      <c r="V496" s="332"/>
      <c r="W496" s="332"/>
      <c r="X496" s="333"/>
      <c r="Y496" s="320" t="s">
        <v>30</v>
      </c>
    </row>
    <row r="497" spans="1:27" ht="14.25" thickBot="1" x14ac:dyDescent="0.2">
      <c r="A497" s="5" t="s">
        <v>1</v>
      </c>
      <c r="B497" s="3" t="s">
        <v>22</v>
      </c>
      <c r="C497" s="28" t="s">
        <v>23</v>
      </c>
      <c r="D497" s="4" t="s">
        <v>24</v>
      </c>
      <c r="E497" s="15" t="s">
        <v>25</v>
      </c>
      <c r="F497" s="19" t="s">
        <v>2</v>
      </c>
      <c r="G497" s="3" t="s">
        <v>22</v>
      </c>
      <c r="H497" s="28" t="s">
        <v>23</v>
      </c>
      <c r="I497" s="4" t="s">
        <v>24</v>
      </c>
      <c r="J497" s="15" t="s">
        <v>25</v>
      </c>
      <c r="K497" s="19" t="s">
        <v>2</v>
      </c>
      <c r="L497" s="321"/>
      <c r="N497" s="5" t="s">
        <v>1</v>
      </c>
      <c r="O497" s="3" t="s">
        <v>22</v>
      </c>
      <c r="P497" s="28" t="s">
        <v>23</v>
      </c>
      <c r="Q497" s="4" t="s">
        <v>24</v>
      </c>
      <c r="R497" s="15" t="s">
        <v>25</v>
      </c>
      <c r="S497" s="19" t="s">
        <v>2</v>
      </c>
      <c r="T497" s="3" t="s">
        <v>22</v>
      </c>
      <c r="U497" s="28" t="s">
        <v>23</v>
      </c>
      <c r="V497" s="4" t="s">
        <v>24</v>
      </c>
      <c r="W497" s="15" t="s">
        <v>25</v>
      </c>
      <c r="X497" s="19" t="s">
        <v>2</v>
      </c>
      <c r="Y497" s="321"/>
    </row>
    <row r="498" spans="1:27" x14ac:dyDescent="0.15">
      <c r="A498" s="78" t="s">
        <v>10</v>
      </c>
      <c r="B498" s="79">
        <f>B492</f>
        <v>8</v>
      </c>
      <c r="C498" s="80">
        <f>C492</f>
        <v>7</v>
      </c>
      <c r="D498" s="80">
        <f>D492</f>
        <v>5</v>
      </c>
      <c r="E498" s="81">
        <f>E492</f>
        <v>4</v>
      </c>
      <c r="F498" s="82">
        <f>SUM(B498:E498)</f>
        <v>24</v>
      </c>
      <c r="G498" s="79">
        <f>G492</f>
        <v>7</v>
      </c>
      <c r="H498" s="80">
        <f>H492</f>
        <v>12</v>
      </c>
      <c r="I498" s="80">
        <f>I492</f>
        <v>10</v>
      </c>
      <c r="J498" s="81">
        <f>J492</f>
        <v>10</v>
      </c>
      <c r="K498" s="82">
        <f>SUM(G498:J498)</f>
        <v>39</v>
      </c>
      <c r="L498" s="98">
        <f>F498+K498</f>
        <v>63</v>
      </c>
      <c r="N498" s="78" t="s">
        <v>10</v>
      </c>
      <c r="O498" s="79">
        <f>O492</f>
        <v>117</v>
      </c>
      <c r="P498" s="80">
        <f>P492</f>
        <v>122</v>
      </c>
      <c r="Q498" s="80">
        <f>Q492</f>
        <v>129</v>
      </c>
      <c r="R498" s="81">
        <f>R492</f>
        <v>138</v>
      </c>
      <c r="S498" s="82">
        <f>SUM(O498:R498)</f>
        <v>506</v>
      </c>
      <c r="T498" s="79">
        <f>T492</f>
        <v>114</v>
      </c>
      <c r="U498" s="80">
        <f>U492</f>
        <v>182</v>
      </c>
      <c r="V498" s="80">
        <f>V492</f>
        <v>92</v>
      </c>
      <c r="W498" s="81">
        <f>W492</f>
        <v>88</v>
      </c>
      <c r="X498" s="82">
        <f>SUM(T498:W498)</f>
        <v>476</v>
      </c>
      <c r="Y498" s="98">
        <f>S498+X498</f>
        <v>982</v>
      </c>
    </row>
    <row r="499" spans="1:27" x14ac:dyDescent="0.15">
      <c r="A499" s="47" t="s">
        <v>924</v>
      </c>
      <c r="B499" s="41">
        <v>1</v>
      </c>
      <c r="C499" s="42"/>
      <c r="D499" s="43"/>
      <c r="E499" s="44"/>
      <c r="F499" s="70">
        <f t="shared" ref="F499" si="483">SUM(B499:E499)</f>
        <v>1</v>
      </c>
      <c r="G499" s="41">
        <v>1</v>
      </c>
      <c r="H499" s="42"/>
      <c r="I499" s="43"/>
      <c r="J499" s="44"/>
      <c r="K499" s="70">
        <f t="shared" ref="K499" si="484">SUM(G499:J499)</f>
        <v>1</v>
      </c>
      <c r="L499" s="103">
        <f t="shared" ref="L499" si="485">F499+K499</f>
        <v>2</v>
      </c>
      <c r="M499" s="58">
        <v>46050</v>
      </c>
      <c r="N499" s="12" t="s">
        <v>392</v>
      </c>
      <c r="O499" s="16"/>
      <c r="P499" s="29"/>
      <c r="Q499" s="17"/>
      <c r="R499" s="20"/>
      <c r="S499" s="45">
        <f>SUM(O499:R499)</f>
        <v>0</v>
      </c>
      <c r="T499" s="16"/>
      <c r="U499" s="29">
        <v>5</v>
      </c>
      <c r="V499" s="17"/>
      <c r="W499" s="20"/>
      <c r="X499" s="45">
        <f>SUM(T499:W499)</f>
        <v>5</v>
      </c>
      <c r="Y499" s="100">
        <f t="shared" ref="Y499:Y530" si="486">S499+X499</f>
        <v>5</v>
      </c>
      <c r="Z499" s="58">
        <v>46053</v>
      </c>
    </row>
    <row r="500" spans="1:27" x14ac:dyDescent="0.15">
      <c r="A500" s="12" t="s">
        <v>4</v>
      </c>
      <c r="B500" s="6"/>
      <c r="C500" s="18"/>
      <c r="D500" s="7"/>
      <c r="E500" s="8"/>
      <c r="F500" s="9">
        <f>SUM(B500:E500)</f>
        <v>0</v>
      </c>
      <c r="G500" s="6"/>
      <c r="H500" s="18"/>
      <c r="I500" s="7"/>
      <c r="J500" s="8"/>
      <c r="K500" s="9">
        <f>SUM(G500:J500)</f>
        <v>0</v>
      </c>
      <c r="L500" s="100">
        <f t="shared" ref="L500:L530" si="487">F500+K500</f>
        <v>0</v>
      </c>
      <c r="M500" s="56">
        <v>46063</v>
      </c>
      <c r="N500" s="12" t="s">
        <v>392</v>
      </c>
      <c r="O500" s="16"/>
      <c r="P500" s="29"/>
      <c r="Q500" s="17"/>
      <c r="R500" s="20"/>
      <c r="S500" s="45">
        <f t="shared" ref="S500:S502" si="488">SUM(O500:R500)</f>
        <v>0</v>
      </c>
      <c r="T500" s="16">
        <v>4</v>
      </c>
      <c r="U500" s="29">
        <v>3</v>
      </c>
      <c r="V500" s="17">
        <v>5</v>
      </c>
      <c r="W500" s="20">
        <v>4</v>
      </c>
      <c r="X500" s="45">
        <f t="shared" ref="X500:X502" si="489">SUM(T500:W500)</f>
        <v>16</v>
      </c>
      <c r="Y500" s="100">
        <f t="shared" ref="Y500:Y502" si="490">S500+X500</f>
        <v>16</v>
      </c>
      <c r="Z500" s="58">
        <v>46060</v>
      </c>
      <c r="AA500" s="50"/>
    </row>
    <row r="501" spans="1:27" x14ac:dyDescent="0.15">
      <c r="A501" s="12" t="s">
        <v>863</v>
      </c>
      <c r="B501" s="6"/>
      <c r="C501" s="18">
        <v>1</v>
      </c>
      <c r="D501" s="7"/>
      <c r="E501" s="8"/>
      <c r="F501" s="9">
        <f>SUM(B501:E501)</f>
        <v>1</v>
      </c>
      <c r="G501" s="6"/>
      <c r="H501" s="18"/>
      <c r="I501" s="7"/>
      <c r="J501" s="8"/>
      <c r="K501" s="9">
        <f>SUM(G501:J501)</f>
        <v>0</v>
      </c>
      <c r="L501" s="100">
        <f t="shared" si="487"/>
        <v>1</v>
      </c>
      <c r="M501" s="58">
        <v>46062</v>
      </c>
      <c r="N501" s="12" t="s">
        <v>4</v>
      </c>
      <c r="O501" s="16"/>
      <c r="P501" s="29"/>
      <c r="Q501" s="17"/>
      <c r="R501" s="20"/>
      <c r="S501" s="45">
        <f t="shared" si="488"/>
        <v>0</v>
      </c>
      <c r="T501" s="16"/>
      <c r="U501" s="29"/>
      <c r="V501" s="17"/>
      <c r="W501" s="20"/>
      <c r="X501" s="45">
        <f t="shared" si="489"/>
        <v>0</v>
      </c>
      <c r="Y501" s="100">
        <f t="shared" si="490"/>
        <v>0</v>
      </c>
      <c r="AA501" s="50"/>
    </row>
    <row r="502" spans="1:27" ht="14.25" thickBot="1" x14ac:dyDescent="0.2">
      <c r="A502" s="283" t="s">
        <v>6</v>
      </c>
      <c r="B502" s="284"/>
      <c r="C502" s="285"/>
      <c r="D502" s="286">
        <v>3</v>
      </c>
      <c r="E502" s="287">
        <v>3</v>
      </c>
      <c r="F502" s="300">
        <f>SUM(B502:E502)</f>
        <v>6</v>
      </c>
      <c r="G502" s="284"/>
      <c r="H502" s="285"/>
      <c r="I502" s="286"/>
      <c r="J502" s="287"/>
      <c r="K502" s="300">
        <f>SUM(G502:J502)</f>
        <v>0</v>
      </c>
      <c r="L502" s="301">
        <f t="shared" si="487"/>
        <v>6</v>
      </c>
      <c r="M502" s="261">
        <v>46065</v>
      </c>
      <c r="N502" s="12" t="s">
        <v>5</v>
      </c>
      <c r="O502" s="16"/>
      <c r="P502" s="29"/>
      <c r="Q502" s="17"/>
      <c r="R502" s="20"/>
      <c r="S502" s="45">
        <f t="shared" si="488"/>
        <v>0</v>
      </c>
      <c r="T502" s="16"/>
      <c r="U502" s="29"/>
      <c r="V502" s="17"/>
      <c r="W502" s="20"/>
      <c r="X502" s="45">
        <f t="shared" si="489"/>
        <v>0</v>
      </c>
      <c r="Y502" s="100">
        <f t="shared" si="490"/>
        <v>0</v>
      </c>
    </row>
    <row r="503" spans="1:27" ht="14.25" thickBot="1" x14ac:dyDescent="0.2">
      <c r="A503" s="14" t="s">
        <v>7</v>
      </c>
      <c r="B503" s="62">
        <f t="shared" ref="B503:K503" si="491">SUM(B498:B502)</f>
        <v>9</v>
      </c>
      <c r="C503" s="63">
        <f t="shared" si="491"/>
        <v>8</v>
      </c>
      <c r="D503" s="64">
        <f t="shared" si="491"/>
        <v>8</v>
      </c>
      <c r="E503" s="65">
        <f t="shared" si="491"/>
        <v>7</v>
      </c>
      <c r="F503" s="66">
        <f t="shared" si="491"/>
        <v>32</v>
      </c>
      <c r="G503" s="62">
        <f t="shared" si="491"/>
        <v>8</v>
      </c>
      <c r="H503" s="63">
        <f t="shared" si="491"/>
        <v>12</v>
      </c>
      <c r="I503" s="64">
        <f t="shared" si="491"/>
        <v>10</v>
      </c>
      <c r="J503" s="65">
        <f t="shared" si="491"/>
        <v>10</v>
      </c>
      <c r="K503" s="66">
        <f t="shared" si="491"/>
        <v>40</v>
      </c>
      <c r="L503" s="102">
        <f t="shared" si="487"/>
        <v>72</v>
      </c>
      <c r="N503" s="13" t="s">
        <v>7</v>
      </c>
      <c r="O503" s="25">
        <f t="shared" ref="O503:X503" si="492">SUM(O498:O502)</f>
        <v>117</v>
      </c>
      <c r="P503" s="31">
        <f t="shared" si="492"/>
        <v>122</v>
      </c>
      <c r="Q503" s="26">
        <f t="shared" si="492"/>
        <v>129</v>
      </c>
      <c r="R503" s="67">
        <f t="shared" si="492"/>
        <v>138</v>
      </c>
      <c r="S503" s="68">
        <f t="shared" si="492"/>
        <v>506</v>
      </c>
      <c r="T503" s="25">
        <f t="shared" si="492"/>
        <v>118</v>
      </c>
      <c r="U503" s="31">
        <f t="shared" si="492"/>
        <v>190</v>
      </c>
      <c r="V503" s="26">
        <f t="shared" si="492"/>
        <v>97</v>
      </c>
      <c r="W503" s="67">
        <f t="shared" si="492"/>
        <v>92</v>
      </c>
      <c r="X503" s="68">
        <f t="shared" si="492"/>
        <v>497</v>
      </c>
      <c r="Y503" s="102">
        <f t="shared" si="486"/>
        <v>1003</v>
      </c>
    </row>
    <row r="504" spans="1:27" x14ac:dyDescent="0.15">
      <c r="A504" s="47" t="s">
        <v>45</v>
      </c>
      <c r="B504" s="41"/>
      <c r="C504" s="42"/>
      <c r="D504" s="43"/>
      <c r="E504" s="44"/>
      <c r="F504" s="70">
        <f t="shared" ref="F504:F529" si="493">SUM(B504:E504)</f>
        <v>0</v>
      </c>
      <c r="G504" s="41"/>
      <c r="H504" s="42"/>
      <c r="I504" s="43"/>
      <c r="J504" s="44">
        <v>1</v>
      </c>
      <c r="K504" s="70">
        <f t="shared" ref="K504:K528" si="494">SUM(G504:J504)</f>
        <v>1</v>
      </c>
      <c r="L504" s="103">
        <f t="shared" si="487"/>
        <v>1</v>
      </c>
      <c r="M504" s="58">
        <v>46050</v>
      </c>
      <c r="N504" s="11" t="s">
        <v>937</v>
      </c>
      <c r="O504" s="16"/>
      <c r="P504" s="29">
        <v>4</v>
      </c>
      <c r="Q504" s="17"/>
      <c r="R504" s="32">
        <v>2</v>
      </c>
      <c r="S504" s="9">
        <f t="shared" ref="S504:S509" si="495">SUM(O504:R504)</f>
        <v>6</v>
      </c>
      <c r="T504" s="16"/>
      <c r="U504" s="29">
        <v>4</v>
      </c>
      <c r="V504" s="17">
        <v>1</v>
      </c>
      <c r="W504" s="32"/>
      <c r="X504" s="9">
        <f t="shared" ref="X504:X509" si="496">SUM(T504:W504)</f>
        <v>5</v>
      </c>
      <c r="Y504" s="104">
        <f t="shared" si="486"/>
        <v>11</v>
      </c>
      <c r="Z504" s="56">
        <v>46062</v>
      </c>
      <c r="AA504" s="35"/>
    </row>
    <row r="505" spans="1:27" x14ac:dyDescent="0.15">
      <c r="A505" s="47" t="s">
        <v>45</v>
      </c>
      <c r="B505" s="16">
        <v>1</v>
      </c>
      <c r="C505" s="29"/>
      <c r="D505" s="17"/>
      <c r="E505" s="20"/>
      <c r="F505" s="45">
        <f t="shared" si="493"/>
        <v>1</v>
      </c>
      <c r="G505" s="16"/>
      <c r="H505" s="29"/>
      <c r="I505" s="17"/>
      <c r="J505" s="20"/>
      <c r="K505" s="45">
        <f t="shared" si="494"/>
        <v>0</v>
      </c>
      <c r="L505" s="104">
        <f t="shared" si="487"/>
        <v>1</v>
      </c>
      <c r="M505" s="58">
        <v>46051</v>
      </c>
      <c r="N505" s="11" t="s">
        <v>879</v>
      </c>
      <c r="O505" s="206"/>
      <c r="P505" s="207"/>
      <c r="Q505" s="208"/>
      <c r="R505" s="209"/>
      <c r="S505" s="9">
        <f t="shared" si="495"/>
        <v>0</v>
      </c>
      <c r="T505" s="16">
        <v>10</v>
      </c>
      <c r="U505" s="29">
        <v>20</v>
      </c>
      <c r="V505" s="17">
        <v>15</v>
      </c>
      <c r="W505" s="32"/>
      <c r="X505" s="9">
        <f t="shared" si="496"/>
        <v>45</v>
      </c>
      <c r="Y505" s="104">
        <f t="shared" si="486"/>
        <v>45</v>
      </c>
      <c r="Z505" s="56">
        <v>46065</v>
      </c>
      <c r="AA505" s="35"/>
    </row>
    <row r="506" spans="1:27" x14ac:dyDescent="0.15">
      <c r="A506" s="47" t="s">
        <v>928</v>
      </c>
      <c r="B506" s="16"/>
      <c r="C506" s="29">
        <v>2</v>
      </c>
      <c r="D506" s="17"/>
      <c r="E506" s="20"/>
      <c r="F506" s="45">
        <f t="shared" si="493"/>
        <v>2</v>
      </c>
      <c r="G506" s="16"/>
      <c r="H506" s="29"/>
      <c r="I506" s="17"/>
      <c r="J506" s="20"/>
      <c r="K506" s="45">
        <f t="shared" si="494"/>
        <v>0</v>
      </c>
      <c r="L506" s="104">
        <f t="shared" si="487"/>
        <v>2</v>
      </c>
      <c r="M506" s="56">
        <v>46055</v>
      </c>
      <c r="N506" s="11" t="s">
        <v>895</v>
      </c>
      <c r="O506" s="206"/>
      <c r="P506" s="207"/>
      <c r="Q506" s="208"/>
      <c r="R506" s="209"/>
      <c r="S506" s="9">
        <f>SUM(O506:R506)</f>
        <v>0</v>
      </c>
      <c r="T506" s="16"/>
      <c r="U506" s="29">
        <v>5</v>
      </c>
      <c r="V506" s="17"/>
      <c r="W506" s="32"/>
      <c r="X506" s="9">
        <f>SUM(T506:W506)</f>
        <v>5</v>
      </c>
      <c r="Y506" s="104">
        <f t="shared" si="486"/>
        <v>5</v>
      </c>
      <c r="Z506" s="56">
        <v>46071</v>
      </c>
      <c r="AA506" s="35"/>
    </row>
    <row r="507" spans="1:27" x14ac:dyDescent="0.15">
      <c r="A507" s="47" t="s">
        <v>162</v>
      </c>
      <c r="B507" s="16"/>
      <c r="C507" s="29">
        <v>-1</v>
      </c>
      <c r="D507" s="17"/>
      <c r="E507" s="20"/>
      <c r="F507" s="45">
        <f t="shared" si="493"/>
        <v>-1</v>
      </c>
      <c r="G507" s="16"/>
      <c r="H507" s="29"/>
      <c r="I507" s="17"/>
      <c r="J507" s="20"/>
      <c r="K507" s="45">
        <f t="shared" si="494"/>
        <v>0</v>
      </c>
      <c r="L507" s="104">
        <f t="shared" si="487"/>
        <v>-1</v>
      </c>
      <c r="M507" s="58">
        <v>46052</v>
      </c>
      <c r="N507" s="33" t="s">
        <v>822</v>
      </c>
      <c r="O507" s="16"/>
      <c r="P507" s="29"/>
      <c r="Q507" s="17"/>
      <c r="R507" s="32"/>
      <c r="S507" s="9">
        <f t="shared" si="495"/>
        <v>0</v>
      </c>
      <c r="T507" s="16"/>
      <c r="U507" s="29">
        <v>3</v>
      </c>
      <c r="V507" s="17"/>
      <c r="W507" s="32"/>
      <c r="X507" s="9">
        <f t="shared" si="496"/>
        <v>3</v>
      </c>
      <c r="Y507" s="104">
        <f t="shared" si="486"/>
        <v>3</v>
      </c>
      <c r="Z507" s="56">
        <v>46063</v>
      </c>
      <c r="AA507" s="35"/>
    </row>
    <row r="508" spans="1:27" x14ac:dyDescent="0.15">
      <c r="A508" s="47" t="s">
        <v>45</v>
      </c>
      <c r="B508" s="16">
        <v>1</v>
      </c>
      <c r="C508" s="29"/>
      <c r="D508" s="17"/>
      <c r="E508" s="20"/>
      <c r="F508" s="45">
        <f t="shared" si="493"/>
        <v>1</v>
      </c>
      <c r="G508" s="16"/>
      <c r="H508" s="29"/>
      <c r="I508" s="17">
        <v>1</v>
      </c>
      <c r="J508" s="20"/>
      <c r="K508" s="45">
        <f t="shared" si="494"/>
        <v>1</v>
      </c>
      <c r="L508" s="104">
        <f t="shared" si="487"/>
        <v>2</v>
      </c>
      <c r="M508" s="58">
        <v>46052</v>
      </c>
      <c r="N508" s="11" t="s">
        <v>945</v>
      </c>
      <c r="O508" s="206"/>
      <c r="P508" s="207"/>
      <c r="Q508" s="208"/>
      <c r="R508" s="209"/>
      <c r="S508" s="9">
        <f t="shared" si="495"/>
        <v>0</v>
      </c>
      <c r="T508" s="16">
        <v>10</v>
      </c>
      <c r="U508" s="29">
        <v>10</v>
      </c>
      <c r="V508" s="17">
        <v>10</v>
      </c>
      <c r="W508" s="32">
        <v>10</v>
      </c>
      <c r="X508" s="9">
        <f t="shared" si="496"/>
        <v>40</v>
      </c>
      <c r="Y508" s="104">
        <f t="shared" si="486"/>
        <v>40</v>
      </c>
      <c r="Z508" s="56">
        <v>46066</v>
      </c>
      <c r="AA508" s="35"/>
    </row>
    <row r="509" spans="1:27" x14ac:dyDescent="0.15">
      <c r="A509" s="47" t="s">
        <v>929</v>
      </c>
      <c r="B509" s="16"/>
      <c r="C509" s="29"/>
      <c r="D509" s="17"/>
      <c r="E509" s="20"/>
      <c r="F509" s="45">
        <f t="shared" si="493"/>
        <v>0</v>
      </c>
      <c r="G509" s="16"/>
      <c r="H509" s="29">
        <v>5</v>
      </c>
      <c r="I509" s="17"/>
      <c r="J509" s="20"/>
      <c r="K509" s="45">
        <f t="shared" si="494"/>
        <v>5</v>
      </c>
      <c r="L509" s="104">
        <f t="shared" si="487"/>
        <v>5</v>
      </c>
      <c r="M509" s="58">
        <v>46053</v>
      </c>
      <c r="N509" s="268" t="s">
        <v>822</v>
      </c>
      <c r="O509" s="255"/>
      <c r="P509" s="256"/>
      <c r="Q509" s="257">
        <v>3</v>
      </c>
      <c r="R509" s="269">
        <v>3</v>
      </c>
      <c r="S509" s="270">
        <f t="shared" si="495"/>
        <v>6</v>
      </c>
      <c r="T509" s="255"/>
      <c r="U509" s="256"/>
      <c r="V509" s="257"/>
      <c r="W509" s="269"/>
      <c r="X509" s="270">
        <f t="shared" si="496"/>
        <v>0</v>
      </c>
      <c r="Y509" s="260">
        <f t="shared" si="486"/>
        <v>6</v>
      </c>
      <c r="Z509" s="261">
        <v>46065</v>
      </c>
    </row>
    <row r="510" spans="1:27" x14ac:dyDescent="0.15">
      <c r="A510" s="47" t="s">
        <v>45</v>
      </c>
      <c r="B510" s="16"/>
      <c r="C510" s="29">
        <v>1</v>
      </c>
      <c r="D510" s="17"/>
      <c r="E510" s="20"/>
      <c r="F510" s="45">
        <f t="shared" si="493"/>
        <v>1</v>
      </c>
      <c r="G510" s="16"/>
      <c r="H510" s="29"/>
      <c r="I510" s="17"/>
      <c r="J510" s="20"/>
      <c r="K510" s="45">
        <f t="shared" si="494"/>
        <v>0</v>
      </c>
      <c r="L510" s="104">
        <f t="shared" si="487"/>
        <v>1</v>
      </c>
      <c r="M510" s="56">
        <v>46055</v>
      </c>
      <c r="N510" s="11" t="s">
        <v>946</v>
      </c>
      <c r="O510" s="16">
        <v>3</v>
      </c>
      <c r="P510" s="29"/>
      <c r="Q510" s="17"/>
      <c r="R510" s="32"/>
      <c r="S510" s="9">
        <f>SUM(O510:R510)</f>
        <v>3</v>
      </c>
      <c r="T510" s="16">
        <v>1</v>
      </c>
      <c r="U510" s="29">
        <v>3</v>
      </c>
      <c r="V510" s="17"/>
      <c r="W510" s="32">
        <v>4</v>
      </c>
      <c r="X510" s="9">
        <f>SUM(T510:W510)</f>
        <v>8</v>
      </c>
      <c r="Y510" s="104">
        <f t="shared" si="486"/>
        <v>11</v>
      </c>
      <c r="Z510" s="56">
        <v>46069</v>
      </c>
    </row>
    <row r="511" spans="1:27" x14ac:dyDescent="0.15">
      <c r="A511" s="47" t="s">
        <v>934</v>
      </c>
      <c r="B511" s="16"/>
      <c r="C511" s="29"/>
      <c r="D511" s="17"/>
      <c r="E511" s="20">
        <v>1</v>
      </c>
      <c r="F511" s="45">
        <f t="shared" si="493"/>
        <v>1</v>
      </c>
      <c r="G511" s="16"/>
      <c r="H511" s="29"/>
      <c r="I511" s="17"/>
      <c r="J511" s="20"/>
      <c r="K511" s="45">
        <f t="shared" si="494"/>
        <v>0</v>
      </c>
      <c r="L511" s="104">
        <f t="shared" si="487"/>
        <v>1</v>
      </c>
      <c r="M511" s="56">
        <v>46058</v>
      </c>
      <c r="N511" s="268" t="s">
        <v>949</v>
      </c>
      <c r="O511" s="255"/>
      <c r="P511" s="256">
        <v>3</v>
      </c>
      <c r="Q511" s="257">
        <v>3</v>
      </c>
      <c r="R511" s="269"/>
      <c r="S511" s="270">
        <f t="shared" ref="S511:S515" si="497">SUM(O511:R511)</f>
        <v>6</v>
      </c>
      <c r="T511" s="255"/>
      <c r="U511" s="256"/>
      <c r="V511" s="257">
        <v>3</v>
      </c>
      <c r="W511" s="269"/>
      <c r="X511" s="270">
        <f t="shared" ref="X511:X515" si="498">SUM(T511:W511)</f>
        <v>3</v>
      </c>
      <c r="Y511" s="260">
        <f t="shared" si="486"/>
        <v>9</v>
      </c>
      <c r="Z511" s="261">
        <v>46069</v>
      </c>
    </row>
    <row r="512" spans="1:27" x14ac:dyDescent="0.15">
      <c r="A512" s="33" t="s">
        <v>935</v>
      </c>
      <c r="B512" s="16"/>
      <c r="C512" s="29"/>
      <c r="D512" s="17">
        <v>1</v>
      </c>
      <c r="E512" s="20"/>
      <c r="F512" s="45">
        <f t="shared" si="493"/>
        <v>1</v>
      </c>
      <c r="G512" s="16"/>
      <c r="H512" s="29"/>
      <c r="I512" s="17"/>
      <c r="J512" s="20"/>
      <c r="K512" s="45">
        <f t="shared" si="494"/>
        <v>0</v>
      </c>
      <c r="L512" s="104">
        <f t="shared" si="487"/>
        <v>1</v>
      </c>
      <c r="M512" s="56">
        <v>46059</v>
      </c>
      <c r="N512" s="268" t="s">
        <v>949</v>
      </c>
      <c r="O512" s="255">
        <v>3</v>
      </c>
      <c r="P512" s="256"/>
      <c r="Q512" s="257"/>
      <c r="R512" s="269"/>
      <c r="S512" s="270">
        <f t="shared" si="497"/>
        <v>3</v>
      </c>
      <c r="T512" s="255"/>
      <c r="U512" s="256">
        <v>5</v>
      </c>
      <c r="V512" s="257"/>
      <c r="W512" s="269">
        <v>3</v>
      </c>
      <c r="X512" s="270">
        <f t="shared" si="498"/>
        <v>8</v>
      </c>
      <c r="Y512" s="260">
        <f t="shared" si="486"/>
        <v>11</v>
      </c>
      <c r="Z512" s="261">
        <v>46070</v>
      </c>
    </row>
    <row r="513" spans="1:28" x14ac:dyDescent="0.15">
      <c r="A513" s="33" t="s">
        <v>940</v>
      </c>
      <c r="B513" s="16"/>
      <c r="C513" s="29"/>
      <c r="D513" s="17"/>
      <c r="E513" s="20"/>
      <c r="F513" s="45">
        <f t="shared" si="493"/>
        <v>0</v>
      </c>
      <c r="G513" s="16">
        <v>4</v>
      </c>
      <c r="H513" s="29">
        <v>3</v>
      </c>
      <c r="I513" s="17">
        <v>5</v>
      </c>
      <c r="J513" s="20">
        <v>4</v>
      </c>
      <c r="K513" s="45">
        <f t="shared" si="494"/>
        <v>16</v>
      </c>
      <c r="L513" s="104">
        <f t="shared" si="487"/>
        <v>16</v>
      </c>
      <c r="M513" s="56">
        <v>46060</v>
      </c>
      <c r="N513" s="11" t="s">
        <v>905</v>
      </c>
      <c r="O513" s="206"/>
      <c r="P513" s="207"/>
      <c r="Q513" s="208"/>
      <c r="R513" s="209"/>
      <c r="S513" s="9">
        <f t="shared" si="497"/>
        <v>0</v>
      </c>
      <c r="T513" s="16"/>
      <c r="U513" s="29"/>
      <c r="V513" s="17">
        <v>5</v>
      </c>
      <c r="W513" s="32"/>
      <c r="X513" s="9">
        <f t="shared" si="498"/>
        <v>5</v>
      </c>
      <c r="Y513" s="104">
        <f t="shared" si="486"/>
        <v>5</v>
      </c>
      <c r="Z513" s="56">
        <v>46086</v>
      </c>
      <c r="AA513" s="35"/>
    </row>
    <row r="514" spans="1:28" x14ac:dyDescent="0.15">
      <c r="A514" s="47" t="s">
        <v>942</v>
      </c>
      <c r="B514" s="16"/>
      <c r="C514" s="29"/>
      <c r="D514" s="17">
        <v>1</v>
      </c>
      <c r="E514" s="20"/>
      <c r="F514" s="45">
        <f t="shared" si="493"/>
        <v>1</v>
      </c>
      <c r="G514" s="16"/>
      <c r="H514" s="29">
        <v>1</v>
      </c>
      <c r="I514" s="17"/>
      <c r="J514" s="20"/>
      <c r="K514" s="45">
        <f t="shared" si="494"/>
        <v>1</v>
      </c>
      <c r="L514" s="104">
        <f t="shared" si="487"/>
        <v>2</v>
      </c>
      <c r="M514" s="56">
        <v>46063</v>
      </c>
      <c r="N514" s="33" t="s">
        <v>822</v>
      </c>
      <c r="O514" s="16"/>
      <c r="P514" s="29"/>
      <c r="Q514" s="17"/>
      <c r="R514" s="32"/>
      <c r="S514" s="9">
        <f t="shared" si="497"/>
        <v>0</v>
      </c>
      <c r="T514" s="16"/>
      <c r="U514" s="29">
        <v>3</v>
      </c>
      <c r="V514" s="17"/>
      <c r="W514" s="32"/>
      <c r="X514" s="9">
        <f t="shared" si="498"/>
        <v>3</v>
      </c>
      <c r="Y514" s="104">
        <f t="shared" si="486"/>
        <v>3</v>
      </c>
      <c r="Z514" s="56">
        <v>46073</v>
      </c>
    </row>
    <row r="515" spans="1:28" x14ac:dyDescent="0.15">
      <c r="A515" s="47" t="s">
        <v>45</v>
      </c>
      <c r="B515" s="16"/>
      <c r="C515" s="29">
        <v>2</v>
      </c>
      <c r="D515" s="17"/>
      <c r="E515" s="20"/>
      <c r="F515" s="45">
        <f t="shared" si="493"/>
        <v>2</v>
      </c>
      <c r="G515" s="16"/>
      <c r="H515" s="29">
        <v>1</v>
      </c>
      <c r="I515" s="17">
        <v>1</v>
      </c>
      <c r="J515" s="20">
        <v>1</v>
      </c>
      <c r="K515" s="45">
        <f t="shared" si="494"/>
        <v>3</v>
      </c>
      <c r="L515" s="104">
        <f t="shared" si="487"/>
        <v>5</v>
      </c>
      <c r="M515" s="58">
        <v>46062</v>
      </c>
      <c r="N515" s="47" t="s">
        <v>962</v>
      </c>
      <c r="O515" s="16"/>
      <c r="P515" s="29"/>
      <c r="Q515" s="17">
        <v>3</v>
      </c>
      <c r="R515" s="32">
        <v>1</v>
      </c>
      <c r="S515" s="9">
        <f t="shared" si="497"/>
        <v>4</v>
      </c>
      <c r="T515" s="16"/>
      <c r="U515" s="29"/>
      <c r="V515" s="17"/>
      <c r="W515" s="32"/>
      <c r="X515" s="9">
        <f t="shared" si="498"/>
        <v>0</v>
      </c>
      <c r="Y515" s="104">
        <f t="shared" si="486"/>
        <v>4</v>
      </c>
      <c r="Z515" s="56">
        <v>46077</v>
      </c>
      <c r="AA515" s="35"/>
      <c r="AB515" s="35"/>
    </row>
    <row r="516" spans="1:28" x14ac:dyDescent="0.15">
      <c r="A516" s="47" t="s">
        <v>944</v>
      </c>
      <c r="B516" s="16">
        <v>1</v>
      </c>
      <c r="C516" s="29"/>
      <c r="D516" s="17">
        <v>2</v>
      </c>
      <c r="E516" s="20">
        <v>1</v>
      </c>
      <c r="F516" s="45">
        <f t="shared" si="493"/>
        <v>4</v>
      </c>
      <c r="G516" s="16"/>
      <c r="H516" s="29"/>
      <c r="I516" s="17"/>
      <c r="J516" s="20"/>
      <c r="K516" s="45">
        <f t="shared" si="494"/>
        <v>0</v>
      </c>
      <c r="L516" s="104">
        <f t="shared" si="487"/>
        <v>4</v>
      </c>
      <c r="M516" s="56">
        <v>46065</v>
      </c>
      <c r="N516" s="33" t="s">
        <v>963</v>
      </c>
      <c r="O516" s="16"/>
      <c r="P516" s="29">
        <v>3</v>
      </c>
      <c r="Q516" s="17">
        <v>3</v>
      </c>
      <c r="R516" s="32"/>
      <c r="S516" s="9">
        <f>SUM(O516:R516)</f>
        <v>6</v>
      </c>
      <c r="T516" s="16">
        <v>3</v>
      </c>
      <c r="U516" s="29"/>
      <c r="V516" s="17"/>
      <c r="W516" s="32"/>
      <c r="X516" s="9">
        <f>SUM(T516:W516)</f>
        <v>3</v>
      </c>
      <c r="Y516" s="104">
        <f t="shared" si="486"/>
        <v>9</v>
      </c>
      <c r="Z516" s="56">
        <v>46074</v>
      </c>
      <c r="AA516" s="35"/>
      <c r="AB516" s="35"/>
    </row>
    <row r="517" spans="1:28" x14ac:dyDescent="0.15">
      <c r="A517" s="47" t="s">
        <v>45</v>
      </c>
      <c r="B517" s="16">
        <v>1</v>
      </c>
      <c r="C517" s="29">
        <v>1</v>
      </c>
      <c r="D517" s="17">
        <v>1</v>
      </c>
      <c r="E517" s="20"/>
      <c r="F517" s="45">
        <f t="shared" si="493"/>
        <v>3</v>
      </c>
      <c r="G517" s="16"/>
      <c r="H517" s="29">
        <v>1</v>
      </c>
      <c r="I517" s="17"/>
      <c r="J517" s="20"/>
      <c r="K517" s="45">
        <f t="shared" si="494"/>
        <v>1</v>
      </c>
      <c r="L517" s="104">
        <f t="shared" si="487"/>
        <v>4</v>
      </c>
      <c r="M517" s="58">
        <v>46065</v>
      </c>
      <c r="N517" s="11" t="s">
        <v>967</v>
      </c>
      <c r="O517" s="16">
        <v>3</v>
      </c>
      <c r="P517" s="29">
        <v>-3</v>
      </c>
      <c r="Q517" s="17">
        <v>1</v>
      </c>
      <c r="R517" s="32">
        <v>-1</v>
      </c>
      <c r="S517" s="9">
        <f>SUM(O517:R517)</f>
        <v>0</v>
      </c>
      <c r="T517" s="16">
        <v>0</v>
      </c>
      <c r="U517" s="29">
        <v>0</v>
      </c>
      <c r="V517" s="17">
        <v>0</v>
      </c>
      <c r="W517" s="32">
        <v>1</v>
      </c>
      <c r="X517" s="9">
        <f>SUM(T517:W517)</f>
        <v>1</v>
      </c>
      <c r="Y517" s="104">
        <f t="shared" si="486"/>
        <v>1</v>
      </c>
      <c r="Z517" s="56">
        <v>46074</v>
      </c>
    </row>
    <row r="518" spans="1:28" x14ac:dyDescent="0.15">
      <c r="A518" s="47" t="s">
        <v>947</v>
      </c>
      <c r="B518" s="16">
        <v>2</v>
      </c>
      <c r="C518" s="29">
        <v>2</v>
      </c>
      <c r="D518" s="17">
        <v>1</v>
      </c>
      <c r="E518" s="20"/>
      <c r="F518" s="45">
        <f t="shared" si="493"/>
        <v>5</v>
      </c>
      <c r="G518" s="16"/>
      <c r="H518" s="29">
        <v>1</v>
      </c>
      <c r="I518" s="17">
        <v>1</v>
      </c>
      <c r="J518" s="20">
        <v>1</v>
      </c>
      <c r="K518" s="45">
        <f t="shared" si="494"/>
        <v>3</v>
      </c>
      <c r="L518" s="104">
        <f t="shared" si="487"/>
        <v>8</v>
      </c>
      <c r="M518" s="56">
        <v>46069</v>
      </c>
      <c r="N518" s="11" t="s">
        <v>918</v>
      </c>
      <c r="O518" s="206"/>
      <c r="P518" s="207"/>
      <c r="Q518" s="208"/>
      <c r="R518" s="209"/>
      <c r="S518" s="9">
        <f t="shared" ref="S518:S519" si="499">SUM(O518:R518)</f>
        <v>0</v>
      </c>
      <c r="T518" s="16"/>
      <c r="U518" s="29"/>
      <c r="V518" s="17">
        <v>5</v>
      </c>
      <c r="W518" s="32"/>
      <c r="X518" s="9">
        <f t="shared" ref="X518:X519" si="500">SUM(T518:W518)</f>
        <v>5</v>
      </c>
      <c r="Y518" s="104">
        <f t="shared" ref="Y518:Y519" si="501">S518+X518</f>
        <v>5</v>
      </c>
      <c r="Z518" s="56">
        <v>46091</v>
      </c>
    </row>
    <row r="519" spans="1:28" x14ac:dyDescent="0.15">
      <c r="A519" s="47" t="s">
        <v>45</v>
      </c>
      <c r="B519" s="16"/>
      <c r="C519" s="29"/>
      <c r="D519" s="17"/>
      <c r="E519" s="20"/>
      <c r="F519" s="45">
        <f t="shared" si="493"/>
        <v>0</v>
      </c>
      <c r="G519" s="16"/>
      <c r="H519" s="29"/>
      <c r="I519" s="17">
        <v>1</v>
      </c>
      <c r="J519" s="20"/>
      <c r="K519" s="45">
        <f t="shared" si="494"/>
        <v>1</v>
      </c>
      <c r="L519" s="104">
        <f t="shared" si="487"/>
        <v>1</v>
      </c>
      <c r="M519" s="58">
        <v>46066</v>
      </c>
      <c r="N519" s="72" t="s">
        <v>822</v>
      </c>
      <c r="O519" s="16"/>
      <c r="P519" s="29"/>
      <c r="Q519" s="17"/>
      <c r="R519" s="32">
        <v>3</v>
      </c>
      <c r="S519" s="9">
        <f t="shared" si="499"/>
        <v>3</v>
      </c>
      <c r="T519" s="16"/>
      <c r="U519" s="29"/>
      <c r="V519" s="17"/>
      <c r="W519" s="32"/>
      <c r="X519" s="9">
        <f t="shared" si="500"/>
        <v>0</v>
      </c>
      <c r="Y519" s="104">
        <f t="shared" si="501"/>
        <v>3</v>
      </c>
      <c r="Z519" s="56">
        <v>46083</v>
      </c>
      <c r="AA519" s="35"/>
    </row>
    <row r="520" spans="1:28" x14ac:dyDescent="0.15">
      <c r="A520" s="254" t="s">
        <v>948</v>
      </c>
      <c r="B520" s="255"/>
      <c r="C520" s="256">
        <v>-3</v>
      </c>
      <c r="D520" s="257">
        <v>-3</v>
      </c>
      <c r="E520" s="258"/>
      <c r="F520" s="259">
        <f t="shared" si="493"/>
        <v>-6</v>
      </c>
      <c r="G520" s="255"/>
      <c r="H520" s="256"/>
      <c r="I520" s="257">
        <v>-3</v>
      </c>
      <c r="J520" s="258"/>
      <c r="K520" s="259">
        <f t="shared" si="494"/>
        <v>-3</v>
      </c>
      <c r="L520" s="260">
        <f t="shared" si="487"/>
        <v>-9</v>
      </c>
      <c r="M520" s="261">
        <v>46069</v>
      </c>
      <c r="N520" s="11" t="s">
        <v>980</v>
      </c>
      <c r="O520" s="206"/>
      <c r="P520" s="207"/>
      <c r="Q520" s="208"/>
      <c r="R520" s="209"/>
      <c r="S520" s="9">
        <f t="shared" ref="S520:S521" si="502">SUM(O520:R520)</f>
        <v>0</v>
      </c>
      <c r="T520" s="16">
        <v>6</v>
      </c>
      <c r="U520" s="29">
        <v>10</v>
      </c>
      <c r="V520" s="17"/>
      <c r="W520" s="32"/>
      <c r="X520" s="9">
        <f t="shared" ref="X520:X521" si="503">SUM(T520:W520)</f>
        <v>16</v>
      </c>
      <c r="Y520" s="104">
        <f t="shared" ref="Y520:Y521" si="504">S520+X520</f>
        <v>16</v>
      </c>
      <c r="Z520" s="56">
        <v>46084</v>
      </c>
      <c r="AA520" s="35"/>
    </row>
    <row r="521" spans="1:28" x14ac:dyDescent="0.15">
      <c r="A521" s="47" t="s">
        <v>950</v>
      </c>
      <c r="B521" s="16"/>
      <c r="C521" s="29"/>
      <c r="D521" s="17"/>
      <c r="E521" s="20"/>
      <c r="F521" s="45">
        <f t="shared" si="493"/>
        <v>0</v>
      </c>
      <c r="G521" s="16"/>
      <c r="H521" s="29">
        <v>2</v>
      </c>
      <c r="I521" s="17"/>
      <c r="J521" s="20">
        <v>1</v>
      </c>
      <c r="K521" s="45">
        <f t="shared" si="494"/>
        <v>3</v>
      </c>
      <c r="L521" s="104">
        <f t="shared" si="487"/>
        <v>3</v>
      </c>
      <c r="M521" s="56">
        <v>46071</v>
      </c>
      <c r="N521" s="33" t="s">
        <v>987</v>
      </c>
      <c r="O521" s="206"/>
      <c r="P521" s="207"/>
      <c r="Q521" s="208"/>
      <c r="R521" s="209"/>
      <c r="S521" s="9">
        <f t="shared" si="502"/>
        <v>0</v>
      </c>
      <c r="T521" s="16">
        <v>10</v>
      </c>
      <c r="U521" s="29">
        <v>10</v>
      </c>
      <c r="V521" s="17"/>
      <c r="W521" s="32"/>
      <c r="X521" s="9">
        <f t="shared" si="503"/>
        <v>20</v>
      </c>
      <c r="Y521" s="104">
        <f t="shared" si="504"/>
        <v>20</v>
      </c>
      <c r="Z521" s="56">
        <v>46087</v>
      </c>
    </row>
    <row r="522" spans="1:28" x14ac:dyDescent="0.15">
      <c r="A522" s="254" t="s">
        <v>150</v>
      </c>
      <c r="B522" s="255">
        <v>-3</v>
      </c>
      <c r="C522" s="256"/>
      <c r="D522" s="257"/>
      <c r="E522" s="258"/>
      <c r="F522" s="259">
        <f t="shared" si="493"/>
        <v>-3</v>
      </c>
      <c r="G522" s="255"/>
      <c r="H522" s="256">
        <v>-5</v>
      </c>
      <c r="I522" s="257"/>
      <c r="J522" s="258">
        <v>-3</v>
      </c>
      <c r="K522" s="259">
        <f t="shared" si="494"/>
        <v>-8</v>
      </c>
      <c r="L522" s="260">
        <f t="shared" si="487"/>
        <v>-11</v>
      </c>
      <c r="M522" s="261">
        <v>46070</v>
      </c>
      <c r="N522" s="11" t="s">
        <v>1031</v>
      </c>
      <c r="O522" s="16"/>
      <c r="P522" s="29"/>
      <c r="Q522" s="17"/>
      <c r="R522" s="32"/>
      <c r="S522" s="9">
        <f t="shared" ref="S522:S523" si="505">SUM(O522:R522)</f>
        <v>0</v>
      </c>
      <c r="T522" s="16"/>
      <c r="U522" s="29"/>
      <c r="V522" s="17">
        <v>2</v>
      </c>
      <c r="W522" s="32"/>
      <c r="X522" s="9">
        <f t="shared" ref="X522:X523" si="506">SUM(T522:W522)</f>
        <v>2</v>
      </c>
      <c r="Y522" s="104">
        <f t="shared" ref="Y522:Y523" si="507">S522+X522</f>
        <v>2</v>
      </c>
      <c r="Z522" s="56">
        <v>46094</v>
      </c>
    </row>
    <row r="523" spans="1:28" x14ac:dyDescent="0.15">
      <c r="A523" s="47" t="s">
        <v>45</v>
      </c>
      <c r="B523" s="16">
        <v>1</v>
      </c>
      <c r="C523" s="29"/>
      <c r="D523" s="17"/>
      <c r="E523" s="20"/>
      <c r="F523" s="45">
        <f t="shared" si="493"/>
        <v>1</v>
      </c>
      <c r="G523" s="16">
        <v>1</v>
      </c>
      <c r="H523" s="29"/>
      <c r="I523" s="17"/>
      <c r="J523" s="20"/>
      <c r="K523" s="45">
        <f t="shared" si="494"/>
        <v>1</v>
      </c>
      <c r="L523" s="104">
        <f t="shared" si="487"/>
        <v>2</v>
      </c>
      <c r="M523" s="58">
        <v>46069</v>
      </c>
      <c r="N523" s="72"/>
      <c r="O523" s="16"/>
      <c r="P523" s="29"/>
      <c r="Q523" s="17"/>
      <c r="R523" s="32"/>
      <c r="S523" s="9">
        <f t="shared" si="505"/>
        <v>0</v>
      </c>
      <c r="T523" s="16"/>
      <c r="U523" s="29"/>
      <c r="V523" s="17"/>
      <c r="W523" s="32"/>
      <c r="X523" s="9">
        <f t="shared" si="506"/>
        <v>0</v>
      </c>
      <c r="Y523" s="104">
        <f t="shared" si="507"/>
        <v>0</v>
      </c>
    </row>
    <row r="524" spans="1:28" x14ac:dyDescent="0.15">
      <c r="A524" s="47" t="s">
        <v>952</v>
      </c>
      <c r="B524" s="16"/>
      <c r="C524" s="29">
        <v>1</v>
      </c>
      <c r="D524" s="17"/>
      <c r="E524" s="20"/>
      <c r="F524" s="45">
        <f t="shared" si="493"/>
        <v>1</v>
      </c>
      <c r="G524" s="16"/>
      <c r="H524" s="29">
        <v>1</v>
      </c>
      <c r="I524" s="17"/>
      <c r="J524" s="20"/>
      <c r="K524" s="45">
        <f t="shared" si="494"/>
        <v>1</v>
      </c>
      <c r="L524" s="104">
        <f t="shared" si="487"/>
        <v>2</v>
      </c>
      <c r="M524" s="58">
        <v>46070</v>
      </c>
      <c r="N524" s="72" t="s">
        <v>769</v>
      </c>
      <c r="O524" s="166"/>
      <c r="P524" s="167"/>
      <c r="Q524" s="160"/>
      <c r="R524" s="168"/>
      <c r="S524" s="165">
        <f t="shared" ref="S524:S528" si="508">SUM(O524:R524)</f>
        <v>0</v>
      </c>
      <c r="T524" s="166"/>
      <c r="U524" s="167"/>
      <c r="V524" s="160"/>
      <c r="W524" s="168"/>
      <c r="X524" s="165">
        <f t="shared" ref="X524:X528" si="509">SUM(T524:W524)</f>
        <v>0</v>
      </c>
      <c r="Y524" s="169">
        <f t="shared" ref="Y524:Y528" si="510">S524+X524</f>
        <v>0</v>
      </c>
      <c r="Z524" s="157"/>
      <c r="AA524" s="35"/>
    </row>
    <row r="525" spans="1:28" x14ac:dyDescent="0.15">
      <c r="A525" s="47" t="s">
        <v>953</v>
      </c>
      <c r="B525" s="16">
        <v>2</v>
      </c>
      <c r="C525" s="29"/>
      <c r="D525" s="17"/>
      <c r="E525" s="20"/>
      <c r="F525" s="45">
        <f t="shared" si="493"/>
        <v>2</v>
      </c>
      <c r="G525" s="16"/>
      <c r="H525" s="29"/>
      <c r="I525" s="17"/>
      <c r="J525" s="20">
        <v>1</v>
      </c>
      <c r="K525" s="45">
        <f t="shared" si="494"/>
        <v>1</v>
      </c>
      <c r="L525" s="104">
        <f t="shared" si="487"/>
        <v>3</v>
      </c>
      <c r="M525" s="56">
        <v>46072</v>
      </c>
      <c r="N525" s="11" t="s">
        <v>768</v>
      </c>
      <c r="O525" s="16"/>
      <c r="P525" s="29"/>
      <c r="Q525" s="17"/>
      <c r="R525" s="32"/>
      <c r="S525" s="9">
        <f t="shared" si="508"/>
        <v>0</v>
      </c>
      <c r="T525" s="16"/>
      <c r="U525" s="29"/>
      <c r="V525" s="17"/>
      <c r="W525" s="32"/>
      <c r="X525" s="9">
        <f t="shared" si="509"/>
        <v>0</v>
      </c>
      <c r="Y525" s="104">
        <f t="shared" si="510"/>
        <v>0</v>
      </c>
      <c r="Z525" s="157" t="s">
        <v>770</v>
      </c>
      <c r="AA525" s="35"/>
    </row>
    <row r="526" spans="1:28" x14ac:dyDescent="0.15">
      <c r="A526" s="47" t="s">
        <v>957</v>
      </c>
      <c r="B526" s="16"/>
      <c r="C526" s="29"/>
      <c r="D526" s="17">
        <v>2</v>
      </c>
      <c r="E526" s="20"/>
      <c r="F526" s="45">
        <f t="shared" si="493"/>
        <v>2</v>
      </c>
      <c r="G526" s="16"/>
      <c r="H526" s="29"/>
      <c r="I526" s="17"/>
      <c r="J526" s="20"/>
      <c r="K526" s="45">
        <f t="shared" si="494"/>
        <v>0</v>
      </c>
      <c r="L526" s="104">
        <f t="shared" si="487"/>
        <v>2</v>
      </c>
      <c r="M526" s="56">
        <v>46073</v>
      </c>
      <c r="N526" s="33" t="s">
        <v>880</v>
      </c>
      <c r="O526" s="16"/>
      <c r="P526" s="29"/>
      <c r="Q526" s="17"/>
      <c r="R526" s="32"/>
      <c r="S526" s="9">
        <f t="shared" si="508"/>
        <v>0</v>
      </c>
      <c r="T526" s="16"/>
      <c r="U526" s="29"/>
      <c r="V526" s="17"/>
      <c r="W526" s="32"/>
      <c r="X526" s="9">
        <f t="shared" si="509"/>
        <v>0</v>
      </c>
      <c r="Y526" s="104">
        <f t="shared" si="510"/>
        <v>0</v>
      </c>
      <c r="Z526" s="157" t="s">
        <v>881</v>
      </c>
    </row>
    <row r="527" spans="1:28" x14ac:dyDescent="0.15">
      <c r="A527" s="47" t="s">
        <v>960</v>
      </c>
      <c r="B527" s="16">
        <v>-1</v>
      </c>
      <c r="C527" s="29"/>
      <c r="D527" s="17"/>
      <c r="E527" s="20"/>
      <c r="F527" s="45">
        <f t="shared" si="493"/>
        <v>-1</v>
      </c>
      <c r="G527" s="16"/>
      <c r="H527" s="29"/>
      <c r="I527" s="17"/>
      <c r="J527" s="20"/>
      <c r="K527" s="45">
        <f t="shared" si="494"/>
        <v>0</v>
      </c>
      <c r="L527" s="104">
        <f t="shared" si="487"/>
        <v>-1</v>
      </c>
      <c r="M527" s="58">
        <v>46070</v>
      </c>
      <c r="N527" s="11" t="s">
        <v>867</v>
      </c>
      <c r="O527" s="16"/>
      <c r="P527" s="29"/>
      <c r="Q527" s="17"/>
      <c r="R527" s="32"/>
      <c r="S527" s="9">
        <f t="shared" si="508"/>
        <v>0</v>
      </c>
      <c r="T527" s="16"/>
      <c r="U527" s="29"/>
      <c r="V527" s="17"/>
      <c r="W527" s="32"/>
      <c r="X527" s="9">
        <f t="shared" si="509"/>
        <v>0</v>
      </c>
      <c r="Y527" s="104">
        <f t="shared" si="510"/>
        <v>0</v>
      </c>
      <c r="Z527" s="157" t="s">
        <v>882</v>
      </c>
    </row>
    <row r="528" spans="1:28" ht="14.25" thickBot="1" x14ac:dyDescent="0.2">
      <c r="A528" s="47" t="s">
        <v>964</v>
      </c>
      <c r="B528" s="37"/>
      <c r="C528" s="38">
        <v>1</v>
      </c>
      <c r="D528" s="39"/>
      <c r="E528" s="40"/>
      <c r="F528" s="45">
        <f t="shared" si="493"/>
        <v>1</v>
      </c>
      <c r="G528" s="37"/>
      <c r="H528" s="38"/>
      <c r="I528" s="39"/>
      <c r="J528" s="40"/>
      <c r="K528" s="45">
        <f t="shared" si="494"/>
        <v>0</v>
      </c>
      <c r="L528" s="104">
        <f t="shared" si="487"/>
        <v>1</v>
      </c>
      <c r="M528" s="56">
        <v>46079</v>
      </c>
      <c r="N528" s="128" t="s">
        <v>753</v>
      </c>
      <c r="O528" s="123"/>
      <c r="P528" s="124"/>
      <c r="Q528" s="125"/>
      <c r="R528" s="126"/>
      <c r="S528" s="10">
        <f t="shared" si="508"/>
        <v>0</v>
      </c>
      <c r="T528" s="37">
        <f>10-10</f>
        <v>0</v>
      </c>
      <c r="U528" s="38">
        <f>10-10</f>
        <v>0</v>
      </c>
      <c r="V528" s="39">
        <f>10-10</f>
        <v>0</v>
      </c>
      <c r="W528" s="129">
        <f>10-10</f>
        <v>0</v>
      </c>
      <c r="X528" s="10">
        <f t="shared" si="509"/>
        <v>0</v>
      </c>
      <c r="Y528" s="101">
        <f t="shared" si="510"/>
        <v>0</v>
      </c>
      <c r="Z528" s="157" t="s">
        <v>754</v>
      </c>
    </row>
    <row r="529" spans="1:27" ht="14.25" thickBot="1" x14ac:dyDescent="0.2">
      <c r="A529" s="13" t="s">
        <v>8</v>
      </c>
      <c r="B529" s="22">
        <f>SUM(B504:B528)</f>
        <v>5</v>
      </c>
      <c r="C529" s="30">
        <f>SUM(C504:C528)</f>
        <v>6</v>
      </c>
      <c r="D529" s="23">
        <f>SUM(D504:D528)</f>
        <v>5</v>
      </c>
      <c r="E529" s="24">
        <f>SUM(E504:E528)</f>
        <v>2</v>
      </c>
      <c r="F529" s="21">
        <f t="shared" si="493"/>
        <v>18</v>
      </c>
      <c r="G529" s="22">
        <f>SUM(G504:G528)</f>
        <v>5</v>
      </c>
      <c r="H529" s="30">
        <f>SUM(H504:H528)</f>
        <v>10</v>
      </c>
      <c r="I529" s="23">
        <f>SUM(I504:I528)</f>
        <v>6</v>
      </c>
      <c r="J529" s="24">
        <f>SUM(J504:J528)</f>
        <v>6</v>
      </c>
      <c r="K529" s="21">
        <f>SUM(G529:J529)</f>
        <v>27</v>
      </c>
      <c r="L529" s="105">
        <f t="shared" si="487"/>
        <v>45</v>
      </c>
      <c r="N529" s="49" t="s">
        <v>8</v>
      </c>
      <c r="O529" s="22">
        <f>SUM(O504:O528)</f>
        <v>9</v>
      </c>
      <c r="P529" s="30">
        <f>SUM(P504:P528)</f>
        <v>7</v>
      </c>
      <c r="Q529" s="23">
        <f>SUM(Q504:Q528)</f>
        <v>13</v>
      </c>
      <c r="R529" s="24">
        <f>SUM(R504:R528)</f>
        <v>8</v>
      </c>
      <c r="S529" s="48">
        <f>SUM(O529:R529)</f>
        <v>37</v>
      </c>
      <c r="T529" s="22">
        <f>SUM(T504:T528)</f>
        <v>40</v>
      </c>
      <c r="U529" s="30">
        <f>SUM(U504:U528)</f>
        <v>73</v>
      </c>
      <c r="V529" s="23">
        <f>SUM(V504:V528)</f>
        <v>41</v>
      </c>
      <c r="W529" s="24">
        <f>SUM(W504:W528)</f>
        <v>18</v>
      </c>
      <c r="X529" s="48">
        <f t="shared" ref="X529" si="511">SUM(T529:W529)</f>
        <v>172</v>
      </c>
      <c r="Y529" s="122">
        <f t="shared" si="486"/>
        <v>209</v>
      </c>
    </row>
    <row r="530" spans="1:27" ht="14.25" thickBot="1" x14ac:dyDescent="0.2">
      <c r="A530" s="14" t="s">
        <v>9</v>
      </c>
      <c r="B530" s="25">
        <f t="shared" ref="B530:K530" si="512">B503-B529</f>
        <v>4</v>
      </c>
      <c r="C530" s="31">
        <f t="shared" si="512"/>
        <v>2</v>
      </c>
      <c r="D530" s="26">
        <f t="shared" si="512"/>
        <v>3</v>
      </c>
      <c r="E530" s="27">
        <f t="shared" si="512"/>
        <v>5</v>
      </c>
      <c r="F530" s="83">
        <f t="shared" si="512"/>
        <v>14</v>
      </c>
      <c r="G530" s="25">
        <f t="shared" si="512"/>
        <v>3</v>
      </c>
      <c r="H530" s="31">
        <f t="shared" si="512"/>
        <v>2</v>
      </c>
      <c r="I530" s="26">
        <f t="shared" si="512"/>
        <v>4</v>
      </c>
      <c r="J530" s="27">
        <f t="shared" si="512"/>
        <v>4</v>
      </c>
      <c r="K530" s="83">
        <f t="shared" si="512"/>
        <v>13</v>
      </c>
      <c r="L530" s="102">
        <f t="shared" si="487"/>
        <v>27</v>
      </c>
      <c r="N530" s="13" t="s">
        <v>9</v>
      </c>
      <c r="O530" s="25">
        <f t="shared" ref="O530:X530" si="513">O503-O529</f>
        <v>108</v>
      </c>
      <c r="P530" s="31">
        <f t="shared" si="513"/>
        <v>115</v>
      </c>
      <c r="Q530" s="26">
        <f t="shared" si="513"/>
        <v>116</v>
      </c>
      <c r="R530" s="27">
        <f t="shared" si="513"/>
        <v>130</v>
      </c>
      <c r="S530" s="36">
        <f t="shared" si="513"/>
        <v>469</v>
      </c>
      <c r="T530" s="25">
        <f t="shared" si="513"/>
        <v>78</v>
      </c>
      <c r="U530" s="31">
        <f t="shared" si="513"/>
        <v>117</v>
      </c>
      <c r="V530" s="26">
        <f t="shared" si="513"/>
        <v>56</v>
      </c>
      <c r="W530" s="27">
        <f t="shared" si="513"/>
        <v>74</v>
      </c>
      <c r="X530" s="36">
        <f t="shared" si="513"/>
        <v>325</v>
      </c>
      <c r="Y530" s="102">
        <f t="shared" si="486"/>
        <v>794</v>
      </c>
      <c r="Z530" s="116" t="s">
        <v>970</v>
      </c>
    </row>
    <row r="531" spans="1:27" x14ac:dyDescent="0.15">
      <c r="N531" s="189" t="s">
        <v>313</v>
      </c>
      <c r="O531" s="71">
        <f>O530/$S$530*100</f>
        <v>23.027718550106609</v>
      </c>
      <c r="P531" s="71">
        <f t="shared" ref="P531:S531" si="514">P530/$S$530*100</f>
        <v>24.520255863539443</v>
      </c>
      <c r="Q531" s="71">
        <f t="shared" si="514"/>
        <v>24.733475479744136</v>
      </c>
      <c r="R531" s="71">
        <f t="shared" si="514"/>
        <v>27.718550106609808</v>
      </c>
      <c r="S531" s="71">
        <f t="shared" si="514"/>
        <v>100</v>
      </c>
      <c r="T531" s="71">
        <f>T530/$X$530*100</f>
        <v>24</v>
      </c>
      <c r="U531" s="71">
        <f t="shared" ref="U531:W531" si="515">U530/$X$530*100</f>
        <v>36</v>
      </c>
      <c r="V531" s="71">
        <f t="shared" si="515"/>
        <v>17.23076923076923</v>
      </c>
      <c r="W531" s="71">
        <f t="shared" si="515"/>
        <v>22.76923076923077</v>
      </c>
      <c r="X531" s="71">
        <f>X530/$X$530*100</f>
        <v>100</v>
      </c>
    </row>
    <row r="532" spans="1:27" x14ac:dyDescent="0.15">
      <c r="N532" s="241" t="s">
        <v>597</v>
      </c>
      <c r="O532" s="149">
        <v>21</v>
      </c>
      <c r="P532" s="116">
        <v>29.1</v>
      </c>
      <c r="Q532" s="116">
        <v>25.3</v>
      </c>
      <c r="R532" s="149">
        <v>24.6</v>
      </c>
      <c r="S532" s="149">
        <f>SUM(O532:R532)</f>
        <v>100</v>
      </c>
      <c r="T532" s="116">
        <v>17.3</v>
      </c>
      <c r="U532" s="116">
        <v>28.5</v>
      </c>
      <c r="V532" s="116">
        <v>28.3</v>
      </c>
      <c r="W532" s="116">
        <v>25.9</v>
      </c>
      <c r="X532" s="149">
        <f>SUM(T532:W532)</f>
        <v>100</v>
      </c>
    </row>
    <row r="533" spans="1:27" ht="19.5" thickBot="1" x14ac:dyDescent="0.25">
      <c r="A533" s="2" t="s">
        <v>16</v>
      </c>
      <c r="B533" s="2"/>
      <c r="C533" s="1"/>
      <c r="D533" s="1"/>
      <c r="E533" s="1"/>
      <c r="F533" s="84"/>
      <c r="G533" s="2"/>
      <c r="H533" s="1" t="s">
        <v>156</v>
      </c>
      <c r="I533" s="1"/>
      <c r="J533" s="1"/>
      <c r="K533" s="84" t="s">
        <v>13</v>
      </c>
      <c r="L533" s="84"/>
      <c r="N533" s="2" t="s">
        <v>17</v>
      </c>
      <c r="O533" s="71"/>
      <c r="P533" s="71"/>
      <c r="Q533" s="71"/>
      <c r="R533" s="71"/>
      <c r="T533" s="71"/>
      <c r="U533" s="1" t="s">
        <v>156</v>
      </c>
      <c r="V533" s="71"/>
      <c r="W533" s="71"/>
      <c r="X533" s="84" t="s">
        <v>13</v>
      </c>
      <c r="Y533" s="84"/>
    </row>
    <row r="534" spans="1:27" ht="14.25" thickBot="1" x14ac:dyDescent="0.2">
      <c r="A534" s="5" t="s">
        <v>0</v>
      </c>
      <c r="B534" s="328" t="s">
        <v>120</v>
      </c>
      <c r="C534" s="329"/>
      <c r="D534" s="329"/>
      <c r="E534" s="329"/>
      <c r="F534" s="330"/>
      <c r="G534" s="331" t="s">
        <v>14</v>
      </c>
      <c r="H534" s="332"/>
      <c r="I534" s="332"/>
      <c r="J534" s="332"/>
      <c r="K534" s="333"/>
      <c r="L534" s="320" t="s">
        <v>30</v>
      </c>
      <c r="N534" s="5" t="s">
        <v>0</v>
      </c>
      <c r="O534" s="328" t="s">
        <v>202</v>
      </c>
      <c r="P534" s="329"/>
      <c r="Q534" s="329"/>
      <c r="R534" s="329"/>
      <c r="S534" s="330"/>
      <c r="T534" s="331" t="s">
        <v>203</v>
      </c>
      <c r="U534" s="332"/>
      <c r="V534" s="332"/>
      <c r="W534" s="332"/>
      <c r="X534" s="333"/>
      <c r="Y534" s="320" t="s">
        <v>30</v>
      </c>
    </row>
    <row r="535" spans="1:27" ht="14.25" thickBot="1" x14ac:dyDescent="0.2">
      <c r="A535" s="5" t="s">
        <v>1</v>
      </c>
      <c r="B535" s="3" t="s">
        <v>22</v>
      </c>
      <c r="C535" s="28" t="s">
        <v>23</v>
      </c>
      <c r="D535" s="4" t="s">
        <v>24</v>
      </c>
      <c r="E535" s="15" t="s">
        <v>25</v>
      </c>
      <c r="F535" s="19" t="s">
        <v>2</v>
      </c>
      <c r="G535" s="3" t="s">
        <v>22</v>
      </c>
      <c r="H535" s="28" t="s">
        <v>23</v>
      </c>
      <c r="I535" s="4" t="s">
        <v>24</v>
      </c>
      <c r="J535" s="15" t="s">
        <v>25</v>
      </c>
      <c r="K535" s="19" t="s">
        <v>2</v>
      </c>
      <c r="L535" s="321"/>
      <c r="N535" s="5" t="s">
        <v>1</v>
      </c>
      <c r="O535" s="3" t="s">
        <v>22</v>
      </c>
      <c r="P535" s="28" t="s">
        <v>23</v>
      </c>
      <c r="Q535" s="4" t="s">
        <v>24</v>
      </c>
      <c r="R535" s="15" t="s">
        <v>25</v>
      </c>
      <c r="S535" s="19" t="s">
        <v>2</v>
      </c>
      <c r="T535" s="3" t="s">
        <v>22</v>
      </c>
      <c r="U535" s="28" t="s">
        <v>23</v>
      </c>
      <c r="V535" s="4" t="s">
        <v>24</v>
      </c>
      <c r="W535" s="15" t="s">
        <v>25</v>
      </c>
      <c r="X535" s="19" t="s">
        <v>2</v>
      </c>
      <c r="Y535" s="321"/>
    </row>
    <row r="536" spans="1:27" x14ac:dyDescent="0.15">
      <c r="A536" s="78" t="s">
        <v>10</v>
      </c>
      <c r="B536" s="79">
        <f>B530</f>
        <v>4</v>
      </c>
      <c r="C536" s="80">
        <f>C530</f>
        <v>2</v>
      </c>
      <c r="D536" s="80">
        <f>D530</f>
        <v>3</v>
      </c>
      <c r="E536" s="81">
        <f>E530</f>
        <v>5</v>
      </c>
      <c r="F536" s="82">
        <f>SUM(B536:E536)</f>
        <v>14</v>
      </c>
      <c r="G536" s="79">
        <f>G530</f>
        <v>3</v>
      </c>
      <c r="H536" s="80">
        <f>H530</f>
        <v>2</v>
      </c>
      <c r="I536" s="80">
        <f>I530</f>
        <v>4</v>
      </c>
      <c r="J536" s="81">
        <f>J530</f>
        <v>4</v>
      </c>
      <c r="K536" s="82">
        <f>SUM(G536:J536)</f>
        <v>13</v>
      </c>
      <c r="L536" s="98">
        <f>F536+K536</f>
        <v>27</v>
      </c>
      <c r="N536" s="78" t="s">
        <v>10</v>
      </c>
      <c r="O536" s="79">
        <f>O530</f>
        <v>108</v>
      </c>
      <c r="P536" s="80">
        <f>P530</f>
        <v>115</v>
      </c>
      <c r="Q536" s="80">
        <f>Q530</f>
        <v>116</v>
      </c>
      <c r="R536" s="81">
        <f>R530</f>
        <v>130</v>
      </c>
      <c r="S536" s="82">
        <f>SUM(O536:R536)</f>
        <v>469</v>
      </c>
      <c r="T536" s="79">
        <f>T530</f>
        <v>78</v>
      </c>
      <c r="U536" s="80">
        <f>U530</f>
        <v>117</v>
      </c>
      <c r="V536" s="80">
        <f>V530</f>
        <v>56</v>
      </c>
      <c r="W536" s="81">
        <f>W530</f>
        <v>74</v>
      </c>
      <c r="X536" s="82">
        <f>SUM(T536:W536)</f>
        <v>325</v>
      </c>
      <c r="Y536" s="98">
        <f>S536+X536</f>
        <v>794</v>
      </c>
    </row>
    <row r="537" spans="1:27" x14ac:dyDescent="0.15">
      <c r="A537" s="47" t="s">
        <v>3</v>
      </c>
      <c r="B537" s="51"/>
      <c r="C537" s="52"/>
      <c r="D537" s="53"/>
      <c r="E537" s="54"/>
      <c r="F537" s="61">
        <f>SUM(B537:E537)</f>
        <v>0</v>
      </c>
      <c r="G537" s="51"/>
      <c r="H537" s="52">
        <v>3</v>
      </c>
      <c r="I537" s="53"/>
      <c r="J537" s="54"/>
      <c r="K537" s="61">
        <f>SUM(G537:J537)</f>
        <v>3</v>
      </c>
      <c r="L537" s="99">
        <f t="shared" ref="L537:L568" si="516">F537+K537</f>
        <v>3</v>
      </c>
      <c r="M537" s="56">
        <v>46073</v>
      </c>
      <c r="N537" s="12" t="s">
        <v>3</v>
      </c>
      <c r="O537" s="16"/>
      <c r="P537" s="29"/>
      <c r="Q537" s="17"/>
      <c r="R537" s="20"/>
      <c r="S537" s="45">
        <f t="shared" ref="S537:S539" si="517">SUM(O537:R537)</f>
        <v>0</v>
      </c>
      <c r="T537" s="16"/>
      <c r="U537" s="29"/>
      <c r="V537" s="17"/>
      <c r="W537" s="20"/>
      <c r="X537" s="45">
        <f t="shared" ref="X537:X539" si="518">SUM(T537:W537)</f>
        <v>0</v>
      </c>
      <c r="Y537" s="100">
        <f t="shared" ref="Y537:Y539" si="519">S537+X537</f>
        <v>0</v>
      </c>
      <c r="Z537" s="56"/>
    </row>
    <row r="538" spans="1:27" x14ac:dyDescent="0.15">
      <c r="A538" s="12" t="s">
        <v>4</v>
      </c>
      <c r="B538" s="6"/>
      <c r="C538" s="18">
        <v>3</v>
      </c>
      <c r="D538" s="7">
        <v>3</v>
      </c>
      <c r="E538" s="8"/>
      <c r="F538" s="9">
        <f>SUM(B538:E538)</f>
        <v>6</v>
      </c>
      <c r="G538" s="6">
        <v>3</v>
      </c>
      <c r="H538" s="18"/>
      <c r="I538" s="7"/>
      <c r="J538" s="8"/>
      <c r="K538" s="9">
        <f>SUM(G538:J538)</f>
        <v>3</v>
      </c>
      <c r="L538" s="100">
        <f t="shared" si="516"/>
        <v>9</v>
      </c>
      <c r="M538" s="56">
        <v>46074</v>
      </c>
      <c r="N538" s="12" t="s">
        <v>4</v>
      </c>
      <c r="O538" s="16"/>
      <c r="P538" s="29"/>
      <c r="Q538" s="17"/>
      <c r="R538" s="20"/>
      <c r="S538" s="45">
        <f t="shared" si="517"/>
        <v>0</v>
      </c>
      <c r="T538" s="16">
        <v>20</v>
      </c>
      <c r="U538" s="29">
        <v>30</v>
      </c>
      <c r="V538" s="17">
        <v>120</v>
      </c>
      <c r="W538" s="20">
        <v>130</v>
      </c>
      <c r="X538" s="45">
        <f t="shared" si="518"/>
        <v>300</v>
      </c>
      <c r="Y538" s="100">
        <f t="shared" si="519"/>
        <v>300</v>
      </c>
      <c r="Z538" s="56" t="s">
        <v>1033</v>
      </c>
      <c r="AA538" s="35"/>
    </row>
    <row r="539" spans="1:27" x14ac:dyDescent="0.15">
      <c r="A539" s="12" t="s">
        <v>162</v>
      </c>
      <c r="B539" s="6"/>
      <c r="C539" s="18">
        <v>1</v>
      </c>
      <c r="D539" s="7"/>
      <c r="E539" s="8"/>
      <c r="F539" s="9">
        <f>SUM(B539:E539)</f>
        <v>1</v>
      </c>
      <c r="G539" s="6"/>
      <c r="H539" s="18"/>
      <c r="I539" s="7"/>
      <c r="J539" s="8"/>
      <c r="K539" s="9">
        <f>SUM(G539:J539)</f>
        <v>0</v>
      </c>
      <c r="L539" s="100">
        <f t="shared" si="516"/>
        <v>1</v>
      </c>
      <c r="M539" s="58">
        <v>46072</v>
      </c>
      <c r="N539" s="12" t="s">
        <v>5</v>
      </c>
      <c r="O539" s="16"/>
      <c r="P539" s="29"/>
      <c r="Q539" s="17"/>
      <c r="R539" s="20"/>
      <c r="S539" s="45">
        <f t="shared" si="517"/>
        <v>0</v>
      </c>
      <c r="T539" s="16">
        <v>30</v>
      </c>
      <c r="U539" s="29">
        <v>70</v>
      </c>
      <c r="V539" s="17">
        <v>70</v>
      </c>
      <c r="W539" s="20">
        <v>50</v>
      </c>
      <c r="X539" s="45">
        <f t="shared" si="518"/>
        <v>220</v>
      </c>
      <c r="Y539" s="100">
        <f t="shared" si="519"/>
        <v>220</v>
      </c>
      <c r="Z539" s="56" t="s">
        <v>1033</v>
      </c>
      <c r="AA539" s="35"/>
    </row>
    <row r="540" spans="1:27" ht="14.25" thickBot="1" x14ac:dyDescent="0.2">
      <c r="A540" s="12" t="s">
        <v>787</v>
      </c>
      <c r="B540" s="6">
        <v>3</v>
      </c>
      <c r="C540" s="18">
        <v>13</v>
      </c>
      <c r="D540" s="7">
        <v>6</v>
      </c>
      <c r="E540" s="8"/>
      <c r="F540" s="10">
        <f>SUM(B540:E540)</f>
        <v>22</v>
      </c>
      <c r="G540" s="6"/>
      <c r="H540" s="18">
        <v>1</v>
      </c>
      <c r="I540" s="7"/>
      <c r="J540" s="8"/>
      <c r="K540" s="10">
        <f>SUM(G540:J540)</f>
        <v>1</v>
      </c>
      <c r="L540" s="101">
        <f t="shared" si="516"/>
        <v>23</v>
      </c>
      <c r="M540" s="58">
        <v>46077</v>
      </c>
      <c r="N540" s="12" t="s">
        <v>47</v>
      </c>
      <c r="O540" s="16"/>
      <c r="P540" s="29"/>
      <c r="Q540" s="17"/>
      <c r="R540" s="20"/>
      <c r="S540" s="45">
        <f t="shared" ref="S540" si="520">SUM(O540:R540)</f>
        <v>0</v>
      </c>
      <c r="T540" s="16">
        <v>2</v>
      </c>
      <c r="U540" s="29">
        <v>3</v>
      </c>
      <c r="V540" s="17">
        <v>18</v>
      </c>
      <c r="W540" s="20">
        <v>10</v>
      </c>
      <c r="X540" s="45">
        <f t="shared" ref="X540" si="521">SUM(T540:W540)</f>
        <v>33</v>
      </c>
      <c r="Y540" s="100">
        <f t="shared" ref="Y540:Y568" si="522">S540+X540</f>
        <v>33</v>
      </c>
      <c r="Z540" s="56"/>
      <c r="AA540" s="35"/>
    </row>
    <row r="541" spans="1:27" ht="14.25" thickBot="1" x14ac:dyDescent="0.2">
      <c r="A541" s="14" t="s">
        <v>7</v>
      </c>
      <c r="B541" s="62">
        <f t="shared" ref="B541:K541" si="523">SUM(B536:B540)</f>
        <v>7</v>
      </c>
      <c r="C541" s="63">
        <f t="shared" si="523"/>
        <v>19</v>
      </c>
      <c r="D541" s="64">
        <f t="shared" si="523"/>
        <v>12</v>
      </c>
      <c r="E541" s="65">
        <f t="shared" si="523"/>
        <v>5</v>
      </c>
      <c r="F541" s="66">
        <f t="shared" si="523"/>
        <v>43</v>
      </c>
      <c r="G541" s="62">
        <f t="shared" si="523"/>
        <v>6</v>
      </c>
      <c r="H541" s="63">
        <f t="shared" si="523"/>
        <v>6</v>
      </c>
      <c r="I541" s="64">
        <f t="shared" si="523"/>
        <v>4</v>
      </c>
      <c r="J541" s="65">
        <f t="shared" si="523"/>
        <v>4</v>
      </c>
      <c r="K541" s="66">
        <f t="shared" si="523"/>
        <v>20</v>
      </c>
      <c r="L541" s="102">
        <f t="shared" si="516"/>
        <v>63</v>
      </c>
      <c r="N541" s="13" t="s">
        <v>7</v>
      </c>
      <c r="O541" s="25">
        <f t="shared" ref="O541:X541" si="524">SUM(O536:O540)</f>
        <v>108</v>
      </c>
      <c r="P541" s="31">
        <f t="shared" si="524"/>
        <v>115</v>
      </c>
      <c r="Q541" s="26">
        <f t="shared" si="524"/>
        <v>116</v>
      </c>
      <c r="R541" s="67">
        <f t="shared" si="524"/>
        <v>130</v>
      </c>
      <c r="S541" s="68">
        <f t="shared" si="524"/>
        <v>469</v>
      </c>
      <c r="T541" s="25">
        <f t="shared" si="524"/>
        <v>130</v>
      </c>
      <c r="U541" s="31">
        <f t="shared" si="524"/>
        <v>220</v>
      </c>
      <c r="V541" s="26">
        <f t="shared" si="524"/>
        <v>264</v>
      </c>
      <c r="W541" s="67">
        <f t="shared" si="524"/>
        <v>264</v>
      </c>
      <c r="X541" s="68">
        <f t="shared" si="524"/>
        <v>878</v>
      </c>
      <c r="Y541" s="102">
        <f t="shared" si="522"/>
        <v>1347</v>
      </c>
    </row>
    <row r="542" spans="1:27" x14ac:dyDescent="0.15">
      <c r="A542" s="47" t="s">
        <v>974</v>
      </c>
      <c r="B542" s="41">
        <v>1</v>
      </c>
      <c r="C542" s="42"/>
      <c r="D542" s="43">
        <v>1</v>
      </c>
      <c r="E542" s="44">
        <v>2</v>
      </c>
      <c r="F542" s="70">
        <f t="shared" ref="F542:F567" si="525">SUM(B542:E542)</f>
        <v>4</v>
      </c>
      <c r="G542" s="41"/>
      <c r="H542" s="42">
        <v>1</v>
      </c>
      <c r="I542" s="43"/>
      <c r="J542" s="44"/>
      <c r="K542" s="70">
        <f t="shared" ref="K542:K566" si="526">SUM(G542:J542)</f>
        <v>1</v>
      </c>
      <c r="L542" s="103">
        <f t="shared" si="516"/>
        <v>5</v>
      </c>
      <c r="M542" s="56">
        <v>46080</v>
      </c>
      <c r="N542" s="158" t="s">
        <v>180</v>
      </c>
      <c r="O542" s="16"/>
      <c r="P542" s="29">
        <v>6</v>
      </c>
      <c r="Q542" s="17"/>
      <c r="R542" s="32">
        <v>6</v>
      </c>
      <c r="S542" s="9">
        <f t="shared" ref="S542:S547" si="527">SUM(O542:R542)</f>
        <v>12</v>
      </c>
      <c r="T542" s="16"/>
      <c r="U542" s="29"/>
      <c r="V542" s="17"/>
      <c r="W542" s="32"/>
      <c r="X542" s="9">
        <f t="shared" ref="X542:X547" si="528">SUM(T542:W542)</f>
        <v>0</v>
      </c>
      <c r="Y542" s="104">
        <f t="shared" si="522"/>
        <v>12</v>
      </c>
      <c r="Z542" s="56">
        <v>46090</v>
      </c>
    </row>
    <row r="543" spans="1:27" x14ac:dyDescent="0.15">
      <c r="A543" s="47" t="s">
        <v>975</v>
      </c>
      <c r="B543" s="16"/>
      <c r="C543" s="29"/>
      <c r="D543" s="17"/>
      <c r="E543" s="20">
        <v>1</v>
      </c>
      <c r="F543" s="45">
        <f t="shared" si="525"/>
        <v>1</v>
      </c>
      <c r="G543" s="16"/>
      <c r="H543" s="29"/>
      <c r="I543" s="17"/>
      <c r="J543" s="20"/>
      <c r="K543" s="45">
        <f t="shared" si="526"/>
        <v>0</v>
      </c>
      <c r="L543" s="104">
        <f t="shared" si="516"/>
        <v>1</v>
      </c>
      <c r="M543" s="56">
        <v>46080</v>
      </c>
      <c r="N543" s="11" t="s">
        <v>994</v>
      </c>
      <c r="O543" s="16">
        <v>3</v>
      </c>
      <c r="P543" s="29">
        <v>7</v>
      </c>
      <c r="Q543" s="17">
        <v>5</v>
      </c>
      <c r="R543" s="32">
        <v>3</v>
      </c>
      <c r="S543" s="9">
        <f t="shared" si="527"/>
        <v>18</v>
      </c>
      <c r="T543" s="16">
        <v>4</v>
      </c>
      <c r="U543" s="29">
        <v>8</v>
      </c>
      <c r="V543" s="17">
        <v>10</v>
      </c>
      <c r="W543" s="32">
        <v>8</v>
      </c>
      <c r="X543" s="9">
        <f t="shared" si="528"/>
        <v>30</v>
      </c>
      <c r="Y543" s="104">
        <f t="shared" si="522"/>
        <v>48</v>
      </c>
      <c r="Z543" s="56">
        <v>46087</v>
      </c>
    </row>
    <row r="544" spans="1:27" x14ac:dyDescent="0.15">
      <c r="A544" s="47" t="s">
        <v>976</v>
      </c>
      <c r="B544" s="16"/>
      <c r="C544" s="29"/>
      <c r="D544" s="17">
        <v>-1</v>
      </c>
      <c r="E544" s="20"/>
      <c r="F544" s="45">
        <f t="shared" si="525"/>
        <v>-1</v>
      </c>
      <c r="G544" s="16"/>
      <c r="H544" s="29"/>
      <c r="I544" s="17"/>
      <c r="J544" s="20"/>
      <c r="K544" s="45">
        <f t="shared" si="526"/>
        <v>0</v>
      </c>
      <c r="L544" s="104">
        <f t="shared" si="516"/>
        <v>-1</v>
      </c>
      <c r="M544" s="58">
        <v>46077</v>
      </c>
      <c r="N544" s="47" t="s">
        <v>1002</v>
      </c>
      <c r="O544" s="16"/>
      <c r="P544" s="29">
        <v>1</v>
      </c>
      <c r="Q544" s="17"/>
      <c r="R544" s="32">
        <v>2</v>
      </c>
      <c r="S544" s="9">
        <f t="shared" si="527"/>
        <v>3</v>
      </c>
      <c r="T544" s="16"/>
      <c r="U544" s="29"/>
      <c r="V544" s="17">
        <v>1</v>
      </c>
      <c r="W544" s="32"/>
      <c r="X544" s="9">
        <f t="shared" si="528"/>
        <v>1</v>
      </c>
      <c r="Y544" s="104">
        <f t="shared" si="522"/>
        <v>4</v>
      </c>
      <c r="Z544" s="56">
        <v>46091</v>
      </c>
      <c r="AA544" s="35"/>
    </row>
    <row r="545" spans="1:26" x14ac:dyDescent="0.15">
      <c r="A545" s="47" t="s">
        <v>150</v>
      </c>
      <c r="B545" s="16"/>
      <c r="C545" s="29"/>
      <c r="D545" s="17"/>
      <c r="E545" s="20">
        <v>-3</v>
      </c>
      <c r="F545" s="45">
        <f t="shared" si="525"/>
        <v>-3</v>
      </c>
      <c r="G545" s="16"/>
      <c r="H545" s="29"/>
      <c r="I545" s="17"/>
      <c r="J545" s="20"/>
      <c r="K545" s="45">
        <f t="shared" si="526"/>
        <v>0</v>
      </c>
      <c r="L545" s="104">
        <f t="shared" si="516"/>
        <v>-3</v>
      </c>
      <c r="M545" s="56">
        <v>46083</v>
      </c>
      <c r="N545" s="11" t="s">
        <v>932</v>
      </c>
      <c r="O545" s="206"/>
      <c r="P545" s="207"/>
      <c r="Q545" s="208"/>
      <c r="R545" s="209"/>
      <c r="S545" s="9">
        <f t="shared" si="527"/>
        <v>0</v>
      </c>
      <c r="T545" s="16"/>
      <c r="U545" s="29">
        <v>10</v>
      </c>
      <c r="V545" s="17"/>
      <c r="W545" s="32">
        <v>10</v>
      </c>
      <c r="X545" s="9">
        <f t="shared" si="528"/>
        <v>20</v>
      </c>
      <c r="Y545" s="104">
        <f t="shared" si="522"/>
        <v>20</v>
      </c>
      <c r="Z545" s="56">
        <v>46105</v>
      </c>
    </row>
    <row r="546" spans="1:26" x14ac:dyDescent="0.15">
      <c r="A546" s="47" t="s">
        <v>982</v>
      </c>
      <c r="B546" s="16"/>
      <c r="C546" s="29">
        <v>1</v>
      </c>
      <c r="D546" s="17"/>
      <c r="E546" s="20"/>
      <c r="F546" s="45">
        <f t="shared" si="525"/>
        <v>1</v>
      </c>
      <c r="G546" s="16"/>
      <c r="H546" s="29"/>
      <c r="I546" s="17"/>
      <c r="J546" s="20"/>
      <c r="K546" s="45">
        <f t="shared" si="526"/>
        <v>0</v>
      </c>
      <c r="L546" s="104">
        <f t="shared" si="516"/>
        <v>1</v>
      </c>
      <c r="M546" s="56">
        <v>46086</v>
      </c>
      <c r="N546" s="11" t="s">
        <v>1010</v>
      </c>
      <c r="O546" s="206"/>
      <c r="P546" s="207"/>
      <c r="Q546" s="208"/>
      <c r="R546" s="209"/>
      <c r="S546" s="9">
        <f t="shared" si="527"/>
        <v>0</v>
      </c>
      <c r="T546" s="16"/>
      <c r="U546" s="29">
        <v>5</v>
      </c>
      <c r="V546" s="17"/>
      <c r="W546" s="32">
        <v>5</v>
      </c>
      <c r="X546" s="9">
        <f t="shared" si="528"/>
        <v>10</v>
      </c>
      <c r="Y546" s="104">
        <f t="shared" si="522"/>
        <v>10</v>
      </c>
      <c r="Z546" s="56">
        <v>46094</v>
      </c>
    </row>
    <row r="547" spans="1:26" x14ac:dyDescent="0.15">
      <c r="A547" s="47" t="s">
        <v>984</v>
      </c>
      <c r="B547" s="16"/>
      <c r="C547" s="29"/>
      <c r="D547" s="17"/>
      <c r="E547" s="20">
        <v>1</v>
      </c>
      <c r="F547" s="45">
        <f t="shared" si="525"/>
        <v>1</v>
      </c>
      <c r="G547" s="16"/>
      <c r="H547" s="29"/>
      <c r="I547" s="17"/>
      <c r="J547" s="20"/>
      <c r="K547" s="45">
        <f t="shared" si="526"/>
        <v>0</v>
      </c>
      <c r="L547" s="104">
        <f t="shared" si="516"/>
        <v>1</v>
      </c>
      <c r="M547" s="56">
        <v>46086</v>
      </c>
      <c r="N547" s="11" t="s">
        <v>1014</v>
      </c>
      <c r="O547" s="16"/>
      <c r="P547" s="29"/>
      <c r="Q547" s="17">
        <v>15</v>
      </c>
      <c r="R547" s="32">
        <v>10</v>
      </c>
      <c r="S547" s="9">
        <f t="shared" si="527"/>
        <v>25</v>
      </c>
      <c r="T547" s="16"/>
      <c r="U547" s="29"/>
      <c r="V547" s="17"/>
      <c r="W547" s="32"/>
      <c r="X547" s="9">
        <f t="shared" si="528"/>
        <v>0</v>
      </c>
      <c r="Y547" s="104">
        <f t="shared" si="522"/>
        <v>25</v>
      </c>
      <c r="Z547" s="56">
        <v>46093</v>
      </c>
    </row>
    <row r="548" spans="1:26" x14ac:dyDescent="0.15">
      <c r="A548" s="47" t="s">
        <v>985</v>
      </c>
      <c r="B548" s="16"/>
      <c r="C548" s="29"/>
      <c r="D548" s="17"/>
      <c r="E548" s="20"/>
      <c r="F548" s="45">
        <f t="shared" si="525"/>
        <v>0</v>
      </c>
      <c r="G548" s="16"/>
      <c r="H548" s="29"/>
      <c r="I548" s="17"/>
      <c r="J548" s="20">
        <v>-1</v>
      </c>
      <c r="K548" s="45">
        <f t="shared" si="526"/>
        <v>-1</v>
      </c>
      <c r="L548" s="104">
        <f t="shared" si="516"/>
        <v>-1</v>
      </c>
      <c r="M548" s="58">
        <v>46084</v>
      </c>
      <c r="N548" s="33" t="s">
        <v>1015</v>
      </c>
      <c r="O548" s="206"/>
      <c r="P548" s="207"/>
      <c r="Q548" s="208"/>
      <c r="R548" s="209"/>
      <c r="S548" s="9">
        <f>SUM(O548:R548)</f>
        <v>0</v>
      </c>
      <c r="T548" s="16">
        <v>5</v>
      </c>
      <c r="U548" s="29"/>
      <c r="V548" s="17">
        <v>20</v>
      </c>
      <c r="W548" s="32"/>
      <c r="X548" s="9">
        <f>SUM(T548:W548)</f>
        <v>25</v>
      </c>
      <c r="Y548" s="104">
        <f t="shared" si="522"/>
        <v>25</v>
      </c>
      <c r="Z548" s="56">
        <v>46094</v>
      </c>
    </row>
    <row r="549" spans="1:26" x14ac:dyDescent="0.15">
      <c r="A549" s="47" t="s">
        <v>993</v>
      </c>
      <c r="B549" s="16"/>
      <c r="C549" s="29"/>
      <c r="D549" s="17"/>
      <c r="E549" s="20"/>
      <c r="F549" s="45">
        <f t="shared" si="525"/>
        <v>0</v>
      </c>
      <c r="G549" s="16"/>
      <c r="H549" s="29"/>
      <c r="I549" s="17">
        <v>1</v>
      </c>
      <c r="J549" s="20">
        <v>1</v>
      </c>
      <c r="K549" s="45">
        <f t="shared" si="526"/>
        <v>2</v>
      </c>
      <c r="L549" s="104">
        <f t="shared" si="516"/>
        <v>2</v>
      </c>
      <c r="M549" s="56">
        <v>46087</v>
      </c>
      <c r="N549" s="268" t="s">
        <v>822</v>
      </c>
      <c r="O549" s="255"/>
      <c r="P549" s="256"/>
      <c r="Q549" s="257"/>
      <c r="R549" s="269">
        <v>3</v>
      </c>
      <c r="S549" s="270">
        <f t="shared" ref="S549:S553" si="529">SUM(O549:R549)</f>
        <v>3</v>
      </c>
      <c r="T549" s="255"/>
      <c r="U549" s="256"/>
      <c r="V549" s="257"/>
      <c r="W549" s="269"/>
      <c r="X549" s="270">
        <f t="shared" ref="X549:X553" si="530">SUM(T549:W549)</f>
        <v>0</v>
      </c>
      <c r="Y549" s="260">
        <f t="shared" si="522"/>
        <v>3</v>
      </c>
      <c r="Z549" s="261">
        <v>46093</v>
      </c>
    </row>
    <row r="550" spans="1:26" x14ac:dyDescent="0.15">
      <c r="A550" s="47" t="s">
        <v>995</v>
      </c>
      <c r="B550" s="16"/>
      <c r="C550" s="29"/>
      <c r="D550" s="17"/>
      <c r="E550" s="20"/>
      <c r="F550" s="45">
        <f t="shared" si="525"/>
        <v>0</v>
      </c>
      <c r="G550" s="16">
        <v>-1</v>
      </c>
      <c r="H550" s="29">
        <v>-1</v>
      </c>
      <c r="I550" s="17">
        <v>-2</v>
      </c>
      <c r="J550" s="20">
        <v>-1</v>
      </c>
      <c r="K550" s="45">
        <f t="shared" si="526"/>
        <v>-5</v>
      </c>
      <c r="L550" s="104">
        <f t="shared" si="516"/>
        <v>-5</v>
      </c>
      <c r="M550" s="58">
        <v>46085</v>
      </c>
      <c r="N550" s="11" t="s">
        <v>1022</v>
      </c>
      <c r="O550" s="16">
        <v>10</v>
      </c>
      <c r="P550" s="29">
        <v>15</v>
      </c>
      <c r="Q550" s="17">
        <v>10</v>
      </c>
      <c r="R550" s="32">
        <v>10</v>
      </c>
      <c r="S550" s="9">
        <f t="shared" si="529"/>
        <v>45</v>
      </c>
      <c r="T550" s="16">
        <v>15</v>
      </c>
      <c r="U550" s="29">
        <v>10</v>
      </c>
      <c r="V550" s="17">
        <v>10</v>
      </c>
      <c r="W550" s="32">
        <v>10</v>
      </c>
      <c r="X550" s="9">
        <f t="shared" si="530"/>
        <v>45</v>
      </c>
      <c r="Y550" s="104">
        <f t="shared" si="522"/>
        <v>90</v>
      </c>
      <c r="Z550" s="56">
        <v>46094</v>
      </c>
    </row>
    <row r="551" spans="1:26" x14ac:dyDescent="0.15">
      <c r="A551" s="33" t="s">
        <v>45</v>
      </c>
      <c r="B551" s="16"/>
      <c r="C551" s="29"/>
      <c r="D551" s="17"/>
      <c r="E551" s="20">
        <v>1</v>
      </c>
      <c r="F551" s="45">
        <f t="shared" si="525"/>
        <v>1</v>
      </c>
      <c r="G551" s="16"/>
      <c r="H551" s="29"/>
      <c r="I551" s="17"/>
      <c r="J551" s="20"/>
      <c r="K551" s="45">
        <f t="shared" si="526"/>
        <v>0</v>
      </c>
      <c r="L551" s="104">
        <f t="shared" si="516"/>
        <v>1</v>
      </c>
      <c r="M551" s="58">
        <v>46086</v>
      </c>
      <c r="N551" s="33" t="s">
        <v>1023</v>
      </c>
      <c r="O551" s="206"/>
      <c r="P551" s="207"/>
      <c r="Q551" s="208"/>
      <c r="R551" s="209"/>
      <c r="S551" s="9">
        <f t="shared" si="529"/>
        <v>0</v>
      </c>
      <c r="T551" s="16"/>
      <c r="U551" s="29"/>
      <c r="V551" s="17"/>
      <c r="W551" s="32">
        <v>15</v>
      </c>
      <c r="X551" s="9">
        <f t="shared" si="530"/>
        <v>15</v>
      </c>
      <c r="Y551" s="104">
        <f t="shared" si="522"/>
        <v>15</v>
      </c>
      <c r="Z551" s="56">
        <v>46095</v>
      </c>
    </row>
    <row r="552" spans="1:26" x14ac:dyDescent="0.15">
      <c r="A552" s="33" t="s">
        <v>45</v>
      </c>
      <c r="B552" s="16">
        <v>1</v>
      </c>
      <c r="C552" s="29"/>
      <c r="D552" s="17"/>
      <c r="E552" s="20"/>
      <c r="F552" s="45">
        <f t="shared" si="525"/>
        <v>1</v>
      </c>
      <c r="G552" s="16">
        <v>2</v>
      </c>
      <c r="H552" s="29"/>
      <c r="I552" s="17"/>
      <c r="J552" s="20"/>
      <c r="K552" s="45">
        <f t="shared" si="526"/>
        <v>2</v>
      </c>
      <c r="L552" s="104">
        <f t="shared" si="516"/>
        <v>3</v>
      </c>
      <c r="M552" s="58">
        <v>46090</v>
      </c>
      <c r="N552" s="47" t="s">
        <v>1027</v>
      </c>
      <c r="O552" s="16"/>
      <c r="P552" s="29"/>
      <c r="Q552" s="17"/>
      <c r="R552" s="20"/>
      <c r="S552" s="45">
        <f t="shared" si="529"/>
        <v>0</v>
      </c>
      <c r="T552" s="16"/>
      <c r="U552" s="29">
        <v>2</v>
      </c>
      <c r="V552" s="17"/>
      <c r="W552" s="20"/>
      <c r="X552" s="45">
        <f t="shared" si="530"/>
        <v>2</v>
      </c>
      <c r="Y552" s="104">
        <f t="shared" si="522"/>
        <v>2</v>
      </c>
      <c r="Z552" s="56">
        <v>46097</v>
      </c>
    </row>
    <row r="553" spans="1:26" x14ac:dyDescent="0.15">
      <c r="A553" s="47" t="s">
        <v>1009</v>
      </c>
      <c r="B553" s="16"/>
      <c r="C553" s="29"/>
      <c r="D553" s="17"/>
      <c r="E553" s="20">
        <v>1</v>
      </c>
      <c r="F553" s="45">
        <f t="shared" si="525"/>
        <v>1</v>
      </c>
      <c r="G553" s="16"/>
      <c r="H553" s="29"/>
      <c r="I553" s="17"/>
      <c r="J553" s="20">
        <v>1</v>
      </c>
      <c r="K553" s="45">
        <f t="shared" si="526"/>
        <v>1</v>
      </c>
      <c r="L553" s="104">
        <f t="shared" si="516"/>
        <v>2</v>
      </c>
      <c r="M553" s="56">
        <v>46093</v>
      </c>
      <c r="N553" s="33" t="s">
        <v>1028</v>
      </c>
      <c r="O553" s="16"/>
      <c r="P553" s="29"/>
      <c r="Q553" s="17"/>
      <c r="R553" s="32"/>
      <c r="S553" s="9">
        <f t="shared" si="529"/>
        <v>0</v>
      </c>
      <c r="T553" s="16"/>
      <c r="U553" s="29">
        <v>3</v>
      </c>
      <c r="V553" s="17"/>
      <c r="W553" s="32"/>
      <c r="X553" s="9">
        <f t="shared" si="530"/>
        <v>3</v>
      </c>
      <c r="Y553" s="104">
        <f t="shared" si="522"/>
        <v>3</v>
      </c>
      <c r="Z553" s="56">
        <v>46095</v>
      </c>
    </row>
    <row r="554" spans="1:26" x14ac:dyDescent="0.15">
      <c r="A554" s="47" t="s">
        <v>45</v>
      </c>
      <c r="B554" s="16"/>
      <c r="C554" s="29"/>
      <c r="D554" s="17"/>
      <c r="E554" s="20"/>
      <c r="F554" s="45">
        <f t="shared" si="525"/>
        <v>0</v>
      </c>
      <c r="G554" s="16"/>
      <c r="H554" s="29">
        <v>1</v>
      </c>
      <c r="I554" s="17"/>
      <c r="J554" s="20"/>
      <c r="K554" s="45">
        <f t="shared" si="526"/>
        <v>1</v>
      </c>
      <c r="L554" s="104">
        <f t="shared" si="516"/>
        <v>1</v>
      </c>
      <c r="M554" s="58">
        <v>46091</v>
      </c>
      <c r="N554" s="11" t="s">
        <v>1032</v>
      </c>
      <c r="O554" s="16"/>
      <c r="P554" s="29"/>
      <c r="Q554" s="17">
        <v>1</v>
      </c>
      <c r="R554" s="32"/>
      <c r="S554" s="9">
        <f>SUM(O554:R554)</f>
        <v>1</v>
      </c>
      <c r="T554" s="16"/>
      <c r="U554" s="29"/>
      <c r="V554" s="17">
        <v>5</v>
      </c>
      <c r="W554" s="32">
        <v>2</v>
      </c>
      <c r="X554" s="9">
        <f>SUM(T554:W554)</f>
        <v>7</v>
      </c>
      <c r="Y554" s="104">
        <f t="shared" si="522"/>
        <v>8</v>
      </c>
      <c r="Z554" s="56">
        <v>46101</v>
      </c>
    </row>
    <row r="555" spans="1:26" x14ac:dyDescent="0.15">
      <c r="A555" s="47" t="s">
        <v>1013</v>
      </c>
      <c r="B555" s="16"/>
      <c r="C555" s="29"/>
      <c r="D555" s="17">
        <v>1</v>
      </c>
      <c r="E555" s="20"/>
      <c r="F555" s="45">
        <f t="shared" si="525"/>
        <v>1</v>
      </c>
      <c r="G555" s="16"/>
      <c r="H555" s="29"/>
      <c r="I555" s="17"/>
      <c r="J555" s="20"/>
      <c r="K555" s="45">
        <f t="shared" si="526"/>
        <v>0</v>
      </c>
      <c r="L555" s="104">
        <f t="shared" si="516"/>
        <v>1</v>
      </c>
      <c r="M555" s="56">
        <v>46094</v>
      </c>
      <c r="N555" s="289" t="s">
        <v>822</v>
      </c>
      <c r="O555" s="255"/>
      <c r="P555" s="256"/>
      <c r="Q555" s="257"/>
      <c r="R555" s="269"/>
      <c r="S555" s="270">
        <f t="shared" ref="S555:S556" si="531">SUM(O555:R555)</f>
        <v>0</v>
      </c>
      <c r="T555" s="255"/>
      <c r="U555" s="256">
        <v>3</v>
      </c>
      <c r="V555" s="257"/>
      <c r="W555" s="269"/>
      <c r="X555" s="270">
        <f t="shared" ref="X555:X556" si="532">SUM(T555:W555)</f>
        <v>3</v>
      </c>
      <c r="Y555" s="260">
        <f t="shared" ref="Y555:Y556" si="533">S555+X555</f>
        <v>3</v>
      </c>
      <c r="Z555" s="261">
        <v>46099</v>
      </c>
    </row>
    <row r="556" spans="1:26" x14ac:dyDescent="0.15">
      <c r="A556" s="33" t="s">
        <v>45</v>
      </c>
      <c r="B556" s="16"/>
      <c r="C556" s="29">
        <v>1</v>
      </c>
      <c r="D556" s="17">
        <v>1</v>
      </c>
      <c r="E556" s="20"/>
      <c r="F556" s="45">
        <f t="shared" si="525"/>
        <v>2</v>
      </c>
      <c r="G556" s="16"/>
      <c r="H556" s="29">
        <v>1</v>
      </c>
      <c r="I556" s="17"/>
      <c r="J556" s="20"/>
      <c r="K556" s="45">
        <f t="shared" si="526"/>
        <v>1</v>
      </c>
      <c r="L556" s="104">
        <f t="shared" si="516"/>
        <v>3</v>
      </c>
      <c r="M556" s="58">
        <v>46092</v>
      </c>
      <c r="N556" s="33" t="s">
        <v>822</v>
      </c>
      <c r="O556" s="16"/>
      <c r="P556" s="29"/>
      <c r="Q556" s="17"/>
      <c r="R556" s="32"/>
      <c r="S556" s="9">
        <f t="shared" si="531"/>
        <v>0</v>
      </c>
      <c r="T556" s="16"/>
      <c r="U556" s="29">
        <v>3</v>
      </c>
      <c r="V556" s="17">
        <v>3</v>
      </c>
      <c r="W556" s="32"/>
      <c r="X556" s="9">
        <f t="shared" si="532"/>
        <v>6</v>
      </c>
      <c r="Y556" s="104">
        <f t="shared" si="533"/>
        <v>6</v>
      </c>
      <c r="Z556" s="56">
        <v>46102</v>
      </c>
    </row>
    <row r="557" spans="1:26" x14ac:dyDescent="0.15">
      <c r="A557" s="254" t="s">
        <v>150</v>
      </c>
      <c r="B557" s="255"/>
      <c r="C557" s="256"/>
      <c r="D557" s="257"/>
      <c r="E557" s="258">
        <v>-3</v>
      </c>
      <c r="F557" s="259">
        <f t="shared" si="525"/>
        <v>-3</v>
      </c>
      <c r="G557" s="255"/>
      <c r="H557" s="256"/>
      <c r="I557" s="257"/>
      <c r="J557" s="258"/>
      <c r="K557" s="259">
        <f t="shared" si="526"/>
        <v>0</v>
      </c>
      <c r="L557" s="260">
        <f t="shared" si="516"/>
        <v>-3</v>
      </c>
      <c r="M557" s="261">
        <v>46093</v>
      </c>
      <c r="N557" s="33"/>
      <c r="O557" s="16"/>
      <c r="P557" s="29"/>
      <c r="Q557" s="17"/>
      <c r="R557" s="32"/>
      <c r="S557" s="9">
        <f t="shared" ref="S557" si="534">SUM(O557:R557)</f>
        <v>0</v>
      </c>
      <c r="T557" s="16"/>
      <c r="U557" s="29"/>
      <c r="V557" s="17"/>
      <c r="W557" s="32"/>
      <c r="X557" s="9">
        <f t="shared" ref="X557" si="535">SUM(T557:W557)</f>
        <v>0</v>
      </c>
      <c r="Y557" s="104">
        <f t="shared" si="522"/>
        <v>0</v>
      </c>
      <c r="Z557" s="56"/>
    </row>
    <row r="558" spans="1:26" x14ac:dyDescent="0.15">
      <c r="A558" s="47" t="s">
        <v>1018</v>
      </c>
      <c r="B558" s="16"/>
      <c r="C558" s="29"/>
      <c r="D558" s="17">
        <v>-3</v>
      </c>
      <c r="E558" s="20"/>
      <c r="F558" s="45">
        <f t="shared" si="525"/>
        <v>-3</v>
      </c>
      <c r="G558" s="16"/>
      <c r="H558" s="29"/>
      <c r="I558" s="17"/>
      <c r="J558" s="20"/>
      <c r="K558" s="45">
        <f t="shared" si="526"/>
        <v>0</v>
      </c>
      <c r="L558" s="104">
        <f t="shared" si="516"/>
        <v>-3</v>
      </c>
      <c r="M558" s="58">
        <v>46090</v>
      </c>
      <c r="N558" s="137"/>
      <c r="O558" s="16"/>
      <c r="P558" s="29"/>
      <c r="Q558" s="17"/>
      <c r="R558" s="32"/>
      <c r="S558" s="9">
        <f t="shared" ref="S558" si="536">SUM(O558:R558)</f>
        <v>0</v>
      </c>
      <c r="T558" s="16"/>
      <c r="U558" s="29"/>
      <c r="V558" s="17"/>
      <c r="W558" s="32"/>
      <c r="X558" s="9">
        <f t="shared" ref="X558" si="537">SUM(T558:W558)</f>
        <v>0</v>
      </c>
      <c r="Y558" s="104">
        <f t="shared" ref="Y558" si="538">S558+X558</f>
        <v>0</v>
      </c>
    </row>
    <row r="559" spans="1:26" x14ac:dyDescent="0.15">
      <c r="A559" s="47" t="s">
        <v>1021</v>
      </c>
      <c r="B559" s="16">
        <v>-1</v>
      </c>
      <c r="C559" s="29">
        <v>-1</v>
      </c>
      <c r="D559" s="17"/>
      <c r="E559" s="20"/>
      <c r="F559" s="45">
        <f t="shared" si="525"/>
        <v>-2</v>
      </c>
      <c r="G559" s="16"/>
      <c r="H559" s="29"/>
      <c r="I559" s="17">
        <v>-1</v>
      </c>
      <c r="J559" s="20">
        <v>-1</v>
      </c>
      <c r="K559" s="45">
        <f t="shared" si="526"/>
        <v>-2</v>
      </c>
      <c r="L559" s="104">
        <f t="shared" si="516"/>
        <v>-4</v>
      </c>
      <c r="M559" s="58">
        <v>46092</v>
      </c>
      <c r="N559" s="137" t="s">
        <v>808</v>
      </c>
      <c r="O559" s="161"/>
      <c r="P559" s="162"/>
      <c r="Q559" s="163"/>
      <c r="R559" s="164"/>
      <c r="S559" s="165">
        <f>SUM(O559:R559)</f>
        <v>0</v>
      </c>
      <c r="T559" s="166"/>
      <c r="U559" s="167"/>
      <c r="V559" s="160"/>
      <c r="W559" s="168"/>
      <c r="X559" s="165">
        <f>SUM(T559:W559)</f>
        <v>0</v>
      </c>
      <c r="Y559" s="169">
        <f t="shared" si="522"/>
        <v>0</v>
      </c>
      <c r="Z559" s="157"/>
    </row>
    <row r="560" spans="1:26" x14ac:dyDescent="0.15">
      <c r="A560" s="47" t="s">
        <v>45</v>
      </c>
      <c r="B560" s="16"/>
      <c r="C560" s="29"/>
      <c r="D560" s="17">
        <v>1</v>
      </c>
      <c r="E560" s="20"/>
      <c r="F560" s="45">
        <f t="shared" si="525"/>
        <v>1</v>
      </c>
      <c r="G560" s="16"/>
      <c r="H560" s="29">
        <v>1</v>
      </c>
      <c r="I560" s="17"/>
      <c r="J560" s="20"/>
      <c r="K560" s="45">
        <f t="shared" si="526"/>
        <v>1</v>
      </c>
      <c r="L560" s="104">
        <f t="shared" si="516"/>
        <v>2</v>
      </c>
      <c r="M560" s="58">
        <v>46093</v>
      </c>
      <c r="N560" s="11" t="s">
        <v>807</v>
      </c>
      <c r="O560" s="206"/>
      <c r="P560" s="207"/>
      <c r="Q560" s="208"/>
      <c r="R560" s="209"/>
      <c r="S560" s="9">
        <f t="shared" ref="S560" si="539">SUM(O560:R560)</f>
        <v>0</v>
      </c>
      <c r="T560" s="16"/>
      <c r="U560" s="29"/>
      <c r="V560" s="17"/>
      <c r="W560" s="32"/>
      <c r="X560" s="9">
        <f t="shared" ref="X560" si="540">SUM(T560:W560)</f>
        <v>0</v>
      </c>
      <c r="Y560" s="104">
        <f t="shared" si="522"/>
        <v>0</v>
      </c>
      <c r="Z560" s="56">
        <v>45718</v>
      </c>
    </row>
    <row r="561" spans="1:26" x14ac:dyDescent="0.15">
      <c r="A561" s="47" t="s">
        <v>1027</v>
      </c>
      <c r="B561" s="16">
        <v>1</v>
      </c>
      <c r="C561" s="29"/>
      <c r="D561" s="17"/>
      <c r="E561" s="20"/>
      <c r="F561" s="45">
        <f t="shared" ref="F561" si="541">SUM(B561:E561)</f>
        <v>1</v>
      </c>
      <c r="G561" s="16"/>
      <c r="H561" s="29"/>
      <c r="I561" s="17"/>
      <c r="J561" s="20"/>
      <c r="K561" s="45">
        <f t="shared" ref="K561" si="542">SUM(G561:J561)</f>
        <v>0</v>
      </c>
      <c r="L561" s="104">
        <f t="shared" ref="L561" si="543">F561+K561</f>
        <v>1</v>
      </c>
      <c r="M561" s="56">
        <v>46099</v>
      </c>
      <c r="N561" s="137" t="s">
        <v>887</v>
      </c>
      <c r="O561" s="171"/>
      <c r="P561" s="172"/>
      <c r="Q561" s="173"/>
      <c r="R561" s="174"/>
      <c r="S561" s="175">
        <f>SUM(O561:R561)</f>
        <v>0</v>
      </c>
      <c r="T561" s="171"/>
      <c r="U561" s="172"/>
      <c r="V561" s="173"/>
      <c r="W561" s="174"/>
      <c r="X561" s="175">
        <f t="shared" ref="X561:X562" si="544">SUM(T561:W561)</f>
        <v>0</v>
      </c>
      <c r="Y561" s="205">
        <f t="shared" ref="Y561:Y562" si="545">S561+X561</f>
        <v>0</v>
      </c>
      <c r="Z561" s="157"/>
    </row>
    <row r="562" spans="1:26" x14ac:dyDescent="0.15">
      <c r="A562" s="47" t="s">
        <v>1035</v>
      </c>
      <c r="B562" s="16">
        <v>1</v>
      </c>
      <c r="C562" s="29"/>
      <c r="D562" s="17">
        <v>1</v>
      </c>
      <c r="E562" s="20"/>
      <c r="F562" s="45">
        <f t="shared" si="525"/>
        <v>2</v>
      </c>
      <c r="G562" s="16"/>
      <c r="H562" s="29">
        <v>2</v>
      </c>
      <c r="I562" s="17"/>
      <c r="J562" s="20">
        <v>1</v>
      </c>
      <c r="K562" s="45">
        <f t="shared" si="526"/>
        <v>3</v>
      </c>
      <c r="L562" s="104">
        <f t="shared" si="516"/>
        <v>5</v>
      </c>
      <c r="M562" s="56">
        <v>46100</v>
      </c>
      <c r="N562" s="11" t="s">
        <v>751</v>
      </c>
      <c r="O562" s="16"/>
      <c r="P562" s="29"/>
      <c r="Q562" s="17"/>
      <c r="R562" s="32"/>
      <c r="S562" s="61">
        <f>SUM(O562:R562)</f>
        <v>0</v>
      </c>
      <c r="T562" s="16"/>
      <c r="U562" s="29"/>
      <c r="V562" s="17"/>
      <c r="W562" s="32"/>
      <c r="X562" s="9">
        <f t="shared" si="544"/>
        <v>0</v>
      </c>
      <c r="Y562" s="104">
        <f t="shared" si="545"/>
        <v>0</v>
      </c>
      <c r="Z562" s="157" t="s">
        <v>815</v>
      </c>
    </row>
    <row r="563" spans="1:26" x14ac:dyDescent="0.15">
      <c r="A563" s="47" t="s">
        <v>45</v>
      </c>
      <c r="B563" s="16"/>
      <c r="C563" s="29">
        <v>1</v>
      </c>
      <c r="D563" s="17"/>
      <c r="E563" s="20">
        <v>1</v>
      </c>
      <c r="F563" s="45">
        <f t="shared" si="525"/>
        <v>2</v>
      </c>
      <c r="G563" s="16"/>
      <c r="H563" s="29"/>
      <c r="I563" s="17">
        <v>1</v>
      </c>
      <c r="J563" s="20"/>
      <c r="K563" s="45">
        <f t="shared" si="526"/>
        <v>1</v>
      </c>
      <c r="L563" s="104">
        <f t="shared" si="516"/>
        <v>3</v>
      </c>
      <c r="M563" s="56">
        <v>46098</v>
      </c>
      <c r="N563" s="137" t="s">
        <v>816</v>
      </c>
      <c r="O563" s="161"/>
      <c r="P563" s="162"/>
      <c r="Q563" s="163"/>
      <c r="R563" s="164"/>
      <c r="S563" s="165">
        <f>SUM(O563:R563)</f>
        <v>0</v>
      </c>
      <c r="T563" s="166"/>
      <c r="U563" s="167"/>
      <c r="V563" s="160"/>
      <c r="W563" s="168"/>
      <c r="X563" s="165">
        <f>SUM(T563:W563)</f>
        <v>0</v>
      </c>
      <c r="Y563" s="169">
        <f t="shared" ref="Y563:Y564" si="546">S563+X563</f>
        <v>0</v>
      </c>
      <c r="Z563" s="224"/>
    </row>
    <row r="564" spans="1:26" x14ac:dyDescent="0.15">
      <c r="A564" s="47" t="s">
        <v>1037</v>
      </c>
      <c r="B564" s="16"/>
      <c r="C564" s="29"/>
      <c r="D564" s="17"/>
      <c r="E564" s="20"/>
      <c r="F564" s="45">
        <f t="shared" si="525"/>
        <v>0</v>
      </c>
      <c r="G564" s="16"/>
      <c r="H564" s="29">
        <v>-3</v>
      </c>
      <c r="I564" s="17"/>
      <c r="J564" s="20"/>
      <c r="K564" s="45">
        <f t="shared" si="526"/>
        <v>-3</v>
      </c>
      <c r="L564" s="104">
        <f t="shared" si="516"/>
        <v>-3</v>
      </c>
      <c r="M564" s="56">
        <v>46099</v>
      </c>
      <c r="N564" s="33" t="s">
        <v>817</v>
      </c>
      <c r="O564" s="206"/>
      <c r="P564" s="207"/>
      <c r="Q564" s="208"/>
      <c r="R564" s="209"/>
      <c r="S564" s="9">
        <f t="shared" ref="S564" si="547">SUM(O564:R564)</f>
        <v>0</v>
      </c>
      <c r="T564" s="16"/>
      <c r="U564" s="29"/>
      <c r="V564" s="17"/>
      <c r="W564" s="32"/>
      <c r="X564" s="9">
        <f t="shared" ref="X564" si="548">SUM(T564:W564)</f>
        <v>0</v>
      </c>
      <c r="Y564" s="104">
        <f t="shared" si="546"/>
        <v>0</v>
      </c>
      <c r="Z564" s="56" t="s">
        <v>815</v>
      </c>
    </row>
    <row r="565" spans="1:26" x14ac:dyDescent="0.15">
      <c r="A565" s="47" t="s">
        <v>1038</v>
      </c>
      <c r="B565" s="16"/>
      <c r="C565" s="29"/>
      <c r="D565" s="17"/>
      <c r="E565" s="20"/>
      <c r="F565" s="45">
        <f t="shared" si="525"/>
        <v>0</v>
      </c>
      <c r="G565" s="16"/>
      <c r="H565" s="29">
        <v>1</v>
      </c>
      <c r="I565" s="17">
        <v>1</v>
      </c>
      <c r="J565" s="20"/>
      <c r="K565" s="45">
        <f t="shared" si="526"/>
        <v>2</v>
      </c>
      <c r="L565" s="104">
        <f t="shared" si="516"/>
        <v>2</v>
      </c>
      <c r="M565" s="56">
        <v>46100</v>
      </c>
      <c r="N565" s="72" t="s">
        <v>172</v>
      </c>
      <c r="O565" s="166"/>
      <c r="P565" s="167"/>
      <c r="Q565" s="160"/>
      <c r="R565" s="168"/>
      <c r="S565" s="165">
        <f t="shared" ref="S565:S566" si="549">SUM(O565:R565)</f>
        <v>0</v>
      </c>
      <c r="T565" s="166"/>
      <c r="U565" s="167"/>
      <c r="V565" s="160"/>
      <c r="W565" s="168"/>
      <c r="X565" s="165">
        <f t="shared" ref="X565:X566" si="550">SUM(T565:W565)</f>
        <v>0</v>
      </c>
      <c r="Y565" s="169">
        <f t="shared" ref="Y565:Y566" si="551">S565+X565</f>
        <v>0</v>
      </c>
      <c r="Z565" s="157"/>
    </row>
    <row r="566" spans="1:26" ht="14.25" thickBot="1" x14ac:dyDescent="0.2">
      <c r="A566" s="47" t="s">
        <v>1044</v>
      </c>
      <c r="B566" s="37"/>
      <c r="C566" s="38"/>
      <c r="D566" s="39"/>
      <c r="E566" s="40"/>
      <c r="F566" s="45">
        <f t="shared" si="525"/>
        <v>0</v>
      </c>
      <c r="G566" s="37"/>
      <c r="H566" s="38"/>
      <c r="I566" s="39">
        <v>1</v>
      </c>
      <c r="J566" s="40"/>
      <c r="K566" s="45">
        <f t="shared" si="526"/>
        <v>1</v>
      </c>
      <c r="L566" s="104">
        <f t="shared" si="516"/>
        <v>1</v>
      </c>
      <c r="M566" s="56">
        <v>46104</v>
      </c>
      <c r="N566" s="128" t="s">
        <v>108</v>
      </c>
      <c r="O566" s="37"/>
      <c r="P566" s="38"/>
      <c r="Q566" s="39"/>
      <c r="R566" s="129"/>
      <c r="S566" s="10">
        <f t="shared" si="549"/>
        <v>0</v>
      </c>
      <c r="T566" s="37"/>
      <c r="U566" s="38"/>
      <c r="V566" s="39"/>
      <c r="W566" s="129"/>
      <c r="X566" s="10">
        <f t="shared" si="550"/>
        <v>0</v>
      </c>
      <c r="Y566" s="101">
        <f t="shared" si="551"/>
        <v>0</v>
      </c>
      <c r="Z566" s="157" t="s">
        <v>852</v>
      </c>
    </row>
    <row r="567" spans="1:26" ht="14.25" thickBot="1" x14ac:dyDescent="0.2">
      <c r="A567" s="13" t="s">
        <v>8</v>
      </c>
      <c r="B567" s="22">
        <f>SUM(B542:B566)</f>
        <v>3</v>
      </c>
      <c r="C567" s="30">
        <f>SUM(C542:C566)</f>
        <v>2</v>
      </c>
      <c r="D567" s="23">
        <f>SUM(D542:D566)</f>
        <v>1</v>
      </c>
      <c r="E567" s="24">
        <f>SUM(E542:E566)</f>
        <v>1</v>
      </c>
      <c r="F567" s="21">
        <f t="shared" si="525"/>
        <v>7</v>
      </c>
      <c r="G567" s="22">
        <f>SUM(G542:G566)</f>
        <v>1</v>
      </c>
      <c r="H567" s="30">
        <f>SUM(H542:H566)</f>
        <v>3</v>
      </c>
      <c r="I567" s="23">
        <f>SUM(I542:I566)</f>
        <v>1</v>
      </c>
      <c r="J567" s="24">
        <f>SUM(J542:J566)</f>
        <v>0</v>
      </c>
      <c r="K567" s="21">
        <f>SUM(G567:J567)</f>
        <v>5</v>
      </c>
      <c r="L567" s="105">
        <f t="shared" si="516"/>
        <v>12</v>
      </c>
      <c r="N567" s="49" t="s">
        <v>8</v>
      </c>
      <c r="O567" s="22">
        <f>SUM(O542:O566)</f>
        <v>13</v>
      </c>
      <c r="P567" s="30">
        <f>SUM(P542:P566)</f>
        <v>29</v>
      </c>
      <c r="Q567" s="23">
        <f>SUM(Q542:Q566)</f>
        <v>31</v>
      </c>
      <c r="R567" s="24">
        <f>SUM(R542:R566)</f>
        <v>34</v>
      </c>
      <c r="S567" s="48">
        <f t="shared" ref="S567" si="552">SUM(O567:R567)</f>
        <v>107</v>
      </c>
      <c r="T567" s="22">
        <f>SUM(T542:T566)</f>
        <v>24</v>
      </c>
      <c r="U567" s="30">
        <f>SUM(U542:U566)</f>
        <v>44</v>
      </c>
      <c r="V567" s="23">
        <f>SUM(V542:V566)</f>
        <v>49</v>
      </c>
      <c r="W567" s="24">
        <f>SUM(W542:W566)</f>
        <v>50</v>
      </c>
      <c r="X567" s="48">
        <f t="shared" ref="X567" si="553">SUM(T567:W567)</f>
        <v>167</v>
      </c>
      <c r="Y567" s="122">
        <f t="shared" si="522"/>
        <v>274</v>
      </c>
    </row>
    <row r="568" spans="1:26" ht="14.25" thickBot="1" x14ac:dyDescent="0.2">
      <c r="A568" s="14" t="s">
        <v>9</v>
      </c>
      <c r="B568" s="25">
        <f t="shared" ref="B568:K568" si="554">B541-B567</f>
        <v>4</v>
      </c>
      <c r="C568" s="31">
        <f t="shared" si="554"/>
        <v>17</v>
      </c>
      <c r="D568" s="26">
        <f t="shared" si="554"/>
        <v>11</v>
      </c>
      <c r="E568" s="27">
        <f t="shared" si="554"/>
        <v>4</v>
      </c>
      <c r="F568" s="83">
        <f t="shared" si="554"/>
        <v>36</v>
      </c>
      <c r="G568" s="25">
        <f t="shared" si="554"/>
        <v>5</v>
      </c>
      <c r="H568" s="31">
        <f t="shared" si="554"/>
        <v>3</v>
      </c>
      <c r="I568" s="26">
        <f t="shared" si="554"/>
        <v>3</v>
      </c>
      <c r="J568" s="27">
        <f t="shared" si="554"/>
        <v>4</v>
      </c>
      <c r="K568" s="83">
        <f t="shared" si="554"/>
        <v>15</v>
      </c>
      <c r="L568" s="102">
        <f t="shared" si="516"/>
        <v>51</v>
      </c>
      <c r="N568" s="13" t="s">
        <v>9</v>
      </c>
      <c r="O568" s="25">
        <f t="shared" ref="O568:X568" si="555">O541-O567</f>
        <v>95</v>
      </c>
      <c r="P568" s="31">
        <f t="shared" si="555"/>
        <v>86</v>
      </c>
      <c r="Q568" s="26">
        <f t="shared" si="555"/>
        <v>85</v>
      </c>
      <c r="R568" s="27">
        <f t="shared" si="555"/>
        <v>96</v>
      </c>
      <c r="S568" s="36">
        <f t="shared" si="555"/>
        <v>362</v>
      </c>
      <c r="T568" s="25">
        <f t="shared" si="555"/>
        <v>106</v>
      </c>
      <c r="U568" s="31">
        <f t="shared" si="555"/>
        <v>176</v>
      </c>
      <c r="V568" s="26">
        <f t="shared" si="555"/>
        <v>215</v>
      </c>
      <c r="W568" s="27">
        <f t="shared" si="555"/>
        <v>214</v>
      </c>
      <c r="X568" s="36">
        <f t="shared" si="555"/>
        <v>711</v>
      </c>
      <c r="Y568" s="102">
        <f t="shared" si="522"/>
        <v>1073</v>
      </c>
      <c r="Z568" s="116" t="s">
        <v>1017</v>
      </c>
    </row>
    <row r="569" spans="1:26" x14ac:dyDescent="0.15">
      <c r="N569" s="189" t="s">
        <v>313</v>
      </c>
      <c r="O569" s="71">
        <f>O568/$S$568*100</f>
        <v>26.243093922651934</v>
      </c>
      <c r="P569" s="71">
        <f t="shared" ref="P569:S569" si="556">P568/$S$568*100</f>
        <v>23.756906077348066</v>
      </c>
      <c r="Q569" s="71">
        <f t="shared" si="556"/>
        <v>23.480662983425415</v>
      </c>
      <c r="R569" s="71">
        <f t="shared" si="556"/>
        <v>26.519337016574585</v>
      </c>
      <c r="S569" s="71">
        <f t="shared" si="556"/>
        <v>100</v>
      </c>
      <c r="T569" s="71">
        <f>T568/$X$568*100</f>
        <v>14.908579465541491</v>
      </c>
      <c r="U569" s="71">
        <f t="shared" ref="U569:X569" si="557">U568/$X$568*100</f>
        <v>24.753867791842477</v>
      </c>
      <c r="V569" s="71">
        <f t="shared" si="557"/>
        <v>30.239099859353026</v>
      </c>
      <c r="W569" s="71">
        <f t="shared" si="557"/>
        <v>30.098452883263011</v>
      </c>
      <c r="X569" s="71">
        <f t="shared" si="557"/>
        <v>100</v>
      </c>
    </row>
    <row r="570" spans="1:26" x14ac:dyDescent="0.15">
      <c r="N570" s="241" t="s">
        <v>597</v>
      </c>
      <c r="O570" s="149">
        <v>21</v>
      </c>
      <c r="P570" s="116">
        <v>29.1</v>
      </c>
      <c r="Q570" s="116">
        <v>25.3</v>
      </c>
      <c r="R570" s="149">
        <v>24.6</v>
      </c>
      <c r="S570" s="149">
        <f>SUM(O570:R570)</f>
        <v>100</v>
      </c>
      <c r="T570" s="116">
        <v>17.3</v>
      </c>
      <c r="U570" s="116">
        <v>28.5</v>
      </c>
      <c r="V570" s="116">
        <v>28.3</v>
      </c>
      <c r="W570" s="116">
        <v>25.9</v>
      </c>
      <c r="X570" s="149">
        <f>SUM(T570:W570)</f>
        <v>100</v>
      </c>
    </row>
    <row r="571" spans="1:26" ht="19.5" thickBot="1" x14ac:dyDescent="0.25">
      <c r="A571" s="2" t="s">
        <v>16</v>
      </c>
      <c r="B571" s="2"/>
      <c r="C571" s="1"/>
      <c r="D571" s="1"/>
      <c r="E571" s="1"/>
      <c r="F571" s="84"/>
      <c r="G571" s="2"/>
      <c r="H571" s="1" t="s">
        <v>156</v>
      </c>
      <c r="I571" s="1"/>
      <c r="J571" s="1"/>
      <c r="K571" s="84" t="s">
        <v>13</v>
      </c>
      <c r="L571" s="84"/>
      <c r="N571" s="2" t="s">
        <v>17</v>
      </c>
      <c r="O571" s="71"/>
      <c r="P571" s="71"/>
      <c r="Q571" s="71"/>
      <c r="R571" s="71"/>
      <c r="T571" s="71"/>
      <c r="U571" s="1" t="s">
        <v>156</v>
      </c>
      <c r="V571" s="71"/>
      <c r="W571" s="71"/>
      <c r="X571" s="84" t="s">
        <v>13</v>
      </c>
      <c r="Y571" s="84"/>
    </row>
    <row r="572" spans="1:26" ht="14.25" thickBot="1" x14ac:dyDescent="0.2">
      <c r="A572" s="5" t="s">
        <v>0</v>
      </c>
      <c r="B572" s="328" t="s">
        <v>120</v>
      </c>
      <c r="C572" s="329"/>
      <c r="D572" s="329"/>
      <c r="E572" s="329"/>
      <c r="F572" s="330"/>
      <c r="G572" s="331" t="s">
        <v>14</v>
      </c>
      <c r="H572" s="332"/>
      <c r="I572" s="332"/>
      <c r="J572" s="332"/>
      <c r="K572" s="333"/>
      <c r="L572" s="320" t="s">
        <v>30</v>
      </c>
      <c r="N572" s="5" t="s">
        <v>0</v>
      </c>
      <c r="O572" s="328" t="s">
        <v>202</v>
      </c>
      <c r="P572" s="329"/>
      <c r="Q572" s="329"/>
      <c r="R572" s="329"/>
      <c r="S572" s="330"/>
      <c r="T572" s="331" t="s">
        <v>203</v>
      </c>
      <c r="U572" s="332"/>
      <c r="V572" s="332"/>
      <c r="W572" s="332"/>
      <c r="X572" s="333"/>
      <c r="Y572" s="320" t="s">
        <v>30</v>
      </c>
    </row>
    <row r="573" spans="1:26" ht="14.25" thickBot="1" x14ac:dyDescent="0.2">
      <c r="A573" s="5" t="s">
        <v>1</v>
      </c>
      <c r="B573" s="3" t="s">
        <v>22</v>
      </c>
      <c r="C573" s="28" t="s">
        <v>23</v>
      </c>
      <c r="D573" s="4" t="s">
        <v>24</v>
      </c>
      <c r="E573" s="15" t="s">
        <v>25</v>
      </c>
      <c r="F573" s="19" t="s">
        <v>2</v>
      </c>
      <c r="G573" s="3" t="s">
        <v>22</v>
      </c>
      <c r="H573" s="28" t="s">
        <v>23</v>
      </c>
      <c r="I573" s="4" t="s">
        <v>24</v>
      </c>
      <c r="J573" s="15" t="s">
        <v>25</v>
      </c>
      <c r="K573" s="19" t="s">
        <v>2</v>
      </c>
      <c r="L573" s="321"/>
      <c r="N573" s="5" t="s">
        <v>1</v>
      </c>
      <c r="O573" s="3" t="s">
        <v>22</v>
      </c>
      <c r="P573" s="28" t="s">
        <v>23</v>
      </c>
      <c r="Q573" s="4" t="s">
        <v>24</v>
      </c>
      <c r="R573" s="15" t="s">
        <v>25</v>
      </c>
      <c r="S573" s="19" t="s">
        <v>2</v>
      </c>
      <c r="T573" s="3" t="s">
        <v>22</v>
      </c>
      <c r="U573" s="28" t="s">
        <v>23</v>
      </c>
      <c r="V573" s="4" t="s">
        <v>24</v>
      </c>
      <c r="W573" s="15" t="s">
        <v>25</v>
      </c>
      <c r="X573" s="19" t="s">
        <v>2</v>
      </c>
      <c r="Y573" s="321"/>
    </row>
    <row r="574" spans="1:26" x14ac:dyDescent="0.15">
      <c r="A574" s="78" t="s">
        <v>10</v>
      </c>
      <c r="B574" s="79">
        <f>B568</f>
        <v>4</v>
      </c>
      <c r="C574" s="80">
        <f>C568</f>
        <v>17</v>
      </c>
      <c r="D574" s="80">
        <f>D568</f>
        <v>11</v>
      </c>
      <c r="E574" s="81">
        <f>E568</f>
        <v>4</v>
      </c>
      <c r="F574" s="82">
        <f>SUM(B574:E574)</f>
        <v>36</v>
      </c>
      <c r="G574" s="79">
        <f>G568</f>
        <v>5</v>
      </c>
      <c r="H574" s="80">
        <f>H568</f>
        <v>3</v>
      </c>
      <c r="I574" s="80">
        <f>I568</f>
        <v>3</v>
      </c>
      <c r="J574" s="81">
        <f>J568</f>
        <v>4</v>
      </c>
      <c r="K574" s="82">
        <f>SUM(G574:J574)</f>
        <v>15</v>
      </c>
      <c r="L574" s="98">
        <f>F574+K574</f>
        <v>51</v>
      </c>
      <c r="N574" s="78" t="s">
        <v>10</v>
      </c>
      <c r="O574" s="79">
        <f>O568</f>
        <v>95</v>
      </c>
      <c r="P574" s="80">
        <f>P568</f>
        <v>86</v>
      </c>
      <c r="Q574" s="80">
        <f>Q568</f>
        <v>85</v>
      </c>
      <c r="R574" s="81">
        <f>R568</f>
        <v>96</v>
      </c>
      <c r="S574" s="82">
        <f>SUM(O574:R574)</f>
        <v>362</v>
      </c>
      <c r="T574" s="79">
        <f>T568</f>
        <v>106</v>
      </c>
      <c r="U574" s="80">
        <f>U568</f>
        <v>176</v>
      </c>
      <c r="V574" s="80">
        <f>V568</f>
        <v>215</v>
      </c>
      <c r="W574" s="81">
        <f>W568</f>
        <v>214</v>
      </c>
      <c r="X574" s="82">
        <f>SUM(T574:W574)</f>
        <v>711</v>
      </c>
      <c r="Y574" s="98">
        <f>S574+X574</f>
        <v>1073</v>
      </c>
    </row>
    <row r="575" spans="1:26" x14ac:dyDescent="0.15">
      <c r="A575" s="12" t="s">
        <v>3</v>
      </c>
      <c r="B575" s="6"/>
      <c r="C575" s="18"/>
      <c r="D575" s="7"/>
      <c r="E575" s="8"/>
      <c r="F575" s="9">
        <f>SUM(B575:E575)</f>
        <v>0</v>
      </c>
      <c r="G575" s="6"/>
      <c r="H575" s="18">
        <v>3</v>
      </c>
      <c r="I575" s="7">
        <v>3</v>
      </c>
      <c r="J575" s="8"/>
      <c r="K575" s="9">
        <f>SUM(G575:J575)</f>
        <v>6</v>
      </c>
      <c r="L575" s="100">
        <f t="shared" ref="L575" si="558">F575+K575</f>
        <v>6</v>
      </c>
      <c r="M575" s="56">
        <v>46102</v>
      </c>
      <c r="N575" s="12" t="s">
        <v>465</v>
      </c>
      <c r="O575" s="16">
        <v>30</v>
      </c>
      <c r="P575" s="29">
        <v>50</v>
      </c>
      <c r="Q575" s="17">
        <v>50</v>
      </c>
      <c r="R575" s="20">
        <v>30</v>
      </c>
      <c r="S575" s="45">
        <f t="shared" ref="S575" si="559">SUM(O575:R575)</f>
        <v>160</v>
      </c>
      <c r="T575" s="16">
        <v>0</v>
      </c>
      <c r="U575" s="29">
        <v>0</v>
      </c>
      <c r="V575" s="17">
        <v>0</v>
      </c>
      <c r="W575" s="20">
        <v>0</v>
      </c>
      <c r="X575" s="45">
        <f t="shared" ref="X575" si="560">SUM(T575:W575)</f>
        <v>0</v>
      </c>
      <c r="Y575" s="100">
        <f t="shared" ref="Y575" si="561">S575+X575</f>
        <v>160</v>
      </c>
      <c r="Z575" s="56" t="s">
        <v>1106</v>
      </c>
    </row>
    <row r="576" spans="1:26" x14ac:dyDescent="0.15">
      <c r="A576" s="12" t="s">
        <v>787</v>
      </c>
      <c r="B576" s="6"/>
      <c r="C576" s="18"/>
      <c r="D576" s="7"/>
      <c r="E576" s="8">
        <v>1</v>
      </c>
      <c r="F576" s="9">
        <f>SUM(B576:E576)</f>
        <v>1</v>
      </c>
      <c r="G576" s="6">
        <v>1</v>
      </c>
      <c r="H576" s="18"/>
      <c r="I576" s="7"/>
      <c r="J576" s="8"/>
      <c r="K576" s="9">
        <f>SUM(G576:J576)</f>
        <v>1</v>
      </c>
      <c r="L576" s="100">
        <f t="shared" ref="L576:L606" si="562">F576+K576</f>
        <v>2</v>
      </c>
      <c r="M576" s="58">
        <v>46104</v>
      </c>
      <c r="N576" s="12" t="s">
        <v>840</v>
      </c>
      <c r="O576" s="16">
        <v>80</v>
      </c>
      <c r="P576" s="29">
        <v>120</v>
      </c>
      <c r="Q576" s="17">
        <v>80</v>
      </c>
      <c r="R576" s="20">
        <v>90</v>
      </c>
      <c r="S576" s="45">
        <f t="shared" ref="S576:S577" si="563">SUM(O576:R576)</f>
        <v>370</v>
      </c>
      <c r="T576" s="16">
        <v>0</v>
      </c>
      <c r="U576" s="29">
        <v>0</v>
      </c>
      <c r="V576" s="17">
        <v>0</v>
      </c>
      <c r="W576" s="20">
        <v>0</v>
      </c>
      <c r="X576" s="45">
        <f t="shared" ref="X576:X577" si="564">SUM(T576:W576)</f>
        <v>0</v>
      </c>
      <c r="Y576" s="100">
        <f t="shared" ref="Y576:Y606" si="565">S576+X576</f>
        <v>370</v>
      </c>
      <c r="Z576" s="56" t="s">
        <v>1106</v>
      </c>
    </row>
    <row r="577" spans="1:26" x14ac:dyDescent="0.15">
      <c r="A577" s="12" t="s">
        <v>5</v>
      </c>
      <c r="B577" s="6">
        <v>5</v>
      </c>
      <c r="C577" s="18"/>
      <c r="D577" s="7"/>
      <c r="E577" s="8"/>
      <c r="F577" s="9">
        <f>SUM(B577:E577)</f>
        <v>5</v>
      </c>
      <c r="G577" s="6"/>
      <c r="H577" s="18"/>
      <c r="I577" s="7"/>
      <c r="J577" s="8"/>
      <c r="K577" s="9">
        <f>SUM(G577:J577)</f>
        <v>0</v>
      </c>
      <c r="L577" s="100">
        <f t="shared" si="562"/>
        <v>5</v>
      </c>
      <c r="M577" s="56">
        <v>46107</v>
      </c>
      <c r="N577" s="12" t="s">
        <v>1068</v>
      </c>
      <c r="O577" s="16"/>
      <c r="P577" s="29">
        <v>6</v>
      </c>
      <c r="Q577" s="17">
        <v>4</v>
      </c>
      <c r="R577" s="20">
        <v>3</v>
      </c>
      <c r="S577" s="45">
        <f t="shared" si="563"/>
        <v>13</v>
      </c>
      <c r="T577" s="16"/>
      <c r="U577" s="29"/>
      <c r="V577" s="17"/>
      <c r="W577" s="20"/>
      <c r="X577" s="45">
        <f t="shared" si="564"/>
        <v>0</v>
      </c>
      <c r="Y577" s="100">
        <f t="shared" si="565"/>
        <v>13</v>
      </c>
      <c r="Z577" s="157" t="s">
        <v>846</v>
      </c>
    </row>
    <row r="578" spans="1:26" ht="14.25" thickBot="1" x14ac:dyDescent="0.2">
      <c r="A578" s="12" t="s">
        <v>66</v>
      </c>
      <c r="B578" s="6"/>
      <c r="C578" s="18"/>
      <c r="D578" s="7"/>
      <c r="E578" s="8">
        <v>1</v>
      </c>
      <c r="F578" s="10">
        <f>SUM(B578:E578)</f>
        <v>1</v>
      </c>
      <c r="G578" s="6"/>
      <c r="H578" s="18"/>
      <c r="I578" s="7"/>
      <c r="J578" s="8"/>
      <c r="K578" s="10">
        <f>SUM(G578:J578)</f>
        <v>0</v>
      </c>
      <c r="L578" s="101">
        <f t="shared" si="562"/>
        <v>1</v>
      </c>
      <c r="M578" s="58">
        <v>46105</v>
      </c>
      <c r="N578" s="12" t="s">
        <v>392</v>
      </c>
      <c r="O578" s="16">
        <v>2</v>
      </c>
      <c r="P578" s="29">
        <v>2</v>
      </c>
      <c r="Q578" s="17">
        <v>2</v>
      </c>
      <c r="R578" s="20">
        <v>2</v>
      </c>
      <c r="S578" s="45">
        <f t="shared" ref="S578" si="566">SUM(O578:R578)</f>
        <v>8</v>
      </c>
      <c r="T578" s="16">
        <v>2</v>
      </c>
      <c r="U578" s="29">
        <v>2</v>
      </c>
      <c r="V578" s="17">
        <v>3</v>
      </c>
      <c r="W578" s="20"/>
      <c r="X578" s="45">
        <f t="shared" ref="X578" si="567">SUM(T578:W578)</f>
        <v>7</v>
      </c>
      <c r="Y578" s="100">
        <f t="shared" ref="Y578" si="568">S578+X578</f>
        <v>15</v>
      </c>
      <c r="Z578" s="58">
        <v>46130</v>
      </c>
    </row>
    <row r="579" spans="1:26" ht="14.25" thickBot="1" x14ac:dyDescent="0.2">
      <c r="A579" s="14" t="s">
        <v>7</v>
      </c>
      <c r="B579" s="62">
        <f t="shared" ref="B579:K579" si="569">SUM(B574:B578)</f>
        <v>9</v>
      </c>
      <c r="C579" s="63">
        <f t="shared" si="569"/>
        <v>17</v>
      </c>
      <c r="D579" s="64">
        <f t="shared" si="569"/>
        <v>11</v>
      </c>
      <c r="E579" s="65">
        <f t="shared" si="569"/>
        <v>6</v>
      </c>
      <c r="F579" s="66">
        <f t="shared" si="569"/>
        <v>43</v>
      </c>
      <c r="G579" s="62">
        <f t="shared" si="569"/>
        <v>6</v>
      </c>
      <c r="H579" s="63">
        <f t="shared" si="569"/>
        <v>6</v>
      </c>
      <c r="I579" s="64">
        <f t="shared" si="569"/>
        <v>6</v>
      </c>
      <c r="J579" s="65">
        <f t="shared" si="569"/>
        <v>4</v>
      </c>
      <c r="K579" s="66">
        <f t="shared" si="569"/>
        <v>22</v>
      </c>
      <c r="L579" s="102">
        <f t="shared" si="562"/>
        <v>65</v>
      </c>
      <c r="N579" s="13" t="s">
        <v>7</v>
      </c>
      <c r="O579" s="25">
        <f t="shared" ref="O579:X579" si="570">SUM(O574:O578)</f>
        <v>207</v>
      </c>
      <c r="P579" s="31">
        <f t="shared" si="570"/>
        <v>264</v>
      </c>
      <c r="Q579" s="26">
        <f t="shared" si="570"/>
        <v>221</v>
      </c>
      <c r="R579" s="67">
        <f t="shared" si="570"/>
        <v>221</v>
      </c>
      <c r="S579" s="68">
        <f t="shared" si="570"/>
        <v>913</v>
      </c>
      <c r="T579" s="25">
        <f t="shared" si="570"/>
        <v>108</v>
      </c>
      <c r="U579" s="31">
        <f t="shared" si="570"/>
        <v>178</v>
      </c>
      <c r="V579" s="26">
        <f t="shared" si="570"/>
        <v>218</v>
      </c>
      <c r="W579" s="67">
        <f t="shared" si="570"/>
        <v>214</v>
      </c>
      <c r="X579" s="68">
        <f t="shared" si="570"/>
        <v>718</v>
      </c>
      <c r="Y579" s="102">
        <f t="shared" si="565"/>
        <v>1631</v>
      </c>
    </row>
    <row r="580" spans="1:26" x14ac:dyDescent="0.15">
      <c r="A580" s="47" t="s">
        <v>1048</v>
      </c>
      <c r="B580" s="41"/>
      <c r="C580" s="42"/>
      <c r="D580" s="43"/>
      <c r="E580" s="44"/>
      <c r="F580" s="70">
        <f t="shared" ref="F580:F605" si="571">SUM(B580:E580)</f>
        <v>0</v>
      </c>
      <c r="G580" s="41"/>
      <c r="H580" s="42">
        <v>1</v>
      </c>
      <c r="I580" s="43"/>
      <c r="J580" s="44"/>
      <c r="K580" s="70">
        <f t="shared" ref="K580:K604" si="572">SUM(G580:J580)</f>
        <v>1</v>
      </c>
      <c r="L580" s="103">
        <f t="shared" si="562"/>
        <v>1</v>
      </c>
      <c r="M580" s="56">
        <v>46106</v>
      </c>
      <c r="N580" s="158" t="s">
        <v>918</v>
      </c>
      <c r="O580" s="16"/>
      <c r="P580" s="29"/>
      <c r="Q580" s="17"/>
      <c r="R580" s="32"/>
      <c r="S580" s="9">
        <f>SUM(O580:R580)</f>
        <v>0</v>
      </c>
      <c r="T580" s="16">
        <v>10</v>
      </c>
      <c r="U580" s="29"/>
      <c r="V580" s="17">
        <v>10</v>
      </c>
      <c r="W580" s="32"/>
      <c r="X580" s="9">
        <f>SUM(T580:W580)</f>
        <v>20</v>
      </c>
      <c r="Y580" s="104">
        <f t="shared" si="565"/>
        <v>20</v>
      </c>
      <c r="Z580" s="56">
        <v>46115</v>
      </c>
    </row>
    <row r="581" spans="1:26" x14ac:dyDescent="0.15">
      <c r="A581" s="47" t="s">
        <v>1052</v>
      </c>
      <c r="B581" s="16">
        <v>1</v>
      </c>
      <c r="C581" s="29"/>
      <c r="D581" s="17"/>
      <c r="E581" s="20"/>
      <c r="F581" s="45">
        <f t="shared" si="571"/>
        <v>1</v>
      </c>
      <c r="G581" s="16"/>
      <c r="H581" s="29"/>
      <c r="I581" s="17"/>
      <c r="J581" s="20"/>
      <c r="K581" s="45">
        <f t="shared" si="572"/>
        <v>0</v>
      </c>
      <c r="L581" s="104">
        <f t="shared" si="562"/>
        <v>1</v>
      </c>
      <c r="M581" s="56">
        <v>46107</v>
      </c>
      <c r="N581" s="33" t="s">
        <v>1051</v>
      </c>
      <c r="O581" s="16">
        <v>4</v>
      </c>
      <c r="P581" s="29"/>
      <c r="Q581" s="17">
        <v>2</v>
      </c>
      <c r="R581" s="32"/>
      <c r="S581" s="9">
        <f t="shared" ref="S581:S585" si="573">SUM(O581:R581)</f>
        <v>6</v>
      </c>
      <c r="T581" s="16"/>
      <c r="U581" s="29">
        <v>4</v>
      </c>
      <c r="V581" s="17">
        <v>1</v>
      </c>
      <c r="W581" s="32"/>
      <c r="X581" s="9">
        <f t="shared" ref="X581:X585" si="574">SUM(T581:W581)</f>
        <v>5</v>
      </c>
      <c r="Y581" s="104">
        <f t="shared" si="565"/>
        <v>11</v>
      </c>
      <c r="Z581" s="56">
        <v>46111</v>
      </c>
    </row>
    <row r="582" spans="1:26" x14ac:dyDescent="0.15">
      <c r="A582" s="47" t="s">
        <v>1053</v>
      </c>
      <c r="B582" s="16">
        <v>2</v>
      </c>
      <c r="C582" s="29"/>
      <c r="D582" s="17"/>
      <c r="E582" s="20">
        <v>-2</v>
      </c>
      <c r="F582" s="45">
        <f t="shared" si="571"/>
        <v>0</v>
      </c>
      <c r="G582" s="16"/>
      <c r="H582" s="29"/>
      <c r="I582" s="17"/>
      <c r="J582" s="20"/>
      <c r="K582" s="45">
        <f t="shared" si="572"/>
        <v>0</v>
      </c>
      <c r="L582" s="104">
        <f t="shared" si="562"/>
        <v>0</v>
      </c>
      <c r="M582" s="56">
        <v>46104</v>
      </c>
      <c r="N582" s="11" t="s">
        <v>1039</v>
      </c>
      <c r="O582" s="16">
        <v>3</v>
      </c>
      <c r="P582" s="29">
        <v>3</v>
      </c>
      <c r="Q582" s="17">
        <v>3</v>
      </c>
      <c r="R582" s="32">
        <v>3</v>
      </c>
      <c r="S582" s="9">
        <f t="shared" si="573"/>
        <v>12</v>
      </c>
      <c r="T582" s="206"/>
      <c r="U582" s="207"/>
      <c r="V582" s="208"/>
      <c r="W582" s="209"/>
      <c r="X582" s="9">
        <f t="shared" si="574"/>
        <v>0</v>
      </c>
      <c r="Y582" s="104">
        <f t="shared" si="565"/>
        <v>12</v>
      </c>
      <c r="Z582" s="56">
        <v>46107</v>
      </c>
    </row>
    <row r="583" spans="1:26" x14ac:dyDescent="0.15">
      <c r="A583" s="47" t="s">
        <v>1058</v>
      </c>
      <c r="B583" s="16"/>
      <c r="C583" s="29"/>
      <c r="D583" s="17"/>
      <c r="E583" s="20">
        <v>1</v>
      </c>
      <c r="F583" s="45">
        <f t="shared" si="571"/>
        <v>1</v>
      </c>
      <c r="G583" s="16"/>
      <c r="H583" s="29"/>
      <c r="I583" s="17"/>
      <c r="J583" s="20"/>
      <c r="K583" s="45">
        <f t="shared" si="572"/>
        <v>0</v>
      </c>
      <c r="L583" s="104">
        <f t="shared" si="562"/>
        <v>1</v>
      </c>
      <c r="M583" s="56">
        <v>46108</v>
      </c>
      <c r="N583" s="33" t="s">
        <v>1054</v>
      </c>
      <c r="O583" s="16">
        <v>5</v>
      </c>
      <c r="P583" s="29"/>
      <c r="Q583" s="17"/>
      <c r="R583" s="32"/>
      <c r="S583" s="9">
        <f t="shared" si="573"/>
        <v>5</v>
      </c>
      <c r="T583" s="16"/>
      <c r="U583" s="29"/>
      <c r="V583" s="17"/>
      <c r="W583" s="32"/>
      <c r="X583" s="9">
        <f t="shared" si="574"/>
        <v>0</v>
      </c>
      <c r="Y583" s="104">
        <f t="shared" si="565"/>
        <v>5</v>
      </c>
      <c r="Z583" s="56">
        <v>46107</v>
      </c>
    </row>
    <row r="584" spans="1:26" x14ac:dyDescent="0.15">
      <c r="A584" s="47" t="s">
        <v>45</v>
      </c>
      <c r="B584" s="16"/>
      <c r="C584" s="29"/>
      <c r="D584" s="17"/>
      <c r="E584" s="20"/>
      <c r="F584" s="45">
        <f t="shared" si="571"/>
        <v>0</v>
      </c>
      <c r="G584" s="16"/>
      <c r="H584" s="29">
        <v>1</v>
      </c>
      <c r="I584" s="17"/>
      <c r="J584" s="20"/>
      <c r="K584" s="45">
        <f t="shared" si="572"/>
        <v>1</v>
      </c>
      <c r="L584" s="104">
        <f t="shared" si="562"/>
        <v>1</v>
      </c>
      <c r="M584" s="58">
        <v>46107</v>
      </c>
      <c r="N584" s="268" t="s">
        <v>822</v>
      </c>
      <c r="O584" s="255"/>
      <c r="P584" s="256"/>
      <c r="Q584" s="257"/>
      <c r="R584" s="269"/>
      <c r="S584" s="270">
        <f t="shared" si="573"/>
        <v>0</v>
      </c>
      <c r="T584" s="255"/>
      <c r="U584" s="256">
        <v>5</v>
      </c>
      <c r="V584" s="257"/>
      <c r="W584" s="269"/>
      <c r="X584" s="270">
        <f t="shared" si="574"/>
        <v>5</v>
      </c>
      <c r="Y584" s="260">
        <f t="shared" si="565"/>
        <v>5</v>
      </c>
      <c r="Z584" s="261">
        <v>46112</v>
      </c>
    </row>
    <row r="585" spans="1:26" x14ac:dyDescent="0.15">
      <c r="A585" s="47" t="s">
        <v>45</v>
      </c>
      <c r="B585" s="16"/>
      <c r="C585" s="29"/>
      <c r="D585" s="17"/>
      <c r="E585" s="20"/>
      <c r="F585" s="45">
        <f t="shared" si="571"/>
        <v>0</v>
      </c>
      <c r="G585" s="16"/>
      <c r="H585" s="29">
        <v>1</v>
      </c>
      <c r="I585" s="17"/>
      <c r="J585" s="20"/>
      <c r="K585" s="45">
        <f t="shared" si="572"/>
        <v>1</v>
      </c>
      <c r="L585" s="104">
        <f t="shared" si="562"/>
        <v>1</v>
      </c>
      <c r="M585" s="58">
        <v>46108</v>
      </c>
      <c r="N585" s="11" t="s">
        <v>1077</v>
      </c>
      <c r="O585" s="16"/>
      <c r="P585" s="29"/>
      <c r="Q585" s="17">
        <v>5</v>
      </c>
      <c r="R585" s="32"/>
      <c r="S585" s="9">
        <f t="shared" si="573"/>
        <v>5</v>
      </c>
      <c r="T585" s="16"/>
      <c r="U585" s="29"/>
      <c r="V585" s="17">
        <v>35</v>
      </c>
      <c r="W585" s="32">
        <v>25</v>
      </c>
      <c r="X585" s="9">
        <f t="shared" si="574"/>
        <v>60</v>
      </c>
      <c r="Y585" s="104">
        <f t="shared" si="565"/>
        <v>65</v>
      </c>
      <c r="Z585" s="56">
        <v>46134</v>
      </c>
    </row>
    <row r="586" spans="1:26" x14ac:dyDescent="0.15">
      <c r="A586" s="47" t="s">
        <v>1063</v>
      </c>
      <c r="B586" s="16"/>
      <c r="C586" s="29"/>
      <c r="D586" s="17"/>
      <c r="E586" s="20"/>
      <c r="F586" s="45">
        <f t="shared" si="571"/>
        <v>0</v>
      </c>
      <c r="G586" s="16"/>
      <c r="H586" s="29">
        <v>1</v>
      </c>
      <c r="I586" s="17"/>
      <c r="J586" s="20"/>
      <c r="K586" s="45">
        <f t="shared" si="572"/>
        <v>1</v>
      </c>
      <c r="L586" s="104">
        <f t="shared" si="562"/>
        <v>1</v>
      </c>
      <c r="M586" s="56">
        <v>46113</v>
      </c>
      <c r="N586" s="11" t="s">
        <v>1082</v>
      </c>
      <c r="O586" s="16"/>
      <c r="P586" s="29"/>
      <c r="Q586" s="17"/>
      <c r="R586" s="32"/>
      <c r="S586" s="9">
        <f>SUM(O586:R586)</f>
        <v>0</v>
      </c>
      <c r="T586" s="16">
        <v>1</v>
      </c>
      <c r="U586" s="29"/>
      <c r="V586" s="17"/>
      <c r="W586" s="32"/>
      <c r="X586" s="9">
        <f>SUM(T586:W586)</f>
        <v>1</v>
      </c>
      <c r="Y586" s="104">
        <f t="shared" si="565"/>
        <v>1</v>
      </c>
      <c r="Z586" s="56">
        <v>46120</v>
      </c>
    </row>
    <row r="587" spans="1:26" x14ac:dyDescent="0.15">
      <c r="A587" s="47" t="s">
        <v>45</v>
      </c>
      <c r="B587" s="16"/>
      <c r="C587" s="29"/>
      <c r="D587" s="17"/>
      <c r="E587" s="20">
        <v>1</v>
      </c>
      <c r="F587" s="45">
        <f t="shared" si="571"/>
        <v>1</v>
      </c>
      <c r="G587" s="16"/>
      <c r="H587" s="29">
        <v>2</v>
      </c>
      <c r="I587" s="17"/>
      <c r="J587" s="20"/>
      <c r="K587" s="45">
        <f t="shared" si="572"/>
        <v>2</v>
      </c>
      <c r="L587" s="104">
        <f t="shared" si="562"/>
        <v>3</v>
      </c>
      <c r="M587" s="56">
        <v>46111</v>
      </c>
      <c r="N587" s="11" t="s">
        <v>1049</v>
      </c>
      <c r="O587" s="16"/>
      <c r="P587" s="29"/>
      <c r="Q587" s="17"/>
      <c r="R587" s="32"/>
      <c r="S587" s="9">
        <f t="shared" ref="S587:S591" si="575">SUM(O587:R587)</f>
        <v>0</v>
      </c>
      <c r="T587" s="16">
        <v>25</v>
      </c>
      <c r="U587" s="29">
        <v>50</v>
      </c>
      <c r="V587" s="17">
        <v>40</v>
      </c>
      <c r="W587" s="32">
        <v>40</v>
      </c>
      <c r="X587" s="9">
        <f t="shared" ref="X587:X591" si="576">SUM(T587:W587)</f>
        <v>155</v>
      </c>
      <c r="Y587" s="104">
        <f t="shared" si="565"/>
        <v>155</v>
      </c>
      <c r="Z587" s="56">
        <v>46136</v>
      </c>
    </row>
    <row r="588" spans="1:26" x14ac:dyDescent="0.15">
      <c r="A588" s="47" t="s">
        <v>150</v>
      </c>
      <c r="B588" s="16"/>
      <c r="C588" s="29"/>
      <c r="D588" s="17"/>
      <c r="E588" s="20"/>
      <c r="F588" s="45">
        <f t="shared" si="571"/>
        <v>0</v>
      </c>
      <c r="G588" s="16"/>
      <c r="H588" s="29">
        <v>-5</v>
      </c>
      <c r="I588" s="17"/>
      <c r="J588" s="20"/>
      <c r="K588" s="45">
        <f t="shared" si="572"/>
        <v>-5</v>
      </c>
      <c r="L588" s="104">
        <f t="shared" si="562"/>
        <v>-5</v>
      </c>
      <c r="M588" s="56">
        <v>46112</v>
      </c>
      <c r="N588" s="268" t="s">
        <v>822</v>
      </c>
      <c r="O588" s="255"/>
      <c r="P588" s="256"/>
      <c r="Q588" s="257"/>
      <c r="R588" s="269"/>
      <c r="S588" s="270">
        <f t="shared" si="575"/>
        <v>0</v>
      </c>
      <c r="T588" s="255"/>
      <c r="U588" s="256"/>
      <c r="V588" s="257"/>
      <c r="W588" s="269">
        <v>3</v>
      </c>
      <c r="X588" s="270">
        <f t="shared" si="576"/>
        <v>3</v>
      </c>
      <c r="Y588" s="260">
        <f t="shared" si="565"/>
        <v>3</v>
      </c>
      <c r="Z588" s="261">
        <v>46119</v>
      </c>
    </row>
    <row r="589" spans="1:26" x14ac:dyDescent="0.15">
      <c r="A589" s="47" t="s">
        <v>1064</v>
      </c>
      <c r="B589" s="16"/>
      <c r="C589" s="29"/>
      <c r="D589" s="17"/>
      <c r="E589" s="20">
        <v>1</v>
      </c>
      <c r="F589" s="45">
        <f t="shared" si="571"/>
        <v>1</v>
      </c>
      <c r="G589" s="16"/>
      <c r="H589" s="29"/>
      <c r="I589" s="17"/>
      <c r="J589" s="20"/>
      <c r="K589" s="45">
        <f t="shared" si="572"/>
        <v>0</v>
      </c>
      <c r="L589" s="104">
        <f t="shared" si="562"/>
        <v>1</v>
      </c>
      <c r="M589" s="56">
        <v>46114</v>
      </c>
      <c r="N589" s="33" t="s">
        <v>1087</v>
      </c>
      <c r="O589" s="16"/>
      <c r="P589" s="29"/>
      <c r="Q589" s="17"/>
      <c r="R589" s="32"/>
      <c r="S589" s="9">
        <f t="shared" si="575"/>
        <v>0</v>
      </c>
      <c r="T589" s="16">
        <v>2</v>
      </c>
      <c r="U589" s="29"/>
      <c r="V589" s="17"/>
      <c r="W589" s="32"/>
      <c r="X589" s="9">
        <f t="shared" si="576"/>
        <v>2</v>
      </c>
      <c r="Y589" s="104">
        <f t="shared" si="565"/>
        <v>2</v>
      </c>
      <c r="Z589" s="56">
        <v>46121</v>
      </c>
    </row>
    <row r="590" spans="1:26" x14ac:dyDescent="0.15">
      <c r="A590" s="47" t="s">
        <v>1066</v>
      </c>
      <c r="B590" s="16"/>
      <c r="C590" s="29"/>
      <c r="D590" s="17"/>
      <c r="E590" s="20"/>
      <c r="F590" s="45">
        <f t="shared" si="571"/>
        <v>0</v>
      </c>
      <c r="G590" s="16"/>
      <c r="H590" s="29"/>
      <c r="I590" s="17"/>
      <c r="J590" s="20">
        <v>1</v>
      </c>
      <c r="K590" s="45">
        <f t="shared" si="572"/>
        <v>1</v>
      </c>
      <c r="L590" s="104">
        <f t="shared" si="562"/>
        <v>1</v>
      </c>
      <c r="M590" s="56">
        <v>46115</v>
      </c>
      <c r="N590" s="11" t="s">
        <v>1090</v>
      </c>
      <c r="O590" s="16">
        <v>2</v>
      </c>
      <c r="P590" s="29">
        <v>15</v>
      </c>
      <c r="Q590" s="17">
        <v>15</v>
      </c>
      <c r="R590" s="32">
        <v>10</v>
      </c>
      <c r="S590" s="9">
        <f t="shared" si="575"/>
        <v>42</v>
      </c>
      <c r="T590" s="16"/>
      <c r="U590" s="29"/>
      <c r="V590" s="17"/>
      <c r="W590" s="32"/>
      <c r="X590" s="9">
        <f t="shared" si="576"/>
        <v>0</v>
      </c>
      <c r="Y590" s="104">
        <f t="shared" si="565"/>
        <v>42</v>
      </c>
      <c r="Z590" s="56">
        <v>46123</v>
      </c>
    </row>
    <row r="591" spans="1:26" x14ac:dyDescent="0.15">
      <c r="A591" s="47" t="s">
        <v>45</v>
      </c>
      <c r="B591" s="16"/>
      <c r="C591" s="29">
        <v>1</v>
      </c>
      <c r="D591" s="17"/>
      <c r="E591" s="20"/>
      <c r="F591" s="45">
        <f t="shared" si="571"/>
        <v>1</v>
      </c>
      <c r="G591" s="16"/>
      <c r="H591" s="29"/>
      <c r="I591" s="17"/>
      <c r="J591" s="20"/>
      <c r="K591" s="45">
        <f t="shared" si="572"/>
        <v>0</v>
      </c>
      <c r="L591" s="104">
        <f t="shared" si="562"/>
        <v>1</v>
      </c>
      <c r="M591" s="58">
        <v>46113</v>
      </c>
      <c r="N591" s="11" t="s">
        <v>1095</v>
      </c>
      <c r="O591" s="16"/>
      <c r="P591" s="29"/>
      <c r="Q591" s="17"/>
      <c r="R591" s="32"/>
      <c r="S591" s="9">
        <f t="shared" si="575"/>
        <v>0</v>
      </c>
      <c r="T591" s="16"/>
      <c r="U591" s="29">
        <v>3</v>
      </c>
      <c r="V591" s="17"/>
      <c r="W591" s="32"/>
      <c r="X591" s="9">
        <f t="shared" si="576"/>
        <v>3</v>
      </c>
      <c r="Y591" s="104">
        <f t="shared" si="565"/>
        <v>3</v>
      </c>
      <c r="Z591" s="56">
        <v>46132</v>
      </c>
    </row>
    <row r="592" spans="1:26" x14ac:dyDescent="0.15">
      <c r="A592" s="47" t="s">
        <v>1067</v>
      </c>
      <c r="B592" s="16">
        <v>1</v>
      </c>
      <c r="C592" s="29"/>
      <c r="D592" s="17"/>
      <c r="E592" s="20">
        <v>1</v>
      </c>
      <c r="F592" s="45">
        <f t="shared" si="571"/>
        <v>2</v>
      </c>
      <c r="G592" s="16"/>
      <c r="H592" s="29"/>
      <c r="I592" s="17"/>
      <c r="J592" s="20"/>
      <c r="K592" s="45">
        <f t="shared" si="572"/>
        <v>0</v>
      </c>
      <c r="L592" s="104">
        <f t="shared" si="562"/>
        <v>2</v>
      </c>
      <c r="M592" s="56">
        <v>46115</v>
      </c>
      <c r="N592" s="11" t="s">
        <v>1098</v>
      </c>
      <c r="O592" s="16">
        <v>8</v>
      </c>
      <c r="P592" s="29">
        <v>9</v>
      </c>
      <c r="Q592" s="17">
        <v>11</v>
      </c>
      <c r="R592" s="32">
        <v>8</v>
      </c>
      <c r="S592" s="9">
        <f>SUM(O592:R592)</f>
        <v>36</v>
      </c>
      <c r="T592" s="16"/>
      <c r="U592" s="29"/>
      <c r="V592" s="17"/>
      <c r="W592" s="32"/>
      <c r="X592" s="9">
        <f>SUM(T592:W592)</f>
        <v>0</v>
      </c>
      <c r="Y592" s="104">
        <f t="shared" si="565"/>
        <v>36</v>
      </c>
      <c r="Z592" s="56">
        <v>46127</v>
      </c>
    </row>
    <row r="593" spans="1:26" x14ac:dyDescent="0.15">
      <c r="A593" s="47" t="s">
        <v>45</v>
      </c>
      <c r="B593" s="16"/>
      <c r="C593" s="29"/>
      <c r="D593" s="17"/>
      <c r="E593" s="20"/>
      <c r="F593" s="45">
        <f t="shared" si="571"/>
        <v>0</v>
      </c>
      <c r="G593" s="16"/>
      <c r="H593" s="29"/>
      <c r="I593" s="17">
        <v>1</v>
      </c>
      <c r="J593" s="20"/>
      <c r="K593" s="45">
        <f t="shared" si="572"/>
        <v>1</v>
      </c>
      <c r="L593" s="104">
        <f t="shared" si="562"/>
        <v>1</v>
      </c>
      <c r="M593" s="56">
        <v>46114</v>
      </c>
      <c r="N593" s="33" t="s">
        <v>1100</v>
      </c>
      <c r="O593" s="16">
        <v>3</v>
      </c>
      <c r="P593" s="29">
        <v>4</v>
      </c>
      <c r="Q593" s="17">
        <v>1</v>
      </c>
      <c r="R593" s="32"/>
      <c r="S593" s="9">
        <f>SUM(O593:R593)</f>
        <v>8</v>
      </c>
      <c r="T593" s="16">
        <v>2</v>
      </c>
      <c r="U593" s="29">
        <v>1</v>
      </c>
      <c r="V593" s="17">
        <v>2</v>
      </c>
      <c r="W593" s="32">
        <v>1</v>
      </c>
      <c r="X593" s="9">
        <f>SUM(T593:W593)</f>
        <v>6</v>
      </c>
      <c r="Y593" s="104">
        <f t="shared" si="565"/>
        <v>14</v>
      </c>
      <c r="Z593" s="56">
        <v>46132</v>
      </c>
    </row>
    <row r="594" spans="1:26" x14ac:dyDescent="0.15">
      <c r="A594" s="47" t="s">
        <v>1079</v>
      </c>
      <c r="B594" s="16"/>
      <c r="C594" s="29"/>
      <c r="D594" s="17">
        <v>1</v>
      </c>
      <c r="E594" s="20"/>
      <c r="F594" s="45">
        <f t="shared" si="571"/>
        <v>1</v>
      </c>
      <c r="G594" s="16">
        <v>1</v>
      </c>
      <c r="H594" s="29"/>
      <c r="I594" s="17"/>
      <c r="J594" s="20">
        <v>1</v>
      </c>
      <c r="K594" s="45">
        <f t="shared" si="572"/>
        <v>2</v>
      </c>
      <c r="L594" s="104">
        <f t="shared" si="562"/>
        <v>3</v>
      </c>
      <c r="M594" s="56">
        <v>46118</v>
      </c>
      <c r="N594" s="11" t="s">
        <v>1103</v>
      </c>
      <c r="O594" s="16">
        <v>2</v>
      </c>
      <c r="P594" s="29">
        <v>7</v>
      </c>
      <c r="Q594" s="17">
        <v>10</v>
      </c>
      <c r="R594" s="32">
        <v>10</v>
      </c>
      <c r="S594" s="9">
        <f t="shared" ref="S594:S605" si="577">SUM(O594:R594)</f>
        <v>29</v>
      </c>
      <c r="T594" s="16">
        <v>6</v>
      </c>
      <c r="U594" s="29">
        <v>9</v>
      </c>
      <c r="V594" s="17">
        <v>13</v>
      </c>
      <c r="W594" s="32">
        <v>10</v>
      </c>
      <c r="X594" s="9">
        <f t="shared" ref="X594:X605" si="578">SUM(T594:W594)</f>
        <v>38</v>
      </c>
      <c r="Y594" s="104">
        <f t="shared" si="565"/>
        <v>67</v>
      </c>
      <c r="Z594" s="56">
        <v>46136</v>
      </c>
    </row>
    <row r="595" spans="1:26" x14ac:dyDescent="0.15">
      <c r="A595" s="47" t="s">
        <v>1080</v>
      </c>
      <c r="B595" s="16"/>
      <c r="C595" s="29">
        <v>1</v>
      </c>
      <c r="D595" s="17">
        <v>1</v>
      </c>
      <c r="E595" s="20"/>
      <c r="F595" s="45">
        <f t="shared" si="571"/>
        <v>2</v>
      </c>
      <c r="G595" s="16"/>
      <c r="H595" s="29"/>
      <c r="I595" s="17"/>
      <c r="J595" s="20"/>
      <c r="K595" s="45">
        <f t="shared" si="572"/>
        <v>0</v>
      </c>
      <c r="L595" s="104">
        <f t="shared" si="562"/>
        <v>2</v>
      </c>
      <c r="M595" s="56">
        <v>46120</v>
      </c>
      <c r="N595" s="289"/>
      <c r="O595" s="255"/>
      <c r="P595" s="256"/>
      <c r="Q595" s="257"/>
      <c r="R595" s="269"/>
      <c r="S595" s="270">
        <f t="shared" ref="S595" si="579">SUM(O595:R595)</f>
        <v>0</v>
      </c>
      <c r="T595" s="255"/>
      <c r="U595" s="256"/>
      <c r="V595" s="257"/>
      <c r="W595" s="269"/>
      <c r="X595" s="270">
        <f t="shared" ref="X595" si="580">SUM(T595:W595)</f>
        <v>0</v>
      </c>
      <c r="Y595" s="260">
        <f t="shared" ref="Y595" si="581">S595+X595</f>
        <v>0</v>
      </c>
      <c r="Z595" s="261"/>
    </row>
    <row r="596" spans="1:26" x14ac:dyDescent="0.15">
      <c r="A596" s="47" t="s">
        <v>45</v>
      </c>
      <c r="B596" s="16"/>
      <c r="C596" s="29"/>
      <c r="D596" s="17">
        <v>3</v>
      </c>
      <c r="E596" s="20"/>
      <c r="F596" s="45">
        <f t="shared" si="571"/>
        <v>3</v>
      </c>
      <c r="G596" s="16"/>
      <c r="H596" s="29">
        <v>1</v>
      </c>
      <c r="I596" s="17"/>
      <c r="J596" s="20"/>
      <c r="K596" s="45">
        <f t="shared" si="572"/>
        <v>1</v>
      </c>
      <c r="L596" s="104">
        <f t="shared" si="562"/>
        <v>4</v>
      </c>
      <c r="M596" s="58">
        <v>46118</v>
      </c>
      <c r="N596" s="268" t="s">
        <v>965</v>
      </c>
      <c r="O596" s="255"/>
      <c r="P596" s="256"/>
      <c r="Q596" s="257"/>
      <c r="R596" s="269"/>
      <c r="S596" s="270">
        <f t="shared" ref="S596:S597" si="582">SUM(O596:R596)</f>
        <v>0</v>
      </c>
      <c r="T596" s="255"/>
      <c r="U596" s="256"/>
      <c r="V596" s="257"/>
      <c r="W596" s="269"/>
      <c r="X596" s="270">
        <f t="shared" ref="X596:X597" si="583">SUM(T596:W596)</f>
        <v>0</v>
      </c>
      <c r="Y596" s="260">
        <f t="shared" ref="Y596:Y597" si="584">S596+X596</f>
        <v>0</v>
      </c>
      <c r="Z596" s="306" t="s">
        <v>966</v>
      </c>
    </row>
    <row r="597" spans="1:26" x14ac:dyDescent="0.15">
      <c r="A597" s="254" t="s">
        <v>150</v>
      </c>
      <c r="B597" s="255"/>
      <c r="C597" s="256"/>
      <c r="D597" s="257"/>
      <c r="E597" s="258"/>
      <c r="F597" s="259">
        <f t="shared" si="571"/>
        <v>0</v>
      </c>
      <c r="G597" s="255"/>
      <c r="H597" s="256"/>
      <c r="I597" s="257"/>
      <c r="J597" s="258">
        <v>-3</v>
      </c>
      <c r="K597" s="259">
        <f t="shared" si="572"/>
        <v>-3</v>
      </c>
      <c r="L597" s="260">
        <f t="shared" si="562"/>
        <v>-3</v>
      </c>
      <c r="M597" s="261">
        <v>46119</v>
      </c>
      <c r="N597" s="33" t="s">
        <v>1011</v>
      </c>
      <c r="O597" s="16"/>
      <c r="P597" s="29"/>
      <c r="Q597" s="17"/>
      <c r="R597" s="32"/>
      <c r="S597" s="9">
        <f t="shared" si="582"/>
        <v>0</v>
      </c>
      <c r="T597" s="16"/>
      <c r="U597" s="29"/>
      <c r="V597" s="17"/>
      <c r="W597" s="32"/>
      <c r="X597" s="9">
        <f t="shared" si="583"/>
        <v>0</v>
      </c>
      <c r="Y597" s="104">
        <f t="shared" si="584"/>
        <v>0</v>
      </c>
      <c r="Z597" s="157" t="s">
        <v>1012</v>
      </c>
    </row>
    <row r="598" spans="1:26" x14ac:dyDescent="0.15">
      <c r="A598" s="47" t="s">
        <v>1092</v>
      </c>
      <c r="B598" s="16"/>
      <c r="C598" s="29"/>
      <c r="D598" s="17"/>
      <c r="E598" s="20"/>
      <c r="F598" s="45">
        <f t="shared" si="571"/>
        <v>0</v>
      </c>
      <c r="G598" s="16"/>
      <c r="H598" s="29">
        <v>-1</v>
      </c>
      <c r="I598" s="17"/>
      <c r="J598" s="20"/>
      <c r="K598" s="45">
        <f t="shared" si="572"/>
        <v>-1</v>
      </c>
      <c r="L598" s="104">
        <f t="shared" si="562"/>
        <v>-1</v>
      </c>
      <c r="M598" s="56">
        <v>46119</v>
      </c>
      <c r="N598" s="33" t="s">
        <v>1226</v>
      </c>
      <c r="O598" s="16"/>
      <c r="P598" s="29"/>
      <c r="Q598" s="17"/>
      <c r="R598" s="32"/>
      <c r="S598" s="9">
        <f t="shared" ref="S598:S604" si="585">SUM(O598:R598)</f>
        <v>0</v>
      </c>
      <c r="T598" s="16"/>
      <c r="U598" s="29"/>
      <c r="V598" s="17"/>
      <c r="W598" s="32"/>
      <c r="X598" s="9">
        <f t="shared" ref="X598:X604" si="586">SUM(T598:W598)</f>
        <v>0</v>
      </c>
      <c r="Y598" s="104">
        <f t="shared" ref="Y598:Y604" si="587">S598+X598</f>
        <v>0</v>
      </c>
      <c r="Z598" s="157" t="s">
        <v>1012</v>
      </c>
    </row>
    <row r="599" spans="1:26" x14ac:dyDescent="0.15">
      <c r="A599" s="47" t="s">
        <v>1097</v>
      </c>
      <c r="B599" s="16"/>
      <c r="C599" s="29"/>
      <c r="D599" s="17"/>
      <c r="E599" s="20"/>
      <c r="F599" s="45">
        <f t="shared" si="571"/>
        <v>0</v>
      </c>
      <c r="G599" s="16"/>
      <c r="H599" s="29">
        <v>1</v>
      </c>
      <c r="I599" s="17"/>
      <c r="J599" s="20"/>
      <c r="K599" s="45">
        <f t="shared" si="572"/>
        <v>1</v>
      </c>
      <c r="L599" s="104">
        <f t="shared" si="562"/>
        <v>1</v>
      </c>
      <c r="M599" s="56">
        <v>46127</v>
      </c>
      <c r="N599" s="72" t="s">
        <v>910</v>
      </c>
      <c r="O599" s="166"/>
      <c r="P599" s="167"/>
      <c r="Q599" s="160"/>
      <c r="R599" s="168"/>
      <c r="S599" s="165">
        <f t="shared" si="585"/>
        <v>0</v>
      </c>
      <c r="T599" s="161"/>
      <c r="U599" s="162"/>
      <c r="V599" s="163"/>
      <c r="W599" s="164"/>
      <c r="X599" s="165">
        <f t="shared" si="586"/>
        <v>0</v>
      </c>
      <c r="Y599" s="169">
        <f t="shared" si="587"/>
        <v>0</v>
      </c>
      <c r="Z599" s="157"/>
    </row>
    <row r="600" spans="1:26" x14ac:dyDescent="0.15">
      <c r="A600" s="47" t="s">
        <v>45</v>
      </c>
      <c r="B600" s="16"/>
      <c r="C600" s="29"/>
      <c r="D600" s="17"/>
      <c r="E600" s="20">
        <v>1</v>
      </c>
      <c r="F600" s="45">
        <f t="shared" si="571"/>
        <v>1</v>
      </c>
      <c r="G600" s="16"/>
      <c r="H600" s="29">
        <v>1</v>
      </c>
      <c r="I600" s="17"/>
      <c r="J600" s="20">
        <v>1</v>
      </c>
      <c r="K600" s="45">
        <f t="shared" si="572"/>
        <v>2</v>
      </c>
      <c r="L600" s="104">
        <f t="shared" si="562"/>
        <v>3</v>
      </c>
      <c r="M600" s="56">
        <v>46125</v>
      </c>
      <c r="N600" s="11" t="s">
        <v>909</v>
      </c>
      <c r="O600" s="16"/>
      <c r="P600" s="29"/>
      <c r="Q600" s="17"/>
      <c r="R600" s="32"/>
      <c r="S600" s="9">
        <f t="shared" si="585"/>
        <v>0</v>
      </c>
      <c r="T600" s="206"/>
      <c r="U600" s="207"/>
      <c r="V600" s="208"/>
      <c r="W600" s="209"/>
      <c r="X600" s="9">
        <f t="shared" si="586"/>
        <v>0</v>
      </c>
      <c r="Y600" s="104">
        <f t="shared" si="587"/>
        <v>0</v>
      </c>
      <c r="Z600" s="157" t="s">
        <v>908</v>
      </c>
    </row>
    <row r="601" spans="1:26" x14ac:dyDescent="0.15">
      <c r="A601" s="47" t="s">
        <v>1099</v>
      </c>
      <c r="B601" s="16"/>
      <c r="C601" s="29"/>
      <c r="D601" s="17">
        <v>2</v>
      </c>
      <c r="E601" s="20"/>
      <c r="F601" s="45">
        <f t="shared" si="571"/>
        <v>2</v>
      </c>
      <c r="G601" s="16"/>
      <c r="H601" s="29"/>
      <c r="I601" s="17"/>
      <c r="J601" s="20">
        <v>2</v>
      </c>
      <c r="K601" s="45">
        <f t="shared" si="572"/>
        <v>2</v>
      </c>
      <c r="L601" s="104">
        <f t="shared" si="562"/>
        <v>4</v>
      </c>
      <c r="M601" s="56">
        <v>46128</v>
      </c>
      <c r="N601" s="137" t="s">
        <v>884</v>
      </c>
      <c r="O601" s="201"/>
      <c r="P601" s="202"/>
      <c r="Q601" s="203"/>
      <c r="R601" s="204"/>
      <c r="S601" s="175">
        <f t="shared" si="585"/>
        <v>0</v>
      </c>
      <c r="T601" s="171"/>
      <c r="U601" s="172"/>
      <c r="V601" s="173"/>
      <c r="W601" s="174"/>
      <c r="X601" s="175">
        <f t="shared" si="586"/>
        <v>0</v>
      </c>
      <c r="Y601" s="169">
        <f t="shared" si="587"/>
        <v>0</v>
      </c>
      <c r="Z601" s="157"/>
    </row>
    <row r="602" spans="1:26" x14ac:dyDescent="0.15">
      <c r="A602" s="47" t="s">
        <v>1101</v>
      </c>
      <c r="B602" s="16"/>
      <c r="C602" s="29"/>
      <c r="D602" s="17"/>
      <c r="E602" s="20"/>
      <c r="F602" s="45">
        <f t="shared" si="571"/>
        <v>0</v>
      </c>
      <c r="G602" s="16"/>
      <c r="H602" s="29"/>
      <c r="I602" s="17">
        <v>1</v>
      </c>
      <c r="J602" s="20"/>
      <c r="K602" s="45">
        <f t="shared" si="572"/>
        <v>1</v>
      </c>
      <c r="L602" s="104">
        <f t="shared" si="562"/>
        <v>1</v>
      </c>
      <c r="M602" s="56">
        <v>46129</v>
      </c>
      <c r="N602" s="33" t="s">
        <v>883</v>
      </c>
      <c r="O602" s="206"/>
      <c r="P602" s="207"/>
      <c r="Q602" s="208"/>
      <c r="R602" s="209"/>
      <c r="S602" s="9">
        <f t="shared" si="585"/>
        <v>0</v>
      </c>
      <c r="T602" s="16"/>
      <c r="U602" s="29"/>
      <c r="V602" s="17"/>
      <c r="W602" s="32"/>
      <c r="X602" s="9">
        <f t="shared" si="586"/>
        <v>0</v>
      </c>
      <c r="Y602" s="104">
        <f t="shared" si="587"/>
        <v>0</v>
      </c>
      <c r="Z602" s="157" t="s">
        <v>885</v>
      </c>
    </row>
    <row r="603" spans="1:26" x14ac:dyDescent="0.15">
      <c r="A603" s="47" t="s">
        <v>1104</v>
      </c>
      <c r="B603" s="16">
        <v>1</v>
      </c>
      <c r="C603" s="29"/>
      <c r="D603" s="17"/>
      <c r="E603" s="20"/>
      <c r="F603" s="45">
        <f t="shared" si="571"/>
        <v>1</v>
      </c>
      <c r="G603" s="16"/>
      <c r="H603" s="29"/>
      <c r="I603" s="17"/>
      <c r="J603" s="20"/>
      <c r="K603" s="45">
        <f t="shared" si="572"/>
        <v>0</v>
      </c>
      <c r="L603" s="104">
        <f t="shared" si="562"/>
        <v>1</v>
      </c>
      <c r="M603" s="56">
        <v>46129</v>
      </c>
      <c r="N603" s="72" t="s">
        <v>837</v>
      </c>
      <c r="O603" s="171"/>
      <c r="P603" s="172"/>
      <c r="Q603" s="173"/>
      <c r="R603" s="174"/>
      <c r="S603" s="175">
        <f t="shared" si="585"/>
        <v>0</v>
      </c>
      <c r="T603" s="201"/>
      <c r="U603" s="202"/>
      <c r="V603" s="203"/>
      <c r="W603" s="204"/>
      <c r="X603" s="175">
        <f t="shared" si="586"/>
        <v>0</v>
      </c>
      <c r="Y603" s="169">
        <f t="shared" si="587"/>
        <v>0</v>
      </c>
      <c r="Z603" s="224"/>
    </row>
    <row r="604" spans="1:26" ht="14.25" thickBot="1" x14ac:dyDescent="0.2">
      <c r="A604" s="47" t="s">
        <v>45</v>
      </c>
      <c r="B604" s="37"/>
      <c r="C604" s="38"/>
      <c r="D604" s="39"/>
      <c r="E604" s="40"/>
      <c r="F604" s="45">
        <f t="shared" si="571"/>
        <v>0</v>
      </c>
      <c r="G604" s="37"/>
      <c r="H604" s="38"/>
      <c r="I604" s="39"/>
      <c r="J604" s="40">
        <v>1</v>
      </c>
      <c r="K604" s="45">
        <f t="shared" si="572"/>
        <v>1</v>
      </c>
      <c r="L604" s="104">
        <f t="shared" si="562"/>
        <v>1</v>
      </c>
      <c r="M604" s="58">
        <v>46128</v>
      </c>
      <c r="N604" s="128" t="s">
        <v>838</v>
      </c>
      <c r="O604" s="37"/>
      <c r="P604" s="38"/>
      <c r="Q604" s="39"/>
      <c r="R604" s="129"/>
      <c r="S604" s="10">
        <f t="shared" si="585"/>
        <v>0</v>
      </c>
      <c r="T604" s="123"/>
      <c r="U604" s="124"/>
      <c r="V604" s="125"/>
      <c r="W604" s="126"/>
      <c r="X604" s="10">
        <f t="shared" si="586"/>
        <v>0</v>
      </c>
      <c r="Y604" s="101">
        <f t="shared" si="587"/>
        <v>0</v>
      </c>
      <c r="Z604" s="157" t="s">
        <v>843</v>
      </c>
    </row>
    <row r="605" spans="1:26" ht="14.25" thickBot="1" x14ac:dyDescent="0.2">
      <c r="A605" s="13" t="s">
        <v>8</v>
      </c>
      <c r="B605" s="22">
        <f>SUM(B580:B604)</f>
        <v>5</v>
      </c>
      <c r="C605" s="30">
        <f>SUM(C580:C604)</f>
        <v>2</v>
      </c>
      <c r="D605" s="23">
        <f>SUM(D580:D604)</f>
        <v>7</v>
      </c>
      <c r="E605" s="24">
        <f>SUM(E580:E604)</f>
        <v>3</v>
      </c>
      <c r="F605" s="21">
        <f t="shared" si="571"/>
        <v>17</v>
      </c>
      <c r="G605" s="22">
        <f>SUM(G580:G604)</f>
        <v>1</v>
      </c>
      <c r="H605" s="30">
        <f>SUM(H580:H604)</f>
        <v>3</v>
      </c>
      <c r="I605" s="23">
        <f>SUM(I580:I604)</f>
        <v>2</v>
      </c>
      <c r="J605" s="24">
        <f>SUM(J580:J604)</f>
        <v>3</v>
      </c>
      <c r="K605" s="21">
        <f>SUM(G605:J605)</f>
        <v>9</v>
      </c>
      <c r="L605" s="105">
        <f t="shared" si="562"/>
        <v>26</v>
      </c>
      <c r="N605" s="49" t="s">
        <v>8</v>
      </c>
      <c r="O605" s="22">
        <f>SUM(O580:O604)</f>
        <v>27</v>
      </c>
      <c r="P605" s="30">
        <f>SUM(P580:P604)</f>
        <v>38</v>
      </c>
      <c r="Q605" s="23">
        <f>SUM(Q580:Q604)</f>
        <v>47</v>
      </c>
      <c r="R605" s="24">
        <f>SUM(R580:R604)</f>
        <v>31</v>
      </c>
      <c r="S605" s="48">
        <f t="shared" si="577"/>
        <v>143</v>
      </c>
      <c r="T605" s="22">
        <f>SUM(T580:T604)</f>
        <v>46</v>
      </c>
      <c r="U605" s="30">
        <f>SUM(U580:U604)</f>
        <v>72</v>
      </c>
      <c r="V605" s="23">
        <f>SUM(V580:V604)</f>
        <v>101</v>
      </c>
      <c r="W605" s="24">
        <f>SUM(W580:W604)</f>
        <v>79</v>
      </c>
      <c r="X605" s="48">
        <f t="shared" si="578"/>
        <v>298</v>
      </c>
      <c r="Y605" s="122">
        <f t="shared" si="565"/>
        <v>441</v>
      </c>
    </row>
    <row r="606" spans="1:26" ht="14.25" thickBot="1" x14ac:dyDescent="0.2">
      <c r="A606" s="14" t="s">
        <v>9</v>
      </c>
      <c r="B606" s="25">
        <f t="shared" ref="B606:K606" si="588">B579-B605</f>
        <v>4</v>
      </c>
      <c r="C606" s="31">
        <f t="shared" si="588"/>
        <v>15</v>
      </c>
      <c r="D606" s="26">
        <f t="shared" si="588"/>
        <v>4</v>
      </c>
      <c r="E606" s="27">
        <f t="shared" si="588"/>
        <v>3</v>
      </c>
      <c r="F606" s="83">
        <f t="shared" si="588"/>
        <v>26</v>
      </c>
      <c r="G606" s="25">
        <f t="shared" si="588"/>
        <v>5</v>
      </c>
      <c r="H606" s="31">
        <f t="shared" si="588"/>
        <v>3</v>
      </c>
      <c r="I606" s="26">
        <f t="shared" si="588"/>
        <v>4</v>
      </c>
      <c r="J606" s="27">
        <f t="shared" si="588"/>
        <v>1</v>
      </c>
      <c r="K606" s="83">
        <f t="shared" si="588"/>
        <v>13</v>
      </c>
      <c r="L606" s="102">
        <f t="shared" si="562"/>
        <v>39</v>
      </c>
      <c r="N606" s="13" t="s">
        <v>9</v>
      </c>
      <c r="O606" s="25">
        <f t="shared" ref="O606:X606" si="589">O579-O605</f>
        <v>180</v>
      </c>
      <c r="P606" s="31">
        <f t="shared" si="589"/>
        <v>226</v>
      </c>
      <c r="Q606" s="26">
        <f t="shared" si="589"/>
        <v>174</v>
      </c>
      <c r="R606" s="27">
        <f t="shared" si="589"/>
        <v>190</v>
      </c>
      <c r="S606" s="36">
        <f t="shared" si="589"/>
        <v>770</v>
      </c>
      <c r="T606" s="25">
        <f t="shared" si="589"/>
        <v>62</v>
      </c>
      <c r="U606" s="31">
        <f t="shared" si="589"/>
        <v>106</v>
      </c>
      <c r="V606" s="26">
        <f t="shared" si="589"/>
        <v>117</v>
      </c>
      <c r="W606" s="27">
        <f t="shared" si="589"/>
        <v>135</v>
      </c>
      <c r="X606" s="36">
        <f t="shared" si="589"/>
        <v>420</v>
      </c>
      <c r="Y606" s="102">
        <f t="shared" si="565"/>
        <v>1190</v>
      </c>
    </row>
    <row r="607" spans="1:26" x14ac:dyDescent="0.15">
      <c r="N607" s="189" t="s">
        <v>1089</v>
      </c>
      <c r="O607" s="308">
        <v>15</v>
      </c>
      <c r="P607" s="308">
        <v>10</v>
      </c>
      <c r="Q607" s="308">
        <v>25</v>
      </c>
      <c r="R607" s="308">
        <v>15</v>
      </c>
      <c r="S607" s="71"/>
      <c r="T607" s="71"/>
      <c r="U607" s="71"/>
      <c r="V607" s="71"/>
      <c r="W607" s="71"/>
      <c r="X607" s="71"/>
    </row>
    <row r="608" spans="1:26" x14ac:dyDescent="0.15">
      <c r="N608" s="241"/>
      <c r="O608" s="149"/>
      <c r="P608" s="116"/>
      <c r="Q608" s="116"/>
      <c r="R608" s="149"/>
      <c r="S608" s="149"/>
      <c r="T608" s="116"/>
      <c r="U608" s="116"/>
      <c r="V608" s="116"/>
      <c r="W608" s="116"/>
      <c r="X608" s="149"/>
    </row>
    <row r="609" spans="1:27" ht="19.5" thickBot="1" x14ac:dyDescent="0.25">
      <c r="A609" s="2" t="s">
        <v>16</v>
      </c>
      <c r="B609" s="2"/>
      <c r="C609" s="1"/>
      <c r="D609" s="1"/>
      <c r="E609" s="1"/>
      <c r="F609" s="84"/>
      <c r="G609" s="2"/>
      <c r="H609" s="1" t="s">
        <v>156</v>
      </c>
      <c r="I609" s="1"/>
      <c r="J609" s="1"/>
      <c r="K609" s="84" t="s">
        <v>13</v>
      </c>
      <c r="L609" s="84"/>
      <c r="N609" s="2" t="s">
        <v>17</v>
      </c>
      <c r="O609" s="71"/>
      <c r="P609" s="71"/>
      <c r="Q609" s="71"/>
      <c r="R609" s="71"/>
      <c r="T609" s="71"/>
      <c r="U609" s="1" t="s">
        <v>156</v>
      </c>
      <c r="V609" s="71"/>
      <c r="W609" s="71"/>
      <c r="X609" s="84" t="s">
        <v>13</v>
      </c>
      <c r="Y609" s="84"/>
    </row>
    <row r="610" spans="1:27" ht="14.25" thickBot="1" x14ac:dyDescent="0.2">
      <c r="A610" s="5" t="s">
        <v>0</v>
      </c>
      <c r="B610" s="328" t="s">
        <v>120</v>
      </c>
      <c r="C610" s="329"/>
      <c r="D610" s="329"/>
      <c r="E610" s="329"/>
      <c r="F610" s="330"/>
      <c r="G610" s="331" t="s">
        <v>14</v>
      </c>
      <c r="H610" s="332"/>
      <c r="I610" s="332"/>
      <c r="J610" s="332"/>
      <c r="K610" s="333"/>
      <c r="L610" s="320" t="s">
        <v>30</v>
      </c>
      <c r="N610" s="5" t="s">
        <v>0</v>
      </c>
      <c r="O610" s="328" t="s">
        <v>202</v>
      </c>
      <c r="P610" s="329"/>
      <c r="Q610" s="329"/>
      <c r="R610" s="329"/>
      <c r="S610" s="330"/>
      <c r="T610" s="331" t="s">
        <v>203</v>
      </c>
      <c r="U610" s="332"/>
      <c r="V610" s="332"/>
      <c r="W610" s="332"/>
      <c r="X610" s="333"/>
      <c r="Y610" s="320" t="s">
        <v>30</v>
      </c>
    </row>
    <row r="611" spans="1:27" ht="14.25" thickBot="1" x14ac:dyDescent="0.2">
      <c r="A611" s="5" t="s">
        <v>1</v>
      </c>
      <c r="B611" s="3" t="s">
        <v>22</v>
      </c>
      <c r="C611" s="28" t="s">
        <v>23</v>
      </c>
      <c r="D611" s="4" t="s">
        <v>24</v>
      </c>
      <c r="E611" s="15" t="s">
        <v>25</v>
      </c>
      <c r="F611" s="19" t="s">
        <v>2</v>
      </c>
      <c r="G611" s="3" t="s">
        <v>22</v>
      </c>
      <c r="H611" s="28" t="s">
        <v>23</v>
      </c>
      <c r="I611" s="4" t="s">
        <v>24</v>
      </c>
      <c r="J611" s="15" t="s">
        <v>25</v>
      </c>
      <c r="K611" s="19" t="s">
        <v>2</v>
      </c>
      <c r="L611" s="321"/>
      <c r="N611" s="5" t="s">
        <v>1</v>
      </c>
      <c r="O611" s="3" t="s">
        <v>22</v>
      </c>
      <c r="P611" s="28" t="s">
        <v>23</v>
      </c>
      <c r="Q611" s="4" t="s">
        <v>24</v>
      </c>
      <c r="R611" s="15" t="s">
        <v>25</v>
      </c>
      <c r="S611" s="19" t="s">
        <v>2</v>
      </c>
      <c r="T611" s="3" t="s">
        <v>22</v>
      </c>
      <c r="U611" s="28" t="s">
        <v>23</v>
      </c>
      <c r="V611" s="4" t="s">
        <v>24</v>
      </c>
      <c r="W611" s="15" t="s">
        <v>25</v>
      </c>
      <c r="X611" s="19" t="s">
        <v>2</v>
      </c>
      <c r="Y611" s="321"/>
    </row>
    <row r="612" spans="1:27" x14ac:dyDescent="0.15">
      <c r="A612" s="78" t="s">
        <v>10</v>
      </c>
      <c r="B612" s="79">
        <f>B606</f>
        <v>4</v>
      </c>
      <c r="C612" s="80">
        <f>C606</f>
        <v>15</v>
      </c>
      <c r="D612" s="80">
        <f>D606</f>
        <v>4</v>
      </c>
      <c r="E612" s="81">
        <f>E606</f>
        <v>3</v>
      </c>
      <c r="F612" s="82">
        <f>SUM(B612:E612)</f>
        <v>26</v>
      </c>
      <c r="G612" s="79">
        <f>G606</f>
        <v>5</v>
      </c>
      <c r="H612" s="80">
        <f>H606</f>
        <v>3</v>
      </c>
      <c r="I612" s="80">
        <f>I606</f>
        <v>4</v>
      </c>
      <c r="J612" s="81">
        <f>J606</f>
        <v>1</v>
      </c>
      <c r="K612" s="82">
        <f>SUM(G612:J612)</f>
        <v>13</v>
      </c>
      <c r="L612" s="98">
        <f>F612+K612</f>
        <v>39</v>
      </c>
      <c r="N612" s="78" t="s">
        <v>10</v>
      </c>
      <c r="O612" s="79">
        <f>O606</f>
        <v>180</v>
      </c>
      <c r="P612" s="80">
        <f>P606</f>
        <v>226</v>
      </c>
      <c r="Q612" s="80">
        <f>Q606</f>
        <v>174</v>
      </c>
      <c r="R612" s="81">
        <f>R606</f>
        <v>190</v>
      </c>
      <c r="S612" s="82">
        <f>SUM(O612:R612)</f>
        <v>770</v>
      </c>
      <c r="T612" s="79">
        <f>T606</f>
        <v>62</v>
      </c>
      <c r="U612" s="80">
        <f>U606</f>
        <v>106</v>
      </c>
      <c r="V612" s="80">
        <f>V606</f>
        <v>117</v>
      </c>
      <c r="W612" s="81">
        <f>W606</f>
        <v>135</v>
      </c>
      <c r="X612" s="82">
        <f>SUM(T612:W612)</f>
        <v>420</v>
      </c>
      <c r="Y612" s="98">
        <f>S612+X612</f>
        <v>1190</v>
      </c>
    </row>
    <row r="613" spans="1:27" x14ac:dyDescent="0.15">
      <c r="A613" s="254" t="s">
        <v>3</v>
      </c>
      <c r="B613" s="262"/>
      <c r="C613" s="263"/>
      <c r="D613" s="264"/>
      <c r="E613" s="265"/>
      <c r="F613" s="266">
        <f>SUM(B613:E613)</f>
        <v>0</v>
      </c>
      <c r="G613" s="262"/>
      <c r="H613" s="263"/>
      <c r="I613" s="264"/>
      <c r="J613" s="265">
        <v>3</v>
      </c>
      <c r="K613" s="266">
        <f>SUM(G613:J613)</f>
        <v>3</v>
      </c>
      <c r="L613" s="267">
        <f t="shared" ref="L613:L644" si="590">F613+K613</f>
        <v>3</v>
      </c>
      <c r="M613" s="261">
        <v>46128</v>
      </c>
      <c r="N613" s="12" t="s">
        <v>842</v>
      </c>
      <c r="O613" s="16">
        <v>0</v>
      </c>
      <c r="P613" s="29">
        <v>0</v>
      </c>
      <c r="Q613" s="17">
        <v>0</v>
      </c>
      <c r="R613" s="20">
        <v>0</v>
      </c>
      <c r="S613" s="45">
        <f t="shared" ref="S613" si="591">SUM(O613:R613)</f>
        <v>0</v>
      </c>
      <c r="T613" s="16">
        <v>40</v>
      </c>
      <c r="U613" s="29">
        <v>50</v>
      </c>
      <c r="V613" s="17">
        <v>0</v>
      </c>
      <c r="W613" s="20">
        <v>0</v>
      </c>
      <c r="X613" s="45">
        <f t="shared" ref="X613" si="592">SUM(T613:W613)</f>
        <v>90</v>
      </c>
      <c r="Y613" s="100">
        <f t="shared" ref="Y613" si="593">S613+X613</f>
        <v>90</v>
      </c>
      <c r="Z613" s="56" t="s">
        <v>1139</v>
      </c>
    </row>
    <row r="614" spans="1:27" x14ac:dyDescent="0.15">
      <c r="A614" s="12" t="s">
        <v>360</v>
      </c>
      <c r="B614" s="6">
        <v>2</v>
      </c>
      <c r="C614" s="18">
        <v>2</v>
      </c>
      <c r="D614" s="7">
        <v>2</v>
      </c>
      <c r="E614" s="8">
        <v>2</v>
      </c>
      <c r="F614" s="9">
        <f>SUM(B614:E614)</f>
        <v>8</v>
      </c>
      <c r="G614" s="6">
        <v>2</v>
      </c>
      <c r="H614" s="18">
        <v>2</v>
      </c>
      <c r="I614" s="7">
        <v>3</v>
      </c>
      <c r="J614" s="8">
        <v>2</v>
      </c>
      <c r="K614" s="9">
        <f>SUM(G614:J614)</f>
        <v>9</v>
      </c>
      <c r="L614" s="100">
        <f t="shared" si="590"/>
        <v>17</v>
      </c>
      <c r="M614" s="58">
        <v>46129</v>
      </c>
      <c r="N614" s="12" t="s">
        <v>1069</v>
      </c>
      <c r="O614" s="16"/>
      <c r="P614" s="29"/>
      <c r="Q614" s="17"/>
      <c r="R614" s="20"/>
      <c r="S614" s="45">
        <f>SUM(O614:R614)</f>
        <v>0</v>
      </c>
      <c r="T614" s="16">
        <v>3</v>
      </c>
      <c r="U614" s="29">
        <v>2</v>
      </c>
      <c r="V614" s="17"/>
      <c r="W614" s="20"/>
      <c r="X614" s="45">
        <f>SUM(T614:W614)</f>
        <v>5</v>
      </c>
      <c r="Y614" s="100">
        <f t="shared" ref="Y614:Y644" si="594">S614+X614</f>
        <v>5</v>
      </c>
      <c r="Z614" s="56" t="s">
        <v>1139</v>
      </c>
    </row>
    <row r="615" spans="1:27" x14ac:dyDescent="0.15">
      <c r="A615" s="283" t="s">
        <v>5</v>
      </c>
      <c r="B615" s="284"/>
      <c r="C615" s="285"/>
      <c r="D615" s="286"/>
      <c r="E615" s="287">
        <v>3</v>
      </c>
      <c r="F615" s="270">
        <f>SUM(B615:E615)</f>
        <v>3</v>
      </c>
      <c r="G615" s="284"/>
      <c r="H615" s="285"/>
      <c r="I615" s="286"/>
      <c r="J615" s="287"/>
      <c r="K615" s="270">
        <f>SUM(G615:J615)</f>
        <v>0</v>
      </c>
      <c r="L615" s="288">
        <f t="shared" si="590"/>
        <v>3</v>
      </c>
      <c r="M615" s="261">
        <v>46133</v>
      </c>
      <c r="N615" s="12" t="s">
        <v>392</v>
      </c>
      <c r="O615" s="16"/>
      <c r="P615" s="29"/>
      <c r="Q615" s="17"/>
      <c r="R615" s="20"/>
      <c r="S615" s="45">
        <f>SUM(O615:R615)</f>
        <v>0</v>
      </c>
      <c r="T615" s="16">
        <v>5</v>
      </c>
      <c r="U615" s="29"/>
      <c r="V615" s="17">
        <v>4</v>
      </c>
      <c r="W615" s="20">
        <v>7</v>
      </c>
      <c r="X615" s="45">
        <f>SUM(T615:W615)</f>
        <v>16</v>
      </c>
      <c r="Y615" s="100">
        <f t="shared" si="594"/>
        <v>16</v>
      </c>
      <c r="Z615" s="56">
        <v>46158</v>
      </c>
    </row>
    <row r="616" spans="1:27" ht="14.25" thickBot="1" x14ac:dyDescent="0.2">
      <c r="A616" s="12" t="s">
        <v>699</v>
      </c>
      <c r="B616" s="6">
        <v>2</v>
      </c>
      <c r="C616" s="18">
        <v>1</v>
      </c>
      <c r="D616" s="7"/>
      <c r="E616" s="8">
        <v>1</v>
      </c>
      <c r="F616" s="10">
        <f>SUM(B616:E616)</f>
        <v>4</v>
      </c>
      <c r="G616" s="6"/>
      <c r="H616" s="18"/>
      <c r="I616" s="7"/>
      <c r="J616" s="8"/>
      <c r="K616" s="10">
        <f>SUM(G616:J616)</f>
        <v>0</v>
      </c>
      <c r="L616" s="101">
        <f t="shared" si="590"/>
        <v>4</v>
      </c>
      <c r="M616" s="58">
        <v>46128</v>
      </c>
      <c r="N616" s="12" t="s">
        <v>5</v>
      </c>
      <c r="O616" s="16"/>
      <c r="P616" s="29"/>
      <c r="Q616" s="17"/>
      <c r="R616" s="20"/>
      <c r="S616" s="45">
        <f t="shared" ref="S616" si="595">SUM(O616:R616)</f>
        <v>0</v>
      </c>
      <c r="T616" s="16"/>
      <c r="U616" s="29"/>
      <c r="V616" s="17"/>
      <c r="W616" s="20"/>
      <c r="X616" s="45">
        <f t="shared" ref="X616" si="596">SUM(T616:W616)</f>
        <v>0</v>
      </c>
      <c r="Y616" s="100">
        <f t="shared" si="594"/>
        <v>0</v>
      </c>
      <c r="Z616" s="157"/>
    </row>
    <row r="617" spans="1:27" ht="14.25" thickBot="1" x14ac:dyDescent="0.2">
      <c r="A617" s="14" t="s">
        <v>7</v>
      </c>
      <c r="B617" s="62">
        <f t="shared" ref="B617:K617" si="597">SUM(B612:B616)</f>
        <v>8</v>
      </c>
      <c r="C617" s="63">
        <f t="shared" si="597"/>
        <v>18</v>
      </c>
      <c r="D617" s="64">
        <f t="shared" si="597"/>
        <v>6</v>
      </c>
      <c r="E617" s="65">
        <f t="shared" si="597"/>
        <v>9</v>
      </c>
      <c r="F617" s="66">
        <f t="shared" si="597"/>
        <v>41</v>
      </c>
      <c r="G617" s="62">
        <f t="shared" si="597"/>
        <v>7</v>
      </c>
      <c r="H617" s="63">
        <f t="shared" si="597"/>
        <v>5</v>
      </c>
      <c r="I617" s="64">
        <f t="shared" si="597"/>
        <v>7</v>
      </c>
      <c r="J617" s="65">
        <f t="shared" si="597"/>
        <v>6</v>
      </c>
      <c r="K617" s="66">
        <f t="shared" si="597"/>
        <v>25</v>
      </c>
      <c r="L617" s="102">
        <f t="shared" si="590"/>
        <v>66</v>
      </c>
      <c r="N617" s="13" t="s">
        <v>7</v>
      </c>
      <c r="O617" s="25">
        <f t="shared" ref="O617:X617" si="598">SUM(O612:O616)</f>
        <v>180</v>
      </c>
      <c r="P617" s="31">
        <f t="shared" si="598"/>
        <v>226</v>
      </c>
      <c r="Q617" s="26">
        <f t="shared" si="598"/>
        <v>174</v>
      </c>
      <c r="R617" s="67">
        <f t="shared" si="598"/>
        <v>190</v>
      </c>
      <c r="S617" s="68">
        <f t="shared" si="598"/>
        <v>770</v>
      </c>
      <c r="T617" s="25">
        <f t="shared" si="598"/>
        <v>110</v>
      </c>
      <c r="U617" s="31">
        <f t="shared" si="598"/>
        <v>158</v>
      </c>
      <c r="V617" s="26">
        <f t="shared" si="598"/>
        <v>121</v>
      </c>
      <c r="W617" s="67">
        <f t="shared" si="598"/>
        <v>142</v>
      </c>
      <c r="X617" s="68">
        <f t="shared" si="598"/>
        <v>531</v>
      </c>
      <c r="Y617" s="102">
        <f t="shared" si="594"/>
        <v>1301</v>
      </c>
    </row>
    <row r="618" spans="1:27" x14ac:dyDescent="0.15">
      <c r="A618" s="47" t="s">
        <v>1112</v>
      </c>
      <c r="B618" s="41">
        <v>2</v>
      </c>
      <c r="C618" s="42">
        <v>2</v>
      </c>
      <c r="D618" s="43">
        <v>2</v>
      </c>
      <c r="E618" s="44">
        <v>2</v>
      </c>
      <c r="F618" s="70">
        <f t="shared" ref="F618:F643" si="599">SUM(B618:E618)</f>
        <v>8</v>
      </c>
      <c r="G618" s="41">
        <v>2</v>
      </c>
      <c r="H618" s="42">
        <v>2</v>
      </c>
      <c r="I618" s="43">
        <v>3</v>
      </c>
      <c r="J618" s="44">
        <v>2</v>
      </c>
      <c r="K618" s="70">
        <f t="shared" ref="K618:K642" si="600">SUM(G618:J618)</f>
        <v>9</v>
      </c>
      <c r="L618" s="103">
        <f t="shared" si="590"/>
        <v>17</v>
      </c>
      <c r="M618" s="58">
        <v>46130</v>
      </c>
      <c r="N618" s="289" t="s">
        <v>822</v>
      </c>
      <c r="O618" s="255"/>
      <c r="P618" s="256"/>
      <c r="Q618" s="257"/>
      <c r="R618" s="269"/>
      <c r="S618" s="270">
        <f t="shared" ref="S618" si="601">SUM(O618:R618)</f>
        <v>0</v>
      </c>
      <c r="T618" s="255"/>
      <c r="U618" s="256"/>
      <c r="V618" s="257"/>
      <c r="W618" s="269">
        <v>3</v>
      </c>
      <c r="X618" s="270">
        <f t="shared" ref="X618" si="602">SUM(T618:W618)</f>
        <v>3</v>
      </c>
      <c r="Y618" s="260">
        <f t="shared" si="594"/>
        <v>3</v>
      </c>
      <c r="Z618" s="261">
        <v>46128</v>
      </c>
    </row>
    <row r="619" spans="1:27" x14ac:dyDescent="0.15">
      <c r="A619" s="47" t="s">
        <v>1114</v>
      </c>
      <c r="B619" s="16"/>
      <c r="C619" s="29"/>
      <c r="D619" s="17"/>
      <c r="E619" s="20">
        <v>1</v>
      </c>
      <c r="F619" s="45">
        <f t="shared" si="599"/>
        <v>1</v>
      </c>
      <c r="G619" s="16"/>
      <c r="H619" s="29"/>
      <c r="I619" s="17"/>
      <c r="J619" s="20"/>
      <c r="K619" s="45">
        <f t="shared" si="600"/>
        <v>0</v>
      </c>
      <c r="L619" s="104">
        <f t="shared" si="590"/>
        <v>1</v>
      </c>
      <c r="M619" s="56">
        <v>46134</v>
      </c>
      <c r="N619" s="268" t="s">
        <v>822</v>
      </c>
      <c r="O619" s="255"/>
      <c r="P619" s="256"/>
      <c r="Q619" s="257"/>
      <c r="R619" s="269">
        <v>3</v>
      </c>
      <c r="S619" s="270">
        <f t="shared" ref="S619" si="603">SUM(O619:R619)</f>
        <v>3</v>
      </c>
      <c r="T619" s="255"/>
      <c r="U619" s="256"/>
      <c r="V619" s="257"/>
      <c r="W619" s="269"/>
      <c r="X619" s="270">
        <f t="shared" ref="X619" si="604">SUM(T619:W619)</f>
        <v>0</v>
      </c>
      <c r="Y619" s="260">
        <f t="shared" ref="Y619" si="605">S619+X619</f>
        <v>3</v>
      </c>
      <c r="Z619" s="261">
        <v>46133</v>
      </c>
    </row>
    <row r="620" spans="1:27" x14ac:dyDescent="0.15">
      <c r="A620" s="47" t="s">
        <v>1118</v>
      </c>
      <c r="B620" s="16"/>
      <c r="C620" s="29">
        <v>1</v>
      </c>
      <c r="D620" s="17"/>
      <c r="E620" s="20">
        <v>1</v>
      </c>
      <c r="F620" s="45">
        <f t="shared" si="599"/>
        <v>2</v>
      </c>
      <c r="G620" s="16"/>
      <c r="H620" s="29"/>
      <c r="I620" s="17"/>
      <c r="J620" s="20"/>
      <c r="K620" s="45">
        <f t="shared" si="600"/>
        <v>0</v>
      </c>
      <c r="L620" s="104">
        <f t="shared" si="590"/>
        <v>2</v>
      </c>
      <c r="M620" s="56">
        <v>46136</v>
      </c>
      <c r="N620" s="11" t="s">
        <v>1122</v>
      </c>
      <c r="O620" s="16">
        <v>3</v>
      </c>
      <c r="P620" s="29">
        <v>9</v>
      </c>
      <c r="Q620" s="17">
        <v>5</v>
      </c>
      <c r="R620" s="32">
        <v>5</v>
      </c>
      <c r="S620" s="9">
        <f t="shared" ref="S620:S623" si="606">SUM(O620:R620)</f>
        <v>22</v>
      </c>
      <c r="T620" s="16"/>
      <c r="U620" s="29"/>
      <c r="V620" s="17"/>
      <c r="W620" s="32"/>
      <c r="X620" s="9">
        <f t="shared" ref="X620:X623" si="607">SUM(T620:W620)</f>
        <v>0</v>
      </c>
      <c r="Y620" s="104">
        <f t="shared" si="594"/>
        <v>22</v>
      </c>
      <c r="Z620" s="56">
        <v>46140</v>
      </c>
    </row>
    <row r="621" spans="1:27" x14ac:dyDescent="0.15">
      <c r="A621" s="47" t="s">
        <v>1120</v>
      </c>
      <c r="B621" s="16"/>
      <c r="C621" s="29"/>
      <c r="D621" s="17"/>
      <c r="E621" s="20"/>
      <c r="F621" s="45">
        <f t="shared" si="599"/>
        <v>0</v>
      </c>
      <c r="G621" s="16">
        <v>-1</v>
      </c>
      <c r="H621" s="29"/>
      <c r="I621" s="17"/>
      <c r="J621" s="20"/>
      <c r="K621" s="45">
        <f t="shared" si="600"/>
        <v>-1</v>
      </c>
      <c r="L621" s="104">
        <f t="shared" si="590"/>
        <v>-1</v>
      </c>
      <c r="M621" s="58">
        <v>46128</v>
      </c>
      <c r="N621" s="33" t="s">
        <v>822</v>
      </c>
      <c r="O621" s="16"/>
      <c r="P621" s="29"/>
      <c r="Q621" s="17"/>
      <c r="R621" s="32"/>
      <c r="S621" s="9">
        <f t="shared" si="606"/>
        <v>0</v>
      </c>
      <c r="T621" s="16"/>
      <c r="U621" s="29">
        <v>3</v>
      </c>
      <c r="V621" s="17"/>
      <c r="W621" s="32"/>
      <c r="X621" s="9">
        <f t="shared" si="607"/>
        <v>3</v>
      </c>
      <c r="Y621" s="104">
        <f t="shared" si="594"/>
        <v>3</v>
      </c>
      <c r="Z621" s="56">
        <v>46140</v>
      </c>
    </row>
    <row r="622" spans="1:27" x14ac:dyDescent="0.15">
      <c r="A622" s="47" t="s">
        <v>1121</v>
      </c>
      <c r="B622" s="16"/>
      <c r="C622" s="29"/>
      <c r="D622" s="17"/>
      <c r="E622" s="20"/>
      <c r="F622" s="45">
        <f t="shared" si="599"/>
        <v>0</v>
      </c>
      <c r="G622" s="16"/>
      <c r="H622" s="29">
        <v>-1</v>
      </c>
      <c r="I622" s="17"/>
      <c r="J622" s="20"/>
      <c r="K622" s="45">
        <f t="shared" si="600"/>
        <v>-1</v>
      </c>
      <c r="L622" s="104">
        <f t="shared" si="590"/>
        <v>-1</v>
      </c>
      <c r="M622" s="58">
        <v>46133</v>
      </c>
      <c r="N622" s="11" t="s">
        <v>1125</v>
      </c>
      <c r="O622" s="16">
        <v>5</v>
      </c>
      <c r="P622" s="29"/>
      <c r="Q622" s="17">
        <v>4</v>
      </c>
      <c r="R622" s="32">
        <v>18</v>
      </c>
      <c r="S622" s="9">
        <f t="shared" si="606"/>
        <v>27</v>
      </c>
      <c r="T622" s="16">
        <v>3</v>
      </c>
      <c r="U622" s="29">
        <v>2</v>
      </c>
      <c r="V622" s="17"/>
      <c r="W622" s="32"/>
      <c r="X622" s="9">
        <f t="shared" si="607"/>
        <v>5</v>
      </c>
      <c r="Y622" s="104">
        <f t="shared" si="594"/>
        <v>32</v>
      </c>
      <c r="Z622" s="56">
        <v>46146</v>
      </c>
    </row>
    <row r="623" spans="1:27" x14ac:dyDescent="0.15">
      <c r="A623" s="47" t="s">
        <v>1123</v>
      </c>
      <c r="B623" s="16"/>
      <c r="C623" s="29"/>
      <c r="D623" s="17"/>
      <c r="E623" s="20"/>
      <c r="F623" s="45">
        <f t="shared" si="599"/>
        <v>0</v>
      </c>
      <c r="G623" s="16"/>
      <c r="H623" s="29">
        <v>1</v>
      </c>
      <c r="I623" s="17"/>
      <c r="J623" s="20"/>
      <c r="K623" s="45">
        <f t="shared" si="600"/>
        <v>1</v>
      </c>
      <c r="L623" s="104">
        <f t="shared" si="590"/>
        <v>1</v>
      </c>
      <c r="M623" s="58">
        <v>46136</v>
      </c>
      <c r="N623" s="11" t="s">
        <v>1128</v>
      </c>
      <c r="O623" s="16">
        <v>2</v>
      </c>
      <c r="P623" s="29">
        <v>7</v>
      </c>
      <c r="Q623" s="17">
        <v>11</v>
      </c>
      <c r="R623" s="32">
        <v>8</v>
      </c>
      <c r="S623" s="9">
        <f t="shared" si="606"/>
        <v>28</v>
      </c>
      <c r="T623" s="16"/>
      <c r="U623" s="29"/>
      <c r="V623" s="17"/>
      <c r="W623" s="32"/>
      <c r="X623" s="9">
        <f t="shared" si="607"/>
        <v>0</v>
      </c>
      <c r="Y623" s="104">
        <f t="shared" si="594"/>
        <v>28</v>
      </c>
      <c r="Z623" s="56">
        <v>46142</v>
      </c>
      <c r="AA623" s="35"/>
    </row>
    <row r="624" spans="1:27" x14ac:dyDescent="0.15">
      <c r="A624" s="47" t="s">
        <v>1124</v>
      </c>
      <c r="B624" s="16">
        <v>1</v>
      </c>
      <c r="C624" s="29">
        <v>2</v>
      </c>
      <c r="D624" s="17"/>
      <c r="E624" s="20"/>
      <c r="F624" s="45">
        <f t="shared" si="599"/>
        <v>3</v>
      </c>
      <c r="G624" s="16"/>
      <c r="H624" s="29">
        <v>1</v>
      </c>
      <c r="I624" s="17"/>
      <c r="J624" s="20"/>
      <c r="K624" s="45">
        <f t="shared" si="600"/>
        <v>1</v>
      </c>
      <c r="L624" s="104">
        <f t="shared" si="590"/>
        <v>4</v>
      </c>
      <c r="M624" s="56">
        <v>46140</v>
      </c>
      <c r="N624" s="33" t="s">
        <v>822</v>
      </c>
      <c r="O624" s="16">
        <v>3</v>
      </c>
      <c r="P624" s="29"/>
      <c r="Q624" s="17">
        <v>3</v>
      </c>
      <c r="R624" s="32">
        <v>3</v>
      </c>
      <c r="S624" s="9">
        <f>SUM(O624:R624)</f>
        <v>9</v>
      </c>
      <c r="T624" s="16"/>
      <c r="U624" s="29">
        <v>3</v>
      </c>
      <c r="V624" s="17"/>
      <c r="W624" s="32"/>
      <c r="X624" s="9">
        <f>SUM(T624:W624)</f>
        <v>3</v>
      </c>
      <c r="Y624" s="104">
        <f t="shared" si="594"/>
        <v>12</v>
      </c>
      <c r="Z624" s="56">
        <v>46144</v>
      </c>
      <c r="AA624" s="35"/>
    </row>
    <row r="625" spans="1:27" x14ac:dyDescent="0.15">
      <c r="A625" s="47" t="s">
        <v>45</v>
      </c>
      <c r="B625" s="16"/>
      <c r="C625" s="29"/>
      <c r="D625" s="17"/>
      <c r="E625" s="20">
        <v>1</v>
      </c>
      <c r="F625" s="45">
        <f t="shared" si="599"/>
        <v>1</v>
      </c>
      <c r="G625" s="16"/>
      <c r="H625" s="29">
        <v>1</v>
      </c>
      <c r="I625" s="17">
        <v>1</v>
      </c>
      <c r="J625" s="20"/>
      <c r="K625" s="45">
        <f t="shared" si="600"/>
        <v>2</v>
      </c>
      <c r="L625" s="104">
        <f t="shared" si="590"/>
        <v>3</v>
      </c>
      <c r="M625" s="58">
        <v>46139</v>
      </c>
      <c r="N625" s="11" t="s">
        <v>1134</v>
      </c>
      <c r="O625" s="16">
        <v>2</v>
      </c>
      <c r="P625" s="29"/>
      <c r="Q625" s="17">
        <v>4</v>
      </c>
      <c r="R625" s="32">
        <v>3</v>
      </c>
      <c r="S625" s="9">
        <f t="shared" ref="S625:S629" si="608">SUM(O625:R625)</f>
        <v>9</v>
      </c>
      <c r="T625" s="16"/>
      <c r="U625" s="29">
        <v>2</v>
      </c>
      <c r="V625" s="17"/>
      <c r="W625" s="32"/>
      <c r="X625" s="9">
        <f t="shared" ref="X625:X629" si="609">SUM(T625:W625)</f>
        <v>2</v>
      </c>
      <c r="Y625" s="104">
        <f t="shared" si="594"/>
        <v>11</v>
      </c>
      <c r="Z625" s="56">
        <v>46160</v>
      </c>
      <c r="AA625" s="35"/>
    </row>
    <row r="626" spans="1:27" x14ac:dyDescent="0.15">
      <c r="A626" s="254" t="s">
        <v>150</v>
      </c>
      <c r="B626" s="255"/>
      <c r="C626" s="256"/>
      <c r="D626" s="257"/>
      <c r="E626" s="258"/>
      <c r="F626" s="259">
        <f t="shared" si="599"/>
        <v>0</v>
      </c>
      <c r="G626" s="255"/>
      <c r="H626" s="256">
        <v>-3</v>
      </c>
      <c r="I626" s="257"/>
      <c r="J626" s="258"/>
      <c r="K626" s="259">
        <f t="shared" si="600"/>
        <v>-3</v>
      </c>
      <c r="L626" s="260">
        <f t="shared" si="590"/>
        <v>-3</v>
      </c>
      <c r="M626" s="261">
        <v>46140</v>
      </c>
      <c r="N626" s="11" t="s">
        <v>1147</v>
      </c>
      <c r="O626" s="16"/>
      <c r="P626" s="29">
        <v>4</v>
      </c>
      <c r="Q626" s="17">
        <v>8</v>
      </c>
      <c r="R626" s="32">
        <v>4</v>
      </c>
      <c r="S626" s="9">
        <f t="shared" si="608"/>
        <v>16</v>
      </c>
      <c r="T626" s="16"/>
      <c r="U626" s="29">
        <v>8</v>
      </c>
      <c r="V626" s="17">
        <v>4</v>
      </c>
      <c r="W626" s="32">
        <v>4</v>
      </c>
      <c r="X626" s="9">
        <f t="shared" si="609"/>
        <v>16</v>
      </c>
      <c r="Y626" s="104">
        <f t="shared" si="594"/>
        <v>32</v>
      </c>
      <c r="Z626" s="56">
        <v>46150</v>
      </c>
      <c r="AA626" s="35"/>
    </row>
    <row r="627" spans="1:27" x14ac:dyDescent="0.15">
      <c r="A627" s="47" t="s">
        <v>1126</v>
      </c>
      <c r="B627" s="16"/>
      <c r="C627" s="29"/>
      <c r="D627" s="17"/>
      <c r="E627" s="20"/>
      <c r="F627" s="45">
        <f t="shared" si="599"/>
        <v>0</v>
      </c>
      <c r="G627" s="16"/>
      <c r="H627" s="29">
        <v>1</v>
      </c>
      <c r="I627" s="17"/>
      <c r="J627" s="20"/>
      <c r="K627" s="45">
        <f t="shared" si="600"/>
        <v>1</v>
      </c>
      <c r="L627" s="104">
        <f t="shared" si="590"/>
        <v>1</v>
      </c>
      <c r="M627" s="56">
        <v>46142</v>
      </c>
      <c r="N627" s="33" t="s">
        <v>822</v>
      </c>
      <c r="O627" s="16"/>
      <c r="P627" s="29"/>
      <c r="Q627" s="17"/>
      <c r="R627" s="32">
        <v>3</v>
      </c>
      <c r="S627" s="9">
        <f t="shared" si="608"/>
        <v>3</v>
      </c>
      <c r="T627" s="16"/>
      <c r="U627" s="29">
        <v>3</v>
      </c>
      <c r="V627" s="17"/>
      <c r="W627" s="32"/>
      <c r="X627" s="9">
        <f t="shared" si="609"/>
        <v>3</v>
      </c>
      <c r="Y627" s="104">
        <f t="shared" si="594"/>
        <v>6</v>
      </c>
      <c r="Z627" s="56">
        <v>46150</v>
      </c>
    </row>
    <row r="628" spans="1:27" x14ac:dyDescent="0.15">
      <c r="A628" s="47" t="s">
        <v>45</v>
      </c>
      <c r="B628" s="16"/>
      <c r="C628" s="29"/>
      <c r="D628" s="17"/>
      <c r="E628" s="20"/>
      <c r="F628" s="45">
        <f t="shared" si="599"/>
        <v>0</v>
      </c>
      <c r="G628" s="16">
        <v>1</v>
      </c>
      <c r="H628" s="29">
        <v>1</v>
      </c>
      <c r="I628" s="17"/>
      <c r="J628" s="20"/>
      <c r="K628" s="45">
        <f t="shared" si="600"/>
        <v>2</v>
      </c>
      <c r="L628" s="104">
        <f t="shared" si="590"/>
        <v>2</v>
      </c>
      <c r="M628" s="56">
        <v>46140</v>
      </c>
      <c r="N628" s="33" t="s">
        <v>822</v>
      </c>
      <c r="O628" s="16"/>
      <c r="P628" s="29"/>
      <c r="Q628" s="17">
        <v>3</v>
      </c>
      <c r="R628" s="32"/>
      <c r="S628" s="9">
        <f t="shared" si="608"/>
        <v>3</v>
      </c>
      <c r="T628" s="16">
        <v>3</v>
      </c>
      <c r="U628" s="29">
        <v>3</v>
      </c>
      <c r="V628" s="17">
        <v>3</v>
      </c>
      <c r="W628" s="32">
        <v>3</v>
      </c>
      <c r="X628" s="9">
        <f t="shared" si="609"/>
        <v>12</v>
      </c>
      <c r="Y628" s="104">
        <f t="shared" si="594"/>
        <v>15</v>
      </c>
      <c r="Z628" s="56">
        <v>46153</v>
      </c>
    </row>
    <row r="629" spans="1:27" x14ac:dyDescent="0.15">
      <c r="A629" s="47" t="s">
        <v>1133</v>
      </c>
      <c r="B629" s="16">
        <v>1</v>
      </c>
      <c r="C629" s="29"/>
      <c r="D629" s="17"/>
      <c r="E629" s="20">
        <v>1</v>
      </c>
      <c r="F629" s="45">
        <f t="shared" si="599"/>
        <v>2</v>
      </c>
      <c r="G629" s="16"/>
      <c r="H629" s="29"/>
      <c r="I629" s="17"/>
      <c r="J629" s="20"/>
      <c r="K629" s="45">
        <f t="shared" si="600"/>
        <v>0</v>
      </c>
      <c r="L629" s="104">
        <f t="shared" si="590"/>
        <v>2</v>
      </c>
      <c r="M629" s="56">
        <v>46143</v>
      </c>
      <c r="N629" s="11" t="s">
        <v>1162</v>
      </c>
      <c r="O629" s="16"/>
      <c r="P629" s="29">
        <v>1</v>
      </c>
      <c r="Q629" s="17"/>
      <c r="R629" s="32">
        <v>4</v>
      </c>
      <c r="S629" s="9">
        <f t="shared" si="608"/>
        <v>5</v>
      </c>
      <c r="T629" s="16">
        <v>4</v>
      </c>
      <c r="U629" s="29">
        <v>2</v>
      </c>
      <c r="V629" s="17"/>
      <c r="W629" s="32">
        <v>2</v>
      </c>
      <c r="X629" s="9">
        <f t="shared" si="609"/>
        <v>8</v>
      </c>
      <c r="Y629" s="104">
        <f t="shared" si="594"/>
        <v>13</v>
      </c>
      <c r="Z629" s="56">
        <v>46154</v>
      </c>
    </row>
    <row r="630" spans="1:27" x14ac:dyDescent="0.15">
      <c r="A630" s="47" t="s">
        <v>150</v>
      </c>
      <c r="B630" s="16">
        <v>-3</v>
      </c>
      <c r="C630" s="29"/>
      <c r="D630" s="17">
        <v>-3</v>
      </c>
      <c r="E630" s="20">
        <v>-3</v>
      </c>
      <c r="F630" s="45">
        <f t="shared" si="599"/>
        <v>-9</v>
      </c>
      <c r="G630" s="16"/>
      <c r="H630" s="29">
        <v>-3</v>
      </c>
      <c r="I630" s="17"/>
      <c r="J630" s="20"/>
      <c r="K630" s="45">
        <f t="shared" si="600"/>
        <v>-3</v>
      </c>
      <c r="L630" s="104">
        <f t="shared" si="590"/>
        <v>-12</v>
      </c>
      <c r="M630" s="56">
        <v>46144</v>
      </c>
      <c r="N630" s="268" t="s">
        <v>822</v>
      </c>
      <c r="O630" s="255">
        <v>3</v>
      </c>
      <c r="P630" s="256"/>
      <c r="Q630" s="257"/>
      <c r="R630" s="269"/>
      <c r="S630" s="270">
        <f>SUM(O630:R630)</f>
        <v>3</v>
      </c>
      <c r="T630" s="255"/>
      <c r="U630" s="256"/>
      <c r="V630" s="257"/>
      <c r="W630" s="269"/>
      <c r="X630" s="270">
        <f>SUM(T630:W630)</f>
        <v>0</v>
      </c>
      <c r="Y630" s="260">
        <f t="shared" si="594"/>
        <v>3</v>
      </c>
      <c r="Z630" s="261">
        <v>46162</v>
      </c>
    </row>
    <row r="631" spans="1:27" x14ac:dyDescent="0.15">
      <c r="A631" s="47" t="s">
        <v>1137</v>
      </c>
      <c r="B631" s="16">
        <v>1</v>
      </c>
      <c r="C631" s="29">
        <v>1</v>
      </c>
      <c r="D631" s="17">
        <v>1</v>
      </c>
      <c r="E631" s="20">
        <v>2</v>
      </c>
      <c r="F631" s="45">
        <f t="shared" si="599"/>
        <v>5</v>
      </c>
      <c r="G631" s="16">
        <v>1</v>
      </c>
      <c r="H631" s="29"/>
      <c r="I631" s="17"/>
      <c r="J631" s="20"/>
      <c r="K631" s="45">
        <f t="shared" si="600"/>
        <v>1</v>
      </c>
      <c r="L631" s="104">
        <f t="shared" si="590"/>
        <v>6</v>
      </c>
      <c r="M631" s="56">
        <v>46149</v>
      </c>
      <c r="N631" s="11" t="s">
        <v>1199</v>
      </c>
      <c r="O631" s="16">
        <v>2</v>
      </c>
      <c r="P631" s="29"/>
      <c r="Q631" s="17"/>
      <c r="R631" s="32"/>
      <c r="S631" s="9">
        <f>SUM(O631:R631)</f>
        <v>2</v>
      </c>
      <c r="T631" s="16"/>
      <c r="U631" s="29"/>
      <c r="V631" s="17"/>
      <c r="W631" s="32"/>
      <c r="X631" s="9">
        <f>SUM(T631:W631)</f>
        <v>0</v>
      </c>
      <c r="Y631" s="104">
        <f t="shared" si="594"/>
        <v>2</v>
      </c>
      <c r="Z631" s="56">
        <v>46177</v>
      </c>
    </row>
    <row r="632" spans="1:27" x14ac:dyDescent="0.15">
      <c r="A632" s="47" t="s">
        <v>1146</v>
      </c>
      <c r="B632" s="16"/>
      <c r="C632" s="29"/>
      <c r="D632" s="17"/>
      <c r="E632" s="20">
        <v>3</v>
      </c>
      <c r="F632" s="45">
        <f t="shared" si="599"/>
        <v>3</v>
      </c>
      <c r="G632" s="16"/>
      <c r="H632" s="29"/>
      <c r="I632" s="17"/>
      <c r="J632" s="20"/>
      <c r="K632" s="45">
        <f t="shared" si="600"/>
        <v>0</v>
      </c>
      <c r="L632" s="104">
        <f t="shared" si="590"/>
        <v>3</v>
      </c>
      <c r="M632" s="56">
        <v>46150</v>
      </c>
      <c r="N632" s="72" t="s">
        <v>822</v>
      </c>
      <c r="O632" s="16"/>
      <c r="P632" s="29"/>
      <c r="Q632" s="17"/>
      <c r="R632" s="32"/>
      <c r="S632" s="9">
        <f t="shared" ref="S632:S643" si="610">SUM(O632:R632)</f>
        <v>0</v>
      </c>
      <c r="T632" s="16">
        <v>3</v>
      </c>
      <c r="U632" s="29">
        <v>3</v>
      </c>
      <c r="V632" s="17"/>
      <c r="W632" s="32"/>
      <c r="X632" s="9">
        <f t="shared" ref="X632:X643" si="611">SUM(T632:W632)</f>
        <v>6</v>
      </c>
      <c r="Y632" s="104">
        <f t="shared" si="594"/>
        <v>6</v>
      </c>
      <c r="Z632" s="56">
        <v>46169</v>
      </c>
    </row>
    <row r="633" spans="1:27" x14ac:dyDescent="0.15">
      <c r="A633" s="47" t="s">
        <v>45</v>
      </c>
      <c r="B633" s="16"/>
      <c r="C633" s="29">
        <v>1</v>
      </c>
      <c r="D633" s="17">
        <v>3</v>
      </c>
      <c r="E633" s="20"/>
      <c r="F633" s="45">
        <f t="shared" si="599"/>
        <v>4</v>
      </c>
      <c r="G633" s="16"/>
      <c r="H633" s="29">
        <v>3</v>
      </c>
      <c r="I633" s="17"/>
      <c r="J633" s="20">
        <v>1</v>
      </c>
      <c r="K633" s="45">
        <f t="shared" si="600"/>
        <v>4</v>
      </c>
      <c r="L633" s="104">
        <f t="shared" si="590"/>
        <v>8</v>
      </c>
      <c r="M633" s="56">
        <v>46149</v>
      </c>
      <c r="N633" s="72"/>
      <c r="O633" s="16"/>
      <c r="P633" s="29"/>
      <c r="Q633" s="17"/>
      <c r="R633" s="32"/>
      <c r="S633" s="9">
        <f t="shared" si="610"/>
        <v>0</v>
      </c>
      <c r="T633" s="16"/>
      <c r="U633" s="29"/>
      <c r="V633" s="17"/>
      <c r="W633" s="32"/>
      <c r="X633" s="9">
        <f t="shared" si="611"/>
        <v>0</v>
      </c>
      <c r="Y633" s="104">
        <f t="shared" si="594"/>
        <v>0</v>
      </c>
      <c r="Z633" s="157"/>
    </row>
    <row r="634" spans="1:27" x14ac:dyDescent="0.15">
      <c r="A634" s="47" t="s">
        <v>150</v>
      </c>
      <c r="B634" s="16"/>
      <c r="C634" s="29"/>
      <c r="D634" s="17"/>
      <c r="E634" s="20">
        <v>-3</v>
      </c>
      <c r="F634" s="45">
        <f t="shared" si="599"/>
        <v>-3</v>
      </c>
      <c r="G634" s="16"/>
      <c r="H634" s="29">
        <v>-3</v>
      </c>
      <c r="I634" s="17"/>
      <c r="J634" s="20"/>
      <c r="K634" s="45">
        <f t="shared" si="600"/>
        <v>-3</v>
      </c>
      <c r="L634" s="104">
        <f t="shared" si="590"/>
        <v>-6</v>
      </c>
      <c r="M634" s="56">
        <v>46150</v>
      </c>
      <c r="N634" s="33" t="s">
        <v>1046</v>
      </c>
      <c r="O634" s="16"/>
      <c r="P634" s="29"/>
      <c r="Q634" s="17"/>
      <c r="R634" s="32"/>
      <c r="S634" s="9">
        <f t="shared" si="610"/>
        <v>0</v>
      </c>
      <c r="T634" s="16"/>
      <c r="U634" s="29"/>
      <c r="V634" s="17"/>
      <c r="W634" s="32"/>
      <c r="X634" s="9">
        <f t="shared" si="611"/>
        <v>0</v>
      </c>
      <c r="Y634" s="104">
        <f t="shared" si="594"/>
        <v>0</v>
      </c>
      <c r="Z634" s="157" t="s">
        <v>1047</v>
      </c>
    </row>
    <row r="635" spans="1:27" x14ac:dyDescent="0.15">
      <c r="A635" s="47" t="s">
        <v>1150</v>
      </c>
      <c r="B635" s="16">
        <v>2</v>
      </c>
      <c r="C635" s="29">
        <v>1</v>
      </c>
      <c r="D635" s="17"/>
      <c r="E635" s="20"/>
      <c r="F635" s="45">
        <f t="shared" si="599"/>
        <v>3</v>
      </c>
      <c r="G635" s="16">
        <v>2</v>
      </c>
      <c r="H635" s="29">
        <v>2</v>
      </c>
      <c r="I635" s="17"/>
      <c r="J635" s="20"/>
      <c r="K635" s="45">
        <f t="shared" si="600"/>
        <v>4</v>
      </c>
      <c r="L635" s="104">
        <f t="shared" si="590"/>
        <v>7</v>
      </c>
      <c r="M635" s="56">
        <v>46153</v>
      </c>
      <c r="N635" s="72" t="s">
        <v>1041</v>
      </c>
      <c r="O635" s="166"/>
      <c r="P635" s="167"/>
      <c r="Q635" s="160"/>
      <c r="R635" s="168"/>
      <c r="S635" s="165">
        <f t="shared" si="610"/>
        <v>0</v>
      </c>
      <c r="T635" s="166"/>
      <c r="U635" s="167"/>
      <c r="V635" s="160"/>
      <c r="W635" s="168"/>
      <c r="X635" s="165">
        <f t="shared" si="611"/>
        <v>0</v>
      </c>
      <c r="Y635" s="169">
        <f t="shared" si="594"/>
        <v>0</v>
      </c>
      <c r="Z635" s="157"/>
    </row>
    <row r="636" spans="1:27" x14ac:dyDescent="0.15">
      <c r="A636" s="254" t="s">
        <v>1155</v>
      </c>
      <c r="B636" s="255"/>
      <c r="C636" s="256"/>
      <c r="D636" s="257">
        <v>-3</v>
      </c>
      <c r="E636" s="258"/>
      <c r="F636" s="259">
        <f t="shared" si="599"/>
        <v>-3</v>
      </c>
      <c r="G636" s="255">
        <v>-3</v>
      </c>
      <c r="H636" s="256">
        <v>-3</v>
      </c>
      <c r="I636" s="257">
        <v>-3</v>
      </c>
      <c r="J636" s="258">
        <v>-3</v>
      </c>
      <c r="K636" s="259">
        <f t="shared" si="600"/>
        <v>-12</v>
      </c>
      <c r="L636" s="260">
        <f t="shared" si="590"/>
        <v>-15</v>
      </c>
      <c r="M636" s="261">
        <v>46153</v>
      </c>
      <c r="N636" s="11" t="s">
        <v>1042</v>
      </c>
      <c r="O636" s="16"/>
      <c r="P636" s="29"/>
      <c r="Q636" s="17"/>
      <c r="R636" s="32"/>
      <c r="S636" s="9">
        <f t="shared" si="610"/>
        <v>0</v>
      </c>
      <c r="T636" s="16"/>
      <c r="U636" s="29"/>
      <c r="V636" s="17"/>
      <c r="W636" s="32"/>
      <c r="X636" s="9">
        <f t="shared" si="611"/>
        <v>0</v>
      </c>
      <c r="Y636" s="104">
        <f t="shared" si="594"/>
        <v>0</v>
      </c>
      <c r="Z636" s="157" t="s">
        <v>1040</v>
      </c>
    </row>
    <row r="637" spans="1:27" x14ac:dyDescent="0.15">
      <c r="A637" s="47" t="s">
        <v>45</v>
      </c>
      <c r="B637" s="16"/>
      <c r="C637" s="29">
        <v>1</v>
      </c>
      <c r="D637" s="17"/>
      <c r="E637" s="20"/>
      <c r="F637" s="45">
        <f t="shared" si="599"/>
        <v>1</v>
      </c>
      <c r="G637" s="16"/>
      <c r="H637" s="29"/>
      <c r="I637" s="17"/>
      <c r="J637" s="20"/>
      <c r="K637" s="45">
        <f t="shared" si="600"/>
        <v>0</v>
      </c>
      <c r="L637" s="104">
        <f t="shared" si="590"/>
        <v>1</v>
      </c>
      <c r="M637" s="58">
        <v>46153</v>
      </c>
      <c r="N637" s="137" t="s">
        <v>1006</v>
      </c>
      <c r="O637" s="171"/>
      <c r="P637" s="172"/>
      <c r="Q637" s="173"/>
      <c r="R637" s="174"/>
      <c r="S637" s="175">
        <f t="shared" si="610"/>
        <v>0</v>
      </c>
      <c r="T637" s="171"/>
      <c r="U637" s="172"/>
      <c r="V637" s="173"/>
      <c r="W637" s="174"/>
      <c r="X637" s="175">
        <f t="shared" si="611"/>
        <v>0</v>
      </c>
      <c r="Y637" s="205">
        <f t="shared" si="594"/>
        <v>0</v>
      </c>
      <c r="Z637" s="157"/>
    </row>
    <row r="638" spans="1:27" x14ac:dyDescent="0.15">
      <c r="A638" s="47" t="s">
        <v>1167</v>
      </c>
      <c r="B638" s="16">
        <v>1</v>
      </c>
      <c r="C638" s="29"/>
      <c r="D638" s="17"/>
      <c r="E638" s="20"/>
      <c r="F638" s="45">
        <f t="shared" si="599"/>
        <v>1</v>
      </c>
      <c r="G638" s="16">
        <v>1</v>
      </c>
      <c r="H638" s="29">
        <v>3</v>
      </c>
      <c r="I638" s="17">
        <v>1</v>
      </c>
      <c r="J638" s="20"/>
      <c r="K638" s="45">
        <f t="shared" si="600"/>
        <v>5</v>
      </c>
      <c r="L638" s="104">
        <f t="shared" si="590"/>
        <v>6</v>
      </c>
      <c r="M638" s="56">
        <v>46156</v>
      </c>
      <c r="N638" s="11" t="s">
        <v>1004</v>
      </c>
      <c r="O638" s="16"/>
      <c r="P638" s="29"/>
      <c r="Q638" s="17"/>
      <c r="R638" s="32"/>
      <c r="S638" s="9">
        <f t="shared" si="610"/>
        <v>0</v>
      </c>
      <c r="T638" s="16"/>
      <c r="U638" s="29"/>
      <c r="V638" s="17"/>
      <c r="W638" s="32"/>
      <c r="X638" s="9">
        <f t="shared" si="611"/>
        <v>0</v>
      </c>
      <c r="Y638" s="104">
        <f t="shared" si="594"/>
        <v>0</v>
      </c>
      <c r="Z638" s="157" t="s">
        <v>1005</v>
      </c>
    </row>
    <row r="639" spans="1:27" x14ac:dyDescent="0.15">
      <c r="A639" s="47" t="s">
        <v>1177</v>
      </c>
      <c r="B639" s="16"/>
      <c r="C639" s="29">
        <v>1</v>
      </c>
      <c r="D639" s="17"/>
      <c r="E639" s="20"/>
      <c r="F639" s="45">
        <f t="shared" si="599"/>
        <v>1</v>
      </c>
      <c r="G639" s="16"/>
      <c r="H639" s="29"/>
      <c r="I639" s="17"/>
      <c r="J639" s="20"/>
      <c r="K639" s="45">
        <f t="shared" si="600"/>
        <v>0</v>
      </c>
      <c r="L639" s="104">
        <f t="shared" si="590"/>
        <v>1</v>
      </c>
      <c r="M639" s="56">
        <v>46157</v>
      </c>
      <c r="N639" s="72" t="s">
        <v>839</v>
      </c>
      <c r="O639" s="171"/>
      <c r="P639" s="172"/>
      <c r="Q639" s="173"/>
      <c r="R639" s="174"/>
      <c r="S639" s="175">
        <f t="shared" si="610"/>
        <v>0</v>
      </c>
      <c r="T639" s="171"/>
      <c r="U639" s="172"/>
      <c r="V639" s="173"/>
      <c r="W639" s="174"/>
      <c r="X639" s="175">
        <f t="shared" si="611"/>
        <v>0</v>
      </c>
      <c r="Y639" s="169">
        <f t="shared" si="594"/>
        <v>0</v>
      </c>
      <c r="Z639" s="157"/>
      <c r="AA639" s="35"/>
    </row>
    <row r="640" spans="1:27" x14ac:dyDescent="0.15">
      <c r="A640" s="47" t="s">
        <v>1178</v>
      </c>
      <c r="B640" s="16"/>
      <c r="C640" s="29"/>
      <c r="D640" s="17"/>
      <c r="E640" s="20"/>
      <c r="F640" s="45">
        <f t="shared" si="599"/>
        <v>0</v>
      </c>
      <c r="G640" s="16">
        <v>-5</v>
      </c>
      <c r="H640" s="29">
        <v>-2</v>
      </c>
      <c r="I640" s="17">
        <v>-4</v>
      </c>
      <c r="J640" s="20">
        <v>-7</v>
      </c>
      <c r="K640" s="45">
        <f t="shared" si="600"/>
        <v>-18</v>
      </c>
      <c r="L640" s="104">
        <f t="shared" si="590"/>
        <v>-18</v>
      </c>
      <c r="M640" s="58">
        <v>46155</v>
      </c>
      <c r="N640" s="11" t="s">
        <v>836</v>
      </c>
      <c r="O640" s="16"/>
      <c r="P640" s="29"/>
      <c r="Q640" s="17"/>
      <c r="R640" s="32"/>
      <c r="S640" s="9">
        <f t="shared" si="610"/>
        <v>0</v>
      </c>
      <c r="T640" s="16"/>
      <c r="U640" s="29"/>
      <c r="V640" s="17"/>
      <c r="W640" s="32"/>
      <c r="X640" s="9">
        <f t="shared" si="611"/>
        <v>0</v>
      </c>
      <c r="Y640" s="104">
        <f t="shared" si="594"/>
        <v>0</v>
      </c>
      <c r="Z640" s="157" t="s">
        <v>959</v>
      </c>
    </row>
    <row r="641" spans="1:27" x14ac:dyDescent="0.15">
      <c r="A641" s="47" t="s">
        <v>1184</v>
      </c>
      <c r="B641" s="16"/>
      <c r="C641" s="29"/>
      <c r="D641" s="17"/>
      <c r="E641" s="20"/>
      <c r="F641" s="45">
        <f t="shared" si="599"/>
        <v>0</v>
      </c>
      <c r="G641" s="16">
        <v>5</v>
      </c>
      <c r="H641" s="29"/>
      <c r="I641" s="17">
        <v>4</v>
      </c>
      <c r="J641" s="20">
        <v>7</v>
      </c>
      <c r="K641" s="45">
        <f t="shared" si="600"/>
        <v>16</v>
      </c>
      <c r="L641" s="104">
        <f t="shared" si="590"/>
        <v>16</v>
      </c>
      <c r="M641" s="56">
        <v>46157</v>
      </c>
      <c r="N641" s="137" t="s">
        <v>646</v>
      </c>
      <c r="O641" s="201"/>
      <c r="P641" s="202"/>
      <c r="Q641" s="203"/>
      <c r="R641" s="314"/>
      <c r="S641" s="175">
        <f t="shared" si="610"/>
        <v>0</v>
      </c>
      <c r="T641" s="171"/>
      <c r="U641" s="172"/>
      <c r="V641" s="173"/>
      <c r="W641" s="174"/>
      <c r="X641" s="175">
        <f t="shared" si="611"/>
        <v>0</v>
      </c>
      <c r="Y641" s="205">
        <f t="shared" si="594"/>
        <v>0</v>
      </c>
      <c r="Z641" s="224"/>
    </row>
    <row r="642" spans="1:27" ht="14.25" thickBot="1" x14ac:dyDescent="0.2">
      <c r="A642" s="47" t="s">
        <v>1186</v>
      </c>
      <c r="B642" s="37"/>
      <c r="C642" s="38">
        <v>1</v>
      </c>
      <c r="D642" s="39"/>
      <c r="E642" s="40"/>
      <c r="F642" s="45">
        <f t="shared" si="599"/>
        <v>1</v>
      </c>
      <c r="G642" s="37"/>
      <c r="H642" s="38"/>
      <c r="I642" s="39"/>
      <c r="J642" s="40"/>
      <c r="K642" s="45">
        <f t="shared" si="600"/>
        <v>0</v>
      </c>
      <c r="L642" s="104">
        <f t="shared" si="590"/>
        <v>1</v>
      </c>
      <c r="M642" s="56">
        <v>46162</v>
      </c>
      <c r="N642" s="170" t="s">
        <v>660</v>
      </c>
      <c r="O642" s="229"/>
      <c r="P642" s="230"/>
      <c r="Q642" s="231"/>
      <c r="R642" s="232"/>
      <c r="S642" s="48">
        <f t="shared" si="610"/>
        <v>0</v>
      </c>
      <c r="T642" s="37"/>
      <c r="U642" s="38"/>
      <c r="V642" s="39"/>
      <c r="W642" s="129"/>
      <c r="X642" s="48">
        <f t="shared" si="611"/>
        <v>0</v>
      </c>
      <c r="Y642" s="122">
        <f t="shared" si="594"/>
        <v>0</v>
      </c>
      <c r="Z642" s="157" t="s">
        <v>661</v>
      </c>
    </row>
    <row r="643" spans="1:27" ht="14.25" thickBot="1" x14ac:dyDescent="0.2">
      <c r="A643" s="13" t="s">
        <v>8</v>
      </c>
      <c r="B643" s="22">
        <f>SUM(B618:B642)</f>
        <v>5</v>
      </c>
      <c r="C643" s="30">
        <f>SUM(C618:C642)</f>
        <v>11</v>
      </c>
      <c r="D643" s="23">
        <f>SUM(D618:D642)</f>
        <v>0</v>
      </c>
      <c r="E643" s="24">
        <f>SUM(E618:E642)</f>
        <v>5</v>
      </c>
      <c r="F643" s="21">
        <f t="shared" si="599"/>
        <v>21</v>
      </c>
      <c r="G643" s="22">
        <f>SUM(G618:G642)</f>
        <v>3</v>
      </c>
      <c r="H643" s="30">
        <f>SUM(H618:H642)</f>
        <v>0</v>
      </c>
      <c r="I643" s="23">
        <f>SUM(I618:I642)</f>
        <v>2</v>
      </c>
      <c r="J643" s="24">
        <f>SUM(J618:J642)</f>
        <v>0</v>
      </c>
      <c r="K643" s="21">
        <f>SUM(G643:J643)</f>
        <v>5</v>
      </c>
      <c r="L643" s="105">
        <f t="shared" si="590"/>
        <v>26</v>
      </c>
      <c r="N643" s="49" t="s">
        <v>8</v>
      </c>
      <c r="O643" s="22">
        <f>SUM(O618:O642)</f>
        <v>20</v>
      </c>
      <c r="P643" s="30">
        <f>SUM(P618:P642)</f>
        <v>21</v>
      </c>
      <c r="Q643" s="23">
        <f>SUM(Q618:Q642)</f>
        <v>38</v>
      </c>
      <c r="R643" s="24">
        <f>SUM(R618:R642)</f>
        <v>51</v>
      </c>
      <c r="S643" s="48">
        <f t="shared" si="610"/>
        <v>130</v>
      </c>
      <c r="T643" s="22">
        <f>SUM(T618:T642)</f>
        <v>13</v>
      </c>
      <c r="U643" s="30">
        <f>SUM(U618:U642)</f>
        <v>29</v>
      </c>
      <c r="V643" s="23">
        <f>SUM(V618:V642)</f>
        <v>7</v>
      </c>
      <c r="W643" s="24">
        <f>SUM(W618:W642)</f>
        <v>12</v>
      </c>
      <c r="X643" s="48">
        <f t="shared" si="611"/>
        <v>61</v>
      </c>
      <c r="Y643" s="122">
        <f t="shared" si="594"/>
        <v>191</v>
      </c>
    </row>
    <row r="644" spans="1:27" ht="14.25" thickBot="1" x14ac:dyDescent="0.2">
      <c r="A644" s="14" t="s">
        <v>9</v>
      </c>
      <c r="B644" s="25">
        <f t="shared" ref="B644:K644" si="612">B617-B643</f>
        <v>3</v>
      </c>
      <c r="C644" s="31">
        <f t="shared" si="612"/>
        <v>7</v>
      </c>
      <c r="D644" s="26">
        <f t="shared" si="612"/>
        <v>6</v>
      </c>
      <c r="E644" s="27">
        <f t="shared" si="612"/>
        <v>4</v>
      </c>
      <c r="F644" s="83">
        <f t="shared" si="612"/>
        <v>20</v>
      </c>
      <c r="G644" s="25">
        <f t="shared" si="612"/>
        <v>4</v>
      </c>
      <c r="H644" s="31">
        <f t="shared" si="612"/>
        <v>5</v>
      </c>
      <c r="I644" s="26">
        <f t="shared" si="612"/>
        <v>5</v>
      </c>
      <c r="J644" s="27">
        <f t="shared" si="612"/>
        <v>6</v>
      </c>
      <c r="K644" s="83">
        <f t="shared" si="612"/>
        <v>20</v>
      </c>
      <c r="L644" s="102">
        <f t="shared" si="590"/>
        <v>40</v>
      </c>
      <c r="N644" s="13" t="s">
        <v>9</v>
      </c>
      <c r="O644" s="25">
        <f t="shared" ref="O644:X644" si="613">O617-O643</f>
        <v>160</v>
      </c>
      <c r="P644" s="31">
        <f t="shared" si="613"/>
        <v>205</v>
      </c>
      <c r="Q644" s="26">
        <f t="shared" si="613"/>
        <v>136</v>
      </c>
      <c r="R644" s="27">
        <f t="shared" si="613"/>
        <v>139</v>
      </c>
      <c r="S644" s="36">
        <f t="shared" si="613"/>
        <v>640</v>
      </c>
      <c r="T644" s="25">
        <f t="shared" si="613"/>
        <v>97</v>
      </c>
      <c r="U644" s="31">
        <f t="shared" si="613"/>
        <v>129</v>
      </c>
      <c r="V644" s="26">
        <f t="shared" si="613"/>
        <v>114</v>
      </c>
      <c r="W644" s="27">
        <f t="shared" si="613"/>
        <v>130</v>
      </c>
      <c r="X644" s="36">
        <f t="shared" si="613"/>
        <v>470</v>
      </c>
      <c r="Y644" s="102">
        <f t="shared" si="594"/>
        <v>1110</v>
      </c>
    </row>
    <row r="647" spans="1:27" ht="19.5" thickBot="1" x14ac:dyDescent="0.25">
      <c r="A647" s="2" t="s">
        <v>16</v>
      </c>
      <c r="B647" s="2"/>
      <c r="C647" s="1"/>
      <c r="D647" s="1"/>
      <c r="E647" s="1"/>
      <c r="F647" s="84"/>
      <c r="G647" s="2"/>
      <c r="H647" s="1" t="s">
        <v>156</v>
      </c>
      <c r="I647" s="1"/>
      <c r="J647" s="1"/>
      <c r="K647" s="84" t="s">
        <v>13</v>
      </c>
      <c r="L647" s="84"/>
      <c r="N647" s="2" t="s">
        <v>17</v>
      </c>
      <c r="O647" s="71"/>
      <c r="P647" s="71"/>
      <c r="Q647" s="71"/>
      <c r="R647" s="71"/>
      <c r="T647" s="71"/>
      <c r="U647" s="1" t="s">
        <v>156</v>
      </c>
      <c r="V647" s="71"/>
      <c r="W647" s="71"/>
      <c r="X647" s="84" t="s">
        <v>13</v>
      </c>
      <c r="Y647" s="84"/>
    </row>
    <row r="648" spans="1:27" ht="14.25" thickBot="1" x14ac:dyDescent="0.2">
      <c r="A648" s="5" t="s">
        <v>0</v>
      </c>
      <c r="B648" s="328" t="s">
        <v>120</v>
      </c>
      <c r="C648" s="329"/>
      <c r="D648" s="329"/>
      <c r="E648" s="329"/>
      <c r="F648" s="330"/>
      <c r="G648" s="331" t="s">
        <v>14</v>
      </c>
      <c r="H648" s="332"/>
      <c r="I648" s="332"/>
      <c r="J648" s="332"/>
      <c r="K648" s="333"/>
      <c r="L648" s="320" t="s">
        <v>30</v>
      </c>
      <c r="N648" s="5" t="s">
        <v>0</v>
      </c>
      <c r="O648" s="328" t="s">
        <v>202</v>
      </c>
      <c r="P648" s="329"/>
      <c r="Q648" s="329"/>
      <c r="R648" s="329"/>
      <c r="S648" s="330"/>
      <c r="T648" s="331" t="s">
        <v>203</v>
      </c>
      <c r="U648" s="332"/>
      <c r="V648" s="332"/>
      <c r="W648" s="332"/>
      <c r="X648" s="333"/>
      <c r="Y648" s="320" t="s">
        <v>30</v>
      </c>
    </row>
    <row r="649" spans="1:27" ht="14.25" thickBot="1" x14ac:dyDescent="0.2">
      <c r="A649" s="5" t="s">
        <v>1</v>
      </c>
      <c r="B649" s="3" t="s">
        <v>22</v>
      </c>
      <c r="C649" s="28" t="s">
        <v>23</v>
      </c>
      <c r="D649" s="4" t="s">
        <v>24</v>
      </c>
      <c r="E649" s="15" t="s">
        <v>25</v>
      </c>
      <c r="F649" s="19" t="s">
        <v>2</v>
      </c>
      <c r="G649" s="3" t="s">
        <v>22</v>
      </c>
      <c r="H649" s="28" t="s">
        <v>23</v>
      </c>
      <c r="I649" s="4" t="s">
        <v>24</v>
      </c>
      <c r="J649" s="15" t="s">
        <v>25</v>
      </c>
      <c r="K649" s="19" t="s">
        <v>2</v>
      </c>
      <c r="L649" s="321"/>
      <c r="N649" s="5" t="s">
        <v>1</v>
      </c>
      <c r="O649" s="3" t="s">
        <v>22</v>
      </c>
      <c r="P649" s="28" t="s">
        <v>23</v>
      </c>
      <c r="Q649" s="4" t="s">
        <v>24</v>
      </c>
      <c r="R649" s="15" t="s">
        <v>25</v>
      </c>
      <c r="S649" s="19" t="s">
        <v>2</v>
      </c>
      <c r="T649" s="3" t="s">
        <v>22</v>
      </c>
      <c r="U649" s="28" t="s">
        <v>23</v>
      </c>
      <c r="V649" s="4" t="s">
        <v>24</v>
      </c>
      <c r="W649" s="15" t="s">
        <v>25</v>
      </c>
      <c r="X649" s="19" t="s">
        <v>2</v>
      </c>
      <c r="Y649" s="321"/>
    </row>
    <row r="650" spans="1:27" x14ac:dyDescent="0.15">
      <c r="A650" s="78" t="s">
        <v>10</v>
      </c>
      <c r="B650" s="79">
        <f>B644</f>
        <v>3</v>
      </c>
      <c r="C650" s="80">
        <f>C644</f>
        <v>7</v>
      </c>
      <c r="D650" s="80">
        <f>D644</f>
        <v>6</v>
      </c>
      <c r="E650" s="81">
        <f>E644</f>
        <v>4</v>
      </c>
      <c r="F650" s="82">
        <f>SUM(B650:E650)</f>
        <v>20</v>
      </c>
      <c r="G650" s="79">
        <f>G644</f>
        <v>4</v>
      </c>
      <c r="H650" s="80">
        <f>H644</f>
        <v>5</v>
      </c>
      <c r="I650" s="80">
        <f>I644</f>
        <v>5</v>
      </c>
      <c r="J650" s="81">
        <f>J644</f>
        <v>6</v>
      </c>
      <c r="K650" s="82">
        <f>SUM(G650:J650)</f>
        <v>20</v>
      </c>
      <c r="L650" s="98">
        <f>F650+K650</f>
        <v>40</v>
      </c>
      <c r="N650" s="78" t="s">
        <v>10</v>
      </c>
      <c r="O650" s="79">
        <f>O644</f>
        <v>160</v>
      </c>
      <c r="P650" s="80">
        <f>P644</f>
        <v>205</v>
      </c>
      <c r="Q650" s="80">
        <f>Q644</f>
        <v>136</v>
      </c>
      <c r="R650" s="81">
        <f>R644</f>
        <v>139</v>
      </c>
      <c r="S650" s="82">
        <f>SUM(O650:R650)</f>
        <v>640</v>
      </c>
      <c r="T650" s="79">
        <f>T644</f>
        <v>97</v>
      </c>
      <c r="U650" s="80">
        <f>U644</f>
        <v>129</v>
      </c>
      <c r="V650" s="80">
        <f>V644</f>
        <v>114</v>
      </c>
      <c r="W650" s="81">
        <f>W644</f>
        <v>130</v>
      </c>
      <c r="X650" s="82">
        <f>SUM(T650:W650)</f>
        <v>470</v>
      </c>
      <c r="Y650" s="98">
        <f>S650+X650</f>
        <v>1110</v>
      </c>
    </row>
    <row r="651" spans="1:27" x14ac:dyDescent="0.15">
      <c r="A651" s="254" t="s">
        <v>3</v>
      </c>
      <c r="B651" s="262">
        <v>3</v>
      </c>
      <c r="C651" s="263"/>
      <c r="D651" s="264"/>
      <c r="E651" s="265"/>
      <c r="F651" s="266">
        <f>SUM(B651:E651)</f>
        <v>3</v>
      </c>
      <c r="G651" s="262"/>
      <c r="H651" s="263"/>
      <c r="I651" s="264"/>
      <c r="J651" s="265"/>
      <c r="K651" s="266">
        <f>SUM(G651:J651)</f>
        <v>0</v>
      </c>
      <c r="L651" s="267">
        <f t="shared" ref="L651:L682" si="614">F651+K651</f>
        <v>3</v>
      </c>
      <c r="M651" s="261">
        <v>46162</v>
      </c>
      <c r="N651" s="12" t="s">
        <v>11</v>
      </c>
      <c r="O651" s="16"/>
      <c r="P651" s="29"/>
      <c r="Q651" s="17"/>
      <c r="R651" s="20"/>
      <c r="S651" s="45">
        <f>SUM(O651:R651)</f>
        <v>0</v>
      </c>
      <c r="T651" s="16"/>
      <c r="U651" s="29"/>
      <c r="V651" s="17"/>
      <c r="W651" s="20"/>
      <c r="X651" s="45">
        <f>SUM(T651:W651)</f>
        <v>0</v>
      </c>
      <c r="Y651" s="100">
        <f t="shared" ref="Y651:Y682" si="615">S651+X651</f>
        <v>0</v>
      </c>
      <c r="Z651" s="157"/>
    </row>
    <row r="652" spans="1:27" x14ac:dyDescent="0.15">
      <c r="A652" s="12" t="s">
        <v>360</v>
      </c>
      <c r="B652" s="6"/>
      <c r="C652" s="18"/>
      <c r="D652" s="7"/>
      <c r="E652" s="8"/>
      <c r="F652" s="9">
        <f>SUM(B652:E652)</f>
        <v>0</v>
      </c>
      <c r="G652" s="6"/>
      <c r="H652" s="18"/>
      <c r="I652" s="7">
        <v>1</v>
      </c>
      <c r="J652" s="8"/>
      <c r="K652" s="9">
        <f>SUM(G652:J652)</f>
        <v>1</v>
      </c>
      <c r="L652" s="100">
        <f t="shared" si="614"/>
        <v>1</v>
      </c>
      <c r="M652" s="58">
        <v>46157</v>
      </c>
      <c r="N652" s="90" t="s">
        <v>3</v>
      </c>
      <c r="O652" s="91">
        <v>0</v>
      </c>
      <c r="P652" s="92">
        <v>0</v>
      </c>
      <c r="Q652" s="93">
        <v>0</v>
      </c>
      <c r="R652" s="94">
        <v>0</v>
      </c>
      <c r="S652" s="95">
        <f>SUM(O652:R652)</f>
        <v>0</v>
      </c>
      <c r="T652" s="91">
        <v>0</v>
      </c>
      <c r="U652" s="92">
        <v>0</v>
      </c>
      <c r="V652" s="93">
        <v>60</v>
      </c>
      <c r="W652" s="94">
        <v>40</v>
      </c>
      <c r="X652" s="95">
        <f>SUM(T652:W652)</f>
        <v>100</v>
      </c>
      <c r="Y652" s="106">
        <f t="shared" ref="Y652" si="616">S652+X652</f>
        <v>100</v>
      </c>
      <c r="Z652" s="159" t="s">
        <v>1234</v>
      </c>
    </row>
    <row r="653" spans="1:27" x14ac:dyDescent="0.15">
      <c r="A653" s="12" t="s">
        <v>5</v>
      </c>
      <c r="B653" s="6"/>
      <c r="C653" s="18"/>
      <c r="D653" s="7"/>
      <c r="E653" s="8"/>
      <c r="F653" s="9">
        <f>SUM(B653:E653)</f>
        <v>0</v>
      </c>
      <c r="G653" s="6">
        <v>3</v>
      </c>
      <c r="H653" s="18">
        <v>3</v>
      </c>
      <c r="I653" s="7"/>
      <c r="J653" s="8"/>
      <c r="K653" s="9">
        <f>SUM(G653:J653)</f>
        <v>6</v>
      </c>
      <c r="L653" s="100">
        <f t="shared" si="614"/>
        <v>6</v>
      </c>
      <c r="M653" s="56">
        <v>46169</v>
      </c>
      <c r="N653" s="90" t="s">
        <v>1180</v>
      </c>
      <c r="O653" s="91">
        <v>2</v>
      </c>
      <c r="P653" s="92">
        <v>7</v>
      </c>
      <c r="Q653" s="93">
        <v>6</v>
      </c>
      <c r="R653" s="94">
        <v>7</v>
      </c>
      <c r="S653" s="95">
        <f>SUM(O653:R653)</f>
        <v>22</v>
      </c>
      <c r="T653" s="91">
        <v>-5</v>
      </c>
      <c r="U653" s="92">
        <v>2</v>
      </c>
      <c r="V653" s="93">
        <v>-1</v>
      </c>
      <c r="W653" s="94">
        <v>-1</v>
      </c>
      <c r="X653" s="95">
        <f>SUM(T653:W653)</f>
        <v>-5</v>
      </c>
      <c r="Y653" s="106">
        <f t="shared" si="615"/>
        <v>17</v>
      </c>
      <c r="Z653" s="227" t="s">
        <v>1181</v>
      </c>
    </row>
    <row r="654" spans="1:27" ht="14.25" thickBot="1" x14ac:dyDescent="0.2">
      <c r="A654" s="12" t="s">
        <v>66</v>
      </c>
      <c r="B654" s="6"/>
      <c r="C654" s="18"/>
      <c r="D654" s="7">
        <v>1</v>
      </c>
      <c r="E654" s="8">
        <v>1</v>
      </c>
      <c r="F654" s="10">
        <f>SUM(B654:E654)</f>
        <v>2</v>
      </c>
      <c r="G654" s="6"/>
      <c r="H654" s="18"/>
      <c r="I654" s="7"/>
      <c r="J654" s="8"/>
      <c r="K654" s="10">
        <f>SUM(G654:J654)</f>
        <v>0</v>
      </c>
      <c r="L654" s="101">
        <f t="shared" si="614"/>
        <v>2</v>
      </c>
      <c r="M654" s="58">
        <v>46168</v>
      </c>
      <c r="N654" s="12" t="s">
        <v>6</v>
      </c>
      <c r="O654" s="16"/>
      <c r="P654" s="29"/>
      <c r="Q654" s="17"/>
      <c r="R654" s="20"/>
      <c r="S654" s="45">
        <f>SUM(O654:R654)</f>
        <v>0</v>
      </c>
      <c r="T654" s="16"/>
      <c r="U654" s="29"/>
      <c r="V654" s="17"/>
      <c r="W654" s="20"/>
      <c r="X654" s="45">
        <f>SUM(T654:W654)</f>
        <v>0</v>
      </c>
      <c r="Y654" s="100">
        <f t="shared" si="615"/>
        <v>0</v>
      </c>
      <c r="Z654" s="56"/>
      <c r="AA654" s="227"/>
    </row>
    <row r="655" spans="1:27" ht="14.25" thickBot="1" x14ac:dyDescent="0.2">
      <c r="A655" s="14" t="s">
        <v>7</v>
      </c>
      <c r="B655" s="62">
        <f t="shared" ref="B655:K655" si="617">SUM(B650:B654)</f>
        <v>6</v>
      </c>
      <c r="C655" s="63">
        <f t="shared" si="617"/>
        <v>7</v>
      </c>
      <c r="D655" s="64">
        <f t="shared" si="617"/>
        <v>7</v>
      </c>
      <c r="E655" s="65">
        <f t="shared" si="617"/>
        <v>5</v>
      </c>
      <c r="F655" s="66">
        <f t="shared" si="617"/>
        <v>25</v>
      </c>
      <c r="G655" s="62">
        <f t="shared" si="617"/>
        <v>7</v>
      </c>
      <c r="H655" s="63">
        <f t="shared" si="617"/>
        <v>8</v>
      </c>
      <c r="I655" s="64">
        <f t="shared" si="617"/>
        <v>6</v>
      </c>
      <c r="J655" s="65">
        <f t="shared" si="617"/>
        <v>6</v>
      </c>
      <c r="K655" s="66">
        <f t="shared" si="617"/>
        <v>27</v>
      </c>
      <c r="L655" s="102">
        <f t="shared" si="614"/>
        <v>52</v>
      </c>
      <c r="N655" s="13" t="s">
        <v>7</v>
      </c>
      <c r="O655" s="25">
        <f t="shared" ref="O655:X655" si="618">SUM(O650:O654)</f>
        <v>162</v>
      </c>
      <c r="P655" s="31">
        <f t="shared" si="618"/>
        <v>212</v>
      </c>
      <c r="Q655" s="26">
        <f t="shared" si="618"/>
        <v>142</v>
      </c>
      <c r="R655" s="67">
        <f t="shared" si="618"/>
        <v>146</v>
      </c>
      <c r="S655" s="68">
        <f t="shared" si="618"/>
        <v>662</v>
      </c>
      <c r="T655" s="25">
        <f t="shared" si="618"/>
        <v>92</v>
      </c>
      <c r="U655" s="31">
        <f t="shared" si="618"/>
        <v>131</v>
      </c>
      <c r="V655" s="26">
        <f t="shared" si="618"/>
        <v>173</v>
      </c>
      <c r="W655" s="67">
        <f t="shared" si="618"/>
        <v>169</v>
      </c>
      <c r="X655" s="68">
        <f t="shared" si="618"/>
        <v>565</v>
      </c>
      <c r="Y655" s="102">
        <f t="shared" si="615"/>
        <v>1227</v>
      </c>
      <c r="Z655" s="227"/>
    </row>
    <row r="656" spans="1:27" x14ac:dyDescent="0.15">
      <c r="A656" s="47" t="s">
        <v>45</v>
      </c>
      <c r="B656" s="41"/>
      <c r="C656" s="42"/>
      <c r="D656" s="43"/>
      <c r="E656" s="44"/>
      <c r="F656" s="70">
        <f t="shared" ref="F656:F681" si="619">SUM(B656:E656)</f>
        <v>0</v>
      </c>
      <c r="G656" s="41"/>
      <c r="H656" s="42">
        <v>1</v>
      </c>
      <c r="I656" s="43"/>
      <c r="J656" s="44"/>
      <c r="K656" s="70">
        <f t="shared" ref="K656:K680" si="620">SUM(G656:J656)</f>
        <v>1</v>
      </c>
      <c r="L656" s="103">
        <f t="shared" si="614"/>
        <v>1</v>
      </c>
      <c r="M656" s="58">
        <v>46160</v>
      </c>
      <c r="N656" s="33" t="s">
        <v>1218</v>
      </c>
      <c r="O656" s="16"/>
      <c r="P656" s="29">
        <v>3</v>
      </c>
      <c r="Q656" s="17"/>
      <c r="R656" s="32"/>
      <c r="S656" s="9">
        <f t="shared" ref="S656:S661" si="621">SUM(O656:R656)</f>
        <v>3</v>
      </c>
      <c r="T656" s="16"/>
      <c r="U656" s="29"/>
      <c r="V656" s="17"/>
      <c r="W656" s="32"/>
      <c r="X656" s="9">
        <f t="shared" ref="X656:X661" si="622">SUM(T656:W656)</f>
        <v>0</v>
      </c>
      <c r="Y656" s="104">
        <f t="shared" si="615"/>
        <v>3</v>
      </c>
      <c r="Z656" s="58">
        <v>46172</v>
      </c>
    </row>
    <row r="657" spans="1:28" x14ac:dyDescent="0.15">
      <c r="A657" s="47" t="s">
        <v>1190</v>
      </c>
      <c r="B657" s="16"/>
      <c r="C657" s="29"/>
      <c r="D657" s="17">
        <v>1</v>
      </c>
      <c r="E657" s="20"/>
      <c r="F657" s="45">
        <f t="shared" si="619"/>
        <v>1</v>
      </c>
      <c r="G657" s="16"/>
      <c r="H657" s="29"/>
      <c r="I657" s="17"/>
      <c r="J657" s="20"/>
      <c r="K657" s="45">
        <f t="shared" si="620"/>
        <v>0</v>
      </c>
      <c r="L657" s="104">
        <f t="shared" si="614"/>
        <v>1</v>
      </c>
      <c r="M657" s="56">
        <v>46163</v>
      </c>
      <c r="N657" s="11" t="s">
        <v>1221</v>
      </c>
      <c r="O657" s="16">
        <v>3</v>
      </c>
      <c r="P657" s="29">
        <v>1</v>
      </c>
      <c r="Q657" s="17">
        <v>8</v>
      </c>
      <c r="R657" s="32"/>
      <c r="S657" s="9">
        <f t="shared" si="621"/>
        <v>12</v>
      </c>
      <c r="T657" s="16"/>
      <c r="U657" s="29">
        <v>8</v>
      </c>
      <c r="V657" s="17"/>
      <c r="W657" s="32"/>
      <c r="X657" s="9">
        <f t="shared" si="622"/>
        <v>8</v>
      </c>
      <c r="Y657" s="104">
        <f t="shared" si="615"/>
        <v>20</v>
      </c>
      <c r="Z657" s="56">
        <v>46181</v>
      </c>
    </row>
    <row r="658" spans="1:28" x14ac:dyDescent="0.15">
      <c r="A658" s="47" t="s">
        <v>45</v>
      </c>
      <c r="B658" s="16"/>
      <c r="C658" s="29"/>
      <c r="D658" s="17"/>
      <c r="E658" s="20"/>
      <c r="F658" s="45">
        <f t="shared" si="619"/>
        <v>0</v>
      </c>
      <c r="G658" s="16"/>
      <c r="H658" s="29"/>
      <c r="I658" s="17">
        <v>1</v>
      </c>
      <c r="J658" s="20"/>
      <c r="K658" s="45">
        <f t="shared" si="620"/>
        <v>1</v>
      </c>
      <c r="L658" s="104">
        <f t="shared" si="614"/>
        <v>1</v>
      </c>
      <c r="M658" s="56">
        <v>46161</v>
      </c>
      <c r="N658" s="268" t="s">
        <v>949</v>
      </c>
      <c r="O658" s="255"/>
      <c r="P658" s="256">
        <v>3</v>
      </c>
      <c r="Q658" s="257">
        <v>3</v>
      </c>
      <c r="R658" s="269">
        <v>3</v>
      </c>
      <c r="S658" s="270">
        <f t="shared" si="621"/>
        <v>9</v>
      </c>
      <c r="T658" s="255"/>
      <c r="U658" s="256">
        <v>3</v>
      </c>
      <c r="V658" s="257">
        <v>3</v>
      </c>
      <c r="W658" s="269">
        <v>3</v>
      </c>
      <c r="X658" s="270">
        <f t="shared" si="622"/>
        <v>9</v>
      </c>
      <c r="Y658" s="260">
        <f t="shared" si="615"/>
        <v>18</v>
      </c>
      <c r="Z658" s="261">
        <v>46177</v>
      </c>
    </row>
    <row r="659" spans="1:28" x14ac:dyDescent="0.15">
      <c r="A659" s="47" t="s">
        <v>1192</v>
      </c>
      <c r="B659" s="16"/>
      <c r="C659" s="29"/>
      <c r="D659" s="17"/>
      <c r="E659" s="20">
        <v>1</v>
      </c>
      <c r="F659" s="45">
        <f t="shared" si="619"/>
        <v>1</v>
      </c>
      <c r="G659" s="16"/>
      <c r="H659" s="29"/>
      <c r="I659" s="17">
        <v>1</v>
      </c>
      <c r="J659" s="20"/>
      <c r="K659" s="45">
        <f t="shared" si="620"/>
        <v>1</v>
      </c>
      <c r="L659" s="104">
        <f t="shared" si="614"/>
        <v>2</v>
      </c>
      <c r="M659" s="56">
        <v>46164</v>
      </c>
      <c r="N659" s="11" t="s">
        <v>1236</v>
      </c>
      <c r="O659" s="16"/>
      <c r="P659" s="29">
        <v>4</v>
      </c>
      <c r="Q659" s="17">
        <v>2</v>
      </c>
      <c r="R659" s="32"/>
      <c r="S659" s="9">
        <f t="shared" si="621"/>
        <v>6</v>
      </c>
      <c r="T659" s="16"/>
      <c r="U659" s="29"/>
      <c r="V659" s="17"/>
      <c r="W659" s="32">
        <v>2</v>
      </c>
      <c r="X659" s="9">
        <f t="shared" si="622"/>
        <v>2</v>
      </c>
      <c r="Y659" s="104">
        <f t="shared" si="615"/>
        <v>8</v>
      </c>
      <c r="Z659" s="56">
        <v>46185</v>
      </c>
      <c r="AA659" s="35"/>
      <c r="AB659" s="35"/>
    </row>
    <row r="660" spans="1:28" x14ac:dyDescent="0.15">
      <c r="A660" s="47" t="s">
        <v>1195</v>
      </c>
      <c r="B660" s="16"/>
      <c r="C660" s="29"/>
      <c r="D660" s="17">
        <v>1</v>
      </c>
      <c r="E660" s="20"/>
      <c r="F660" s="45">
        <f t="shared" si="619"/>
        <v>1</v>
      </c>
      <c r="G660" s="16"/>
      <c r="H660" s="29">
        <v>1</v>
      </c>
      <c r="I660" s="17"/>
      <c r="J660" s="20"/>
      <c r="K660" s="45">
        <f t="shared" si="620"/>
        <v>1</v>
      </c>
      <c r="L660" s="104">
        <f t="shared" si="614"/>
        <v>2</v>
      </c>
      <c r="M660" s="56">
        <v>46165</v>
      </c>
      <c r="N660" s="268" t="s">
        <v>822</v>
      </c>
      <c r="O660" s="255"/>
      <c r="P660" s="256"/>
      <c r="Q660" s="257"/>
      <c r="R660" s="269"/>
      <c r="S660" s="270">
        <f t="shared" si="621"/>
        <v>0</v>
      </c>
      <c r="T660" s="255">
        <v>3</v>
      </c>
      <c r="U660" s="256">
        <v>3</v>
      </c>
      <c r="V660" s="257">
        <v>5</v>
      </c>
      <c r="W660" s="269"/>
      <c r="X660" s="270">
        <f t="shared" si="622"/>
        <v>11</v>
      </c>
      <c r="Y660" s="260">
        <f t="shared" si="615"/>
        <v>11</v>
      </c>
      <c r="Z660" s="261">
        <v>46189</v>
      </c>
    </row>
    <row r="661" spans="1:28" x14ac:dyDescent="0.15">
      <c r="A661" s="47" t="s">
        <v>45</v>
      </c>
      <c r="B661" s="16"/>
      <c r="C661" s="29"/>
      <c r="D661" s="17"/>
      <c r="E661" s="20"/>
      <c r="F661" s="45">
        <f t="shared" si="619"/>
        <v>0</v>
      </c>
      <c r="G661" s="16">
        <v>1</v>
      </c>
      <c r="H661" s="29"/>
      <c r="I661" s="17"/>
      <c r="J661" s="20"/>
      <c r="K661" s="45">
        <f t="shared" si="620"/>
        <v>1</v>
      </c>
      <c r="L661" s="104">
        <f t="shared" si="614"/>
        <v>1</v>
      </c>
      <c r="M661" s="56">
        <v>46163</v>
      </c>
      <c r="N661" s="33" t="s">
        <v>822</v>
      </c>
      <c r="O661" s="16"/>
      <c r="P661" s="29"/>
      <c r="Q661" s="17"/>
      <c r="R661" s="32"/>
      <c r="S661" s="9">
        <f t="shared" si="621"/>
        <v>0</v>
      </c>
      <c r="T661" s="16"/>
      <c r="U661" s="29">
        <v>5</v>
      </c>
      <c r="V661" s="17"/>
      <c r="W661" s="32"/>
      <c r="X661" s="9">
        <f t="shared" si="622"/>
        <v>5</v>
      </c>
      <c r="Y661" s="104">
        <f t="shared" si="615"/>
        <v>5</v>
      </c>
      <c r="Z661" s="56">
        <v>46191</v>
      </c>
      <c r="AA661" s="35"/>
      <c r="AB661" s="35"/>
    </row>
    <row r="662" spans="1:28" x14ac:dyDescent="0.15">
      <c r="A662" s="47" t="s">
        <v>1202</v>
      </c>
      <c r="B662" s="16"/>
      <c r="C662" s="29">
        <v>1</v>
      </c>
      <c r="D662" s="17"/>
      <c r="E662" s="20"/>
      <c r="F662" s="45">
        <f t="shared" si="619"/>
        <v>1</v>
      </c>
      <c r="G662" s="16"/>
      <c r="H662" s="29"/>
      <c r="I662" s="17"/>
      <c r="J662" s="20"/>
      <c r="K662" s="45">
        <f t="shared" si="620"/>
        <v>0</v>
      </c>
      <c r="L662" s="104">
        <f t="shared" si="614"/>
        <v>1</v>
      </c>
      <c r="M662" s="56">
        <v>46167</v>
      </c>
      <c r="N662" s="183" t="s">
        <v>822</v>
      </c>
      <c r="O662" s="91">
        <v>5</v>
      </c>
      <c r="P662" s="92">
        <v>5</v>
      </c>
      <c r="Q662" s="93"/>
      <c r="R662" s="96"/>
      <c r="S662" s="97">
        <f>SUM(O662:R662)</f>
        <v>10</v>
      </c>
      <c r="T662" s="91"/>
      <c r="U662" s="92"/>
      <c r="V662" s="93"/>
      <c r="W662" s="96">
        <v>5</v>
      </c>
      <c r="X662" s="97">
        <f>SUM(T662:W662)</f>
        <v>5</v>
      </c>
      <c r="Y662" s="107">
        <f t="shared" si="615"/>
        <v>15</v>
      </c>
      <c r="Z662" s="159">
        <v>46192</v>
      </c>
      <c r="AA662" s="35"/>
      <c r="AB662" s="35"/>
    </row>
    <row r="663" spans="1:28" x14ac:dyDescent="0.15">
      <c r="A663" s="47" t="s">
        <v>45</v>
      </c>
      <c r="B663" s="16"/>
      <c r="C663" s="29"/>
      <c r="D663" s="17"/>
      <c r="E663" s="20"/>
      <c r="F663" s="45">
        <f t="shared" si="619"/>
        <v>0</v>
      </c>
      <c r="G663" s="16"/>
      <c r="H663" s="29"/>
      <c r="I663" s="17">
        <v>1</v>
      </c>
      <c r="J663" s="20"/>
      <c r="K663" s="45">
        <f t="shared" si="620"/>
        <v>1</v>
      </c>
      <c r="L663" s="104">
        <f t="shared" si="614"/>
        <v>1</v>
      </c>
      <c r="M663" s="58">
        <v>46164</v>
      </c>
      <c r="N663" s="33"/>
      <c r="O663" s="16"/>
      <c r="P663" s="29"/>
      <c r="Q663" s="17"/>
      <c r="R663" s="32"/>
      <c r="S663" s="9">
        <f t="shared" ref="S663:S667" si="623">SUM(O663:R663)</f>
        <v>0</v>
      </c>
      <c r="T663" s="16"/>
      <c r="U663" s="29"/>
      <c r="V663" s="17"/>
      <c r="W663" s="32"/>
      <c r="X663" s="9">
        <f t="shared" ref="X663:X667" si="624">SUM(T663:W663)</f>
        <v>0</v>
      </c>
      <c r="Y663" s="104">
        <f t="shared" si="615"/>
        <v>0</v>
      </c>
      <c r="Z663" s="157"/>
      <c r="AA663" s="35"/>
      <c r="AB663" s="35"/>
    </row>
    <row r="664" spans="1:28" x14ac:dyDescent="0.15">
      <c r="A664" s="47" t="s">
        <v>1206</v>
      </c>
      <c r="B664" s="16"/>
      <c r="C664" s="29">
        <v>2</v>
      </c>
      <c r="D664" s="17">
        <v>1</v>
      </c>
      <c r="E664" s="20"/>
      <c r="F664" s="45">
        <f t="shared" si="619"/>
        <v>3</v>
      </c>
      <c r="G664" s="16">
        <v>1</v>
      </c>
      <c r="H664" s="29">
        <v>1</v>
      </c>
      <c r="I664" s="17"/>
      <c r="J664" s="20"/>
      <c r="K664" s="45">
        <f t="shared" si="620"/>
        <v>2</v>
      </c>
      <c r="L664" s="104">
        <f t="shared" si="614"/>
        <v>5</v>
      </c>
      <c r="M664" s="56">
        <v>46170</v>
      </c>
      <c r="N664" s="33"/>
      <c r="O664" s="16"/>
      <c r="P664" s="29"/>
      <c r="Q664" s="17"/>
      <c r="R664" s="32"/>
      <c r="S664" s="9">
        <f t="shared" si="623"/>
        <v>0</v>
      </c>
      <c r="T664" s="16"/>
      <c r="U664" s="29"/>
      <c r="V664" s="17"/>
      <c r="W664" s="32"/>
      <c r="X664" s="9">
        <f t="shared" si="624"/>
        <v>0</v>
      </c>
      <c r="Y664" s="104">
        <f t="shared" si="615"/>
        <v>0</v>
      </c>
    </row>
    <row r="665" spans="1:28" x14ac:dyDescent="0.15">
      <c r="A665" s="33" t="s">
        <v>45</v>
      </c>
      <c r="B665" s="16"/>
      <c r="C665" s="29"/>
      <c r="D665" s="17"/>
      <c r="E665" s="20"/>
      <c r="F665" s="45">
        <f t="shared" si="619"/>
        <v>0</v>
      </c>
      <c r="G665" s="16"/>
      <c r="H665" s="29"/>
      <c r="I665" s="17"/>
      <c r="J665" s="20">
        <v>1</v>
      </c>
      <c r="K665" s="45">
        <f t="shared" si="620"/>
        <v>1</v>
      </c>
      <c r="L665" s="104">
        <f t="shared" si="614"/>
        <v>1</v>
      </c>
      <c r="M665" s="58">
        <v>46168</v>
      </c>
      <c r="N665" s="33"/>
      <c r="O665" s="16"/>
      <c r="P665" s="29"/>
      <c r="Q665" s="17"/>
      <c r="R665" s="32"/>
      <c r="S665" s="9">
        <f t="shared" si="623"/>
        <v>0</v>
      </c>
      <c r="T665" s="16"/>
      <c r="U665" s="29"/>
      <c r="V665" s="17"/>
      <c r="W665" s="32"/>
      <c r="X665" s="9">
        <f t="shared" si="624"/>
        <v>0</v>
      </c>
      <c r="Y665" s="104">
        <f t="shared" si="615"/>
        <v>0</v>
      </c>
    </row>
    <row r="666" spans="1:28" x14ac:dyDescent="0.15">
      <c r="A666" s="47" t="s">
        <v>1213</v>
      </c>
      <c r="B666" s="16"/>
      <c r="C666" s="29">
        <v>1</v>
      </c>
      <c r="D666" s="17"/>
      <c r="E666" s="20"/>
      <c r="F666" s="45">
        <f t="shared" si="619"/>
        <v>1</v>
      </c>
      <c r="G666" s="16"/>
      <c r="H666" s="29">
        <v>1</v>
      </c>
      <c r="I666" s="17"/>
      <c r="J666" s="20"/>
      <c r="K666" s="45">
        <f t="shared" si="620"/>
        <v>1</v>
      </c>
      <c r="L666" s="104">
        <f t="shared" si="614"/>
        <v>2</v>
      </c>
      <c r="M666" s="56">
        <v>46171</v>
      </c>
      <c r="N666" s="33"/>
      <c r="O666" s="16"/>
      <c r="P666" s="29"/>
      <c r="Q666" s="17"/>
      <c r="R666" s="32"/>
      <c r="S666" s="9">
        <f t="shared" si="623"/>
        <v>0</v>
      </c>
      <c r="T666" s="16"/>
      <c r="U666" s="29"/>
      <c r="V666" s="17"/>
      <c r="W666" s="32"/>
      <c r="X666" s="9">
        <f t="shared" si="624"/>
        <v>0</v>
      </c>
      <c r="Y666" s="104">
        <f t="shared" si="615"/>
        <v>0</v>
      </c>
    </row>
    <row r="667" spans="1:28" x14ac:dyDescent="0.15">
      <c r="A667" s="47" t="s">
        <v>1216</v>
      </c>
      <c r="B667" s="16"/>
      <c r="C667" s="29">
        <v>1</v>
      </c>
      <c r="D667" s="17"/>
      <c r="E667" s="20"/>
      <c r="F667" s="45">
        <f t="shared" si="619"/>
        <v>1</v>
      </c>
      <c r="G667" s="16"/>
      <c r="H667" s="29"/>
      <c r="I667" s="17"/>
      <c r="J667" s="20"/>
      <c r="K667" s="45">
        <f t="shared" si="620"/>
        <v>0</v>
      </c>
      <c r="L667" s="104">
        <f t="shared" si="614"/>
        <v>1</v>
      </c>
      <c r="M667" s="56">
        <v>46174</v>
      </c>
      <c r="N667" s="72"/>
      <c r="O667" s="16"/>
      <c r="P667" s="29"/>
      <c r="Q667" s="17"/>
      <c r="R667" s="32"/>
      <c r="S667" s="9">
        <f t="shared" si="623"/>
        <v>0</v>
      </c>
      <c r="T667" s="16"/>
      <c r="U667" s="29"/>
      <c r="V667" s="17"/>
      <c r="W667" s="32"/>
      <c r="X667" s="9">
        <f t="shared" si="624"/>
        <v>0</v>
      </c>
      <c r="Y667" s="104">
        <f t="shared" si="615"/>
        <v>0</v>
      </c>
    </row>
    <row r="668" spans="1:28" x14ac:dyDescent="0.15">
      <c r="A668" s="47" t="s">
        <v>45</v>
      </c>
      <c r="B668" s="16"/>
      <c r="C668" s="29"/>
      <c r="D668" s="17"/>
      <c r="E668" s="20"/>
      <c r="F668" s="45">
        <f t="shared" si="619"/>
        <v>0</v>
      </c>
      <c r="G668" s="16"/>
      <c r="H668" s="29"/>
      <c r="I668" s="17"/>
      <c r="J668" s="20">
        <v>1</v>
      </c>
      <c r="K668" s="45">
        <f t="shared" si="620"/>
        <v>1</v>
      </c>
      <c r="L668" s="104">
        <f t="shared" si="614"/>
        <v>1</v>
      </c>
      <c r="M668" s="56">
        <v>46171</v>
      </c>
      <c r="N668" s="72"/>
      <c r="O668" s="16"/>
      <c r="P668" s="29"/>
      <c r="Q668" s="17"/>
      <c r="R668" s="32"/>
      <c r="S668" s="9">
        <f t="shared" ref="S668:S669" si="625">SUM(O668:R668)</f>
        <v>0</v>
      </c>
      <c r="T668" s="16"/>
      <c r="U668" s="29"/>
      <c r="V668" s="17"/>
      <c r="W668" s="32"/>
      <c r="X668" s="9">
        <f t="shared" ref="X668:X669" si="626">SUM(T668:W668)</f>
        <v>0</v>
      </c>
      <c r="Y668" s="104">
        <f t="shared" ref="Y668:Y669" si="627">S668+X668</f>
        <v>0</v>
      </c>
    </row>
    <row r="669" spans="1:28" x14ac:dyDescent="0.15">
      <c r="A669" s="47" t="s">
        <v>1217</v>
      </c>
      <c r="B669" s="16"/>
      <c r="C669" s="29">
        <v>-3</v>
      </c>
      <c r="D669" s="17"/>
      <c r="E669" s="20"/>
      <c r="F669" s="45">
        <f t="shared" si="619"/>
        <v>-3</v>
      </c>
      <c r="G669" s="16"/>
      <c r="H669" s="29"/>
      <c r="I669" s="17"/>
      <c r="J669" s="20"/>
      <c r="K669" s="45">
        <f t="shared" si="620"/>
        <v>0</v>
      </c>
      <c r="L669" s="104">
        <f t="shared" si="614"/>
        <v>-3</v>
      </c>
      <c r="M669" s="58">
        <v>46172</v>
      </c>
      <c r="N669" s="72"/>
      <c r="O669" s="16"/>
      <c r="P669" s="29"/>
      <c r="Q669" s="17"/>
      <c r="R669" s="32"/>
      <c r="S669" s="9">
        <f t="shared" si="625"/>
        <v>0</v>
      </c>
      <c r="T669" s="16"/>
      <c r="U669" s="29"/>
      <c r="V669" s="17"/>
      <c r="W669" s="32"/>
      <c r="X669" s="9">
        <f t="shared" si="626"/>
        <v>0</v>
      </c>
      <c r="Y669" s="104">
        <f t="shared" si="627"/>
        <v>0</v>
      </c>
    </row>
    <row r="670" spans="1:28" x14ac:dyDescent="0.15">
      <c r="A670" s="33" t="s">
        <v>45</v>
      </c>
      <c r="B670" s="16"/>
      <c r="C670" s="29">
        <v>1</v>
      </c>
      <c r="D670" s="17"/>
      <c r="E670" s="20"/>
      <c r="F670" s="45">
        <f t="shared" si="619"/>
        <v>1</v>
      </c>
      <c r="G670" s="16"/>
      <c r="H670" s="29"/>
      <c r="I670" s="17"/>
      <c r="J670" s="20"/>
      <c r="K670" s="45">
        <f t="shared" si="620"/>
        <v>0</v>
      </c>
      <c r="L670" s="104">
        <f t="shared" si="614"/>
        <v>1</v>
      </c>
      <c r="M670" s="58">
        <v>46174</v>
      </c>
      <c r="N670" s="72"/>
      <c r="O670" s="16"/>
      <c r="P670" s="29"/>
      <c r="Q670" s="17"/>
      <c r="R670" s="32"/>
      <c r="S670" s="9">
        <f t="shared" ref="S670:S674" si="628">SUM(O670:R670)</f>
        <v>0</v>
      </c>
      <c r="T670" s="16"/>
      <c r="U670" s="29"/>
      <c r="V670" s="17"/>
      <c r="W670" s="32"/>
      <c r="X670" s="9">
        <f t="shared" ref="X670:X674" si="629">SUM(T670:W670)</f>
        <v>0</v>
      </c>
      <c r="Y670" s="104">
        <f t="shared" ref="Y670:Y674" si="630">S670+X670</f>
        <v>0</v>
      </c>
    </row>
    <row r="671" spans="1:28" x14ac:dyDescent="0.15">
      <c r="A671" s="47" t="s">
        <v>1222</v>
      </c>
      <c r="B671" s="16"/>
      <c r="C671" s="29">
        <v>2</v>
      </c>
      <c r="D671" s="17">
        <v>1</v>
      </c>
      <c r="E671" s="20"/>
      <c r="F671" s="45">
        <f t="shared" si="619"/>
        <v>3</v>
      </c>
      <c r="G671" s="16"/>
      <c r="H671" s="29">
        <v>1</v>
      </c>
      <c r="I671" s="17"/>
      <c r="J671" s="20">
        <v>1</v>
      </c>
      <c r="K671" s="45">
        <f t="shared" si="620"/>
        <v>2</v>
      </c>
      <c r="L671" s="104">
        <f t="shared" si="614"/>
        <v>5</v>
      </c>
      <c r="M671" s="56">
        <v>46177</v>
      </c>
      <c r="N671" s="72"/>
      <c r="O671" s="16"/>
      <c r="P671" s="29"/>
      <c r="Q671" s="17"/>
      <c r="R671" s="32"/>
      <c r="S671" s="9">
        <f t="shared" si="628"/>
        <v>0</v>
      </c>
      <c r="T671" s="16"/>
      <c r="U671" s="29"/>
      <c r="V671" s="17"/>
      <c r="W671" s="32"/>
      <c r="X671" s="9">
        <f t="shared" si="629"/>
        <v>0</v>
      </c>
      <c r="Y671" s="104">
        <f t="shared" si="630"/>
        <v>0</v>
      </c>
    </row>
    <row r="672" spans="1:28" x14ac:dyDescent="0.15">
      <c r="A672" s="47" t="s">
        <v>45</v>
      </c>
      <c r="B672" s="16"/>
      <c r="C672" s="29"/>
      <c r="D672" s="17"/>
      <c r="E672" s="20"/>
      <c r="F672" s="45">
        <f t="shared" si="619"/>
        <v>0</v>
      </c>
      <c r="G672" s="16"/>
      <c r="H672" s="29">
        <v>1</v>
      </c>
      <c r="I672" s="17"/>
      <c r="J672" s="20"/>
      <c r="K672" s="45">
        <f t="shared" si="620"/>
        <v>1</v>
      </c>
      <c r="L672" s="104">
        <f t="shared" si="614"/>
        <v>1</v>
      </c>
      <c r="M672" s="58">
        <v>46175</v>
      </c>
      <c r="N672" s="72"/>
      <c r="O672" s="16"/>
      <c r="P672" s="29"/>
      <c r="Q672" s="17"/>
      <c r="R672" s="32"/>
      <c r="S672" s="9">
        <f t="shared" si="628"/>
        <v>0</v>
      </c>
      <c r="T672" s="16"/>
      <c r="U672" s="29"/>
      <c r="V672" s="17"/>
      <c r="W672" s="32"/>
      <c r="X672" s="9">
        <f t="shared" si="629"/>
        <v>0</v>
      </c>
      <c r="Y672" s="104">
        <f t="shared" si="630"/>
        <v>0</v>
      </c>
    </row>
    <row r="673" spans="1:26" x14ac:dyDescent="0.15">
      <c r="A673" s="47" t="s">
        <v>1228</v>
      </c>
      <c r="B673" s="16">
        <v>1</v>
      </c>
      <c r="C673" s="29"/>
      <c r="D673" s="17"/>
      <c r="E673" s="20"/>
      <c r="F673" s="45">
        <f t="shared" si="619"/>
        <v>1</v>
      </c>
      <c r="G673" s="16"/>
      <c r="H673" s="29"/>
      <c r="I673" s="17"/>
      <c r="J673" s="20"/>
      <c r="K673" s="45">
        <f t="shared" si="620"/>
        <v>0</v>
      </c>
      <c r="L673" s="104">
        <f t="shared" si="614"/>
        <v>1</v>
      </c>
      <c r="M673" s="56">
        <v>46178</v>
      </c>
      <c r="N673" s="72"/>
      <c r="O673" s="16"/>
      <c r="P673" s="29"/>
      <c r="Q673" s="17"/>
      <c r="R673" s="32"/>
      <c r="S673" s="9">
        <f t="shared" si="628"/>
        <v>0</v>
      </c>
      <c r="T673" s="16"/>
      <c r="U673" s="29"/>
      <c r="V673" s="17"/>
      <c r="W673" s="32"/>
      <c r="X673" s="9">
        <f t="shared" si="629"/>
        <v>0</v>
      </c>
      <c r="Y673" s="104">
        <f t="shared" si="630"/>
        <v>0</v>
      </c>
    </row>
    <row r="674" spans="1:26" x14ac:dyDescent="0.15">
      <c r="A674" s="254" t="s">
        <v>1229</v>
      </c>
      <c r="B674" s="255"/>
      <c r="C674" s="256">
        <v>-3</v>
      </c>
      <c r="D674" s="257">
        <v>-3</v>
      </c>
      <c r="E674" s="258">
        <v>-3</v>
      </c>
      <c r="F674" s="259">
        <f t="shared" si="619"/>
        <v>-9</v>
      </c>
      <c r="G674" s="255"/>
      <c r="H674" s="256">
        <v>-3</v>
      </c>
      <c r="I674" s="257">
        <v>-3</v>
      </c>
      <c r="J674" s="258">
        <v>-3</v>
      </c>
      <c r="K674" s="259">
        <f t="shared" si="620"/>
        <v>-9</v>
      </c>
      <c r="L674" s="260">
        <f t="shared" si="614"/>
        <v>-18</v>
      </c>
      <c r="M674" s="261">
        <v>46177</v>
      </c>
      <c r="N674" s="72"/>
      <c r="O674" s="16"/>
      <c r="P674" s="29"/>
      <c r="Q674" s="17"/>
      <c r="R674" s="32"/>
      <c r="S674" s="9">
        <f t="shared" si="628"/>
        <v>0</v>
      </c>
      <c r="T674" s="16"/>
      <c r="U674" s="29"/>
      <c r="V674" s="17"/>
      <c r="W674" s="32"/>
      <c r="X674" s="9">
        <f t="shared" si="629"/>
        <v>0</v>
      </c>
      <c r="Y674" s="104">
        <f t="shared" si="630"/>
        <v>0</v>
      </c>
    </row>
    <row r="675" spans="1:26" x14ac:dyDescent="0.15">
      <c r="A675" s="47" t="s">
        <v>45</v>
      </c>
      <c r="B675" s="16"/>
      <c r="C675" s="29"/>
      <c r="D675" s="17"/>
      <c r="E675" s="20"/>
      <c r="F675" s="45">
        <f t="shared" si="619"/>
        <v>0</v>
      </c>
      <c r="G675" s="16">
        <v>1</v>
      </c>
      <c r="H675" s="29">
        <v>1</v>
      </c>
      <c r="I675" s="17"/>
      <c r="J675" s="20"/>
      <c r="K675" s="45">
        <f t="shared" si="620"/>
        <v>2</v>
      </c>
      <c r="L675" s="104">
        <f t="shared" si="614"/>
        <v>2</v>
      </c>
      <c r="M675" s="58">
        <v>46176</v>
      </c>
      <c r="N675" s="33" t="s">
        <v>1143</v>
      </c>
      <c r="O675" s="16"/>
      <c r="P675" s="29"/>
      <c r="Q675" s="17"/>
      <c r="R675" s="32"/>
      <c r="S675" s="9">
        <f t="shared" ref="S675:S681" si="631">SUM(O675:R675)</f>
        <v>0</v>
      </c>
      <c r="T675" s="16"/>
      <c r="U675" s="29"/>
      <c r="V675" s="17"/>
      <c r="W675" s="32"/>
      <c r="X675" s="9">
        <f t="shared" ref="X675:X681" si="632">SUM(T675:W675)</f>
        <v>0</v>
      </c>
      <c r="Y675" s="104">
        <f t="shared" si="615"/>
        <v>0</v>
      </c>
      <c r="Z675" s="157" t="s">
        <v>1144</v>
      </c>
    </row>
    <row r="676" spans="1:26" x14ac:dyDescent="0.15">
      <c r="A676" s="47" t="s">
        <v>1233</v>
      </c>
      <c r="B676" s="16"/>
      <c r="C676" s="29"/>
      <c r="D676" s="17"/>
      <c r="E676" s="20"/>
      <c r="F676" s="45">
        <f t="shared" si="619"/>
        <v>0</v>
      </c>
      <c r="G676" s="16">
        <v>1</v>
      </c>
      <c r="H676" s="29"/>
      <c r="I676" s="17"/>
      <c r="J676" s="20"/>
      <c r="K676" s="45">
        <f t="shared" si="620"/>
        <v>1</v>
      </c>
      <c r="L676" s="104">
        <f t="shared" si="614"/>
        <v>1</v>
      </c>
      <c r="M676" s="56">
        <v>46181</v>
      </c>
      <c r="N676" s="33" t="s">
        <v>1135</v>
      </c>
      <c r="O676" s="16"/>
      <c r="P676" s="29"/>
      <c r="Q676" s="17"/>
      <c r="R676" s="32"/>
      <c r="S676" s="9">
        <f t="shared" si="631"/>
        <v>0</v>
      </c>
      <c r="T676" s="16"/>
      <c r="U676" s="29"/>
      <c r="V676" s="17"/>
      <c r="W676" s="32"/>
      <c r="X676" s="9">
        <f t="shared" si="632"/>
        <v>0</v>
      </c>
      <c r="Y676" s="104">
        <f t="shared" si="615"/>
        <v>0</v>
      </c>
      <c r="Z676" s="157" t="s">
        <v>1136</v>
      </c>
    </row>
    <row r="677" spans="1:26" x14ac:dyDescent="0.15">
      <c r="A677" s="47" t="s">
        <v>45</v>
      </c>
      <c r="B677" s="16"/>
      <c r="C677" s="29"/>
      <c r="D677" s="17"/>
      <c r="E677" s="20"/>
      <c r="F677" s="45">
        <f t="shared" si="619"/>
        <v>0</v>
      </c>
      <c r="G677" s="16"/>
      <c r="H677" s="29">
        <v>1</v>
      </c>
      <c r="I677" s="17"/>
      <c r="J677" s="20"/>
      <c r="K677" s="45">
        <f t="shared" si="620"/>
        <v>1</v>
      </c>
      <c r="L677" s="104">
        <f t="shared" si="614"/>
        <v>1</v>
      </c>
      <c r="M677" s="58">
        <v>46178</v>
      </c>
      <c r="N677" s="72" t="s">
        <v>989</v>
      </c>
      <c r="O677" s="161"/>
      <c r="P677" s="162"/>
      <c r="Q677" s="163"/>
      <c r="R677" s="164"/>
      <c r="S677" s="165">
        <f t="shared" si="631"/>
        <v>0</v>
      </c>
      <c r="T677" s="166"/>
      <c r="U677" s="167"/>
      <c r="V677" s="160"/>
      <c r="W677" s="168"/>
      <c r="X677" s="165">
        <f t="shared" si="632"/>
        <v>0</v>
      </c>
      <c r="Y677" s="169">
        <f t="shared" si="615"/>
        <v>0</v>
      </c>
      <c r="Z677" s="157"/>
    </row>
    <row r="678" spans="1:26" x14ac:dyDescent="0.15">
      <c r="A678" s="47" t="s">
        <v>1238</v>
      </c>
      <c r="B678" s="16"/>
      <c r="C678" s="29"/>
      <c r="D678" s="17">
        <v>-1</v>
      </c>
      <c r="E678" s="20">
        <v>-1</v>
      </c>
      <c r="F678" s="45">
        <f t="shared" si="619"/>
        <v>-2</v>
      </c>
      <c r="G678" s="16"/>
      <c r="H678" s="29"/>
      <c r="I678" s="17"/>
      <c r="J678" s="20"/>
      <c r="K678" s="45">
        <f t="shared" si="620"/>
        <v>0</v>
      </c>
      <c r="L678" s="104">
        <f t="shared" si="614"/>
        <v>-2</v>
      </c>
      <c r="M678" s="58">
        <v>46181</v>
      </c>
      <c r="N678" s="11" t="s">
        <v>990</v>
      </c>
      <c r="O678" s="206"/>
      <c r="P678" s="207"/>
      <c r="Q678" s="208"/>
      <c r="R678" s="209"/>
      <c r="S678" s="9">
        <f t="shared" si="631"/>
        <v>0</v>
      </c>
      <c r="T678" s="16"/>
      <c r="U678" s="29"/>
      <c r="V678" s="17"/>
      <c r="W678" s="32"/>
      <c r="X678" s="9">
        <f t="shared" si="632"/>
        <v>0</v>
      </c>
      <c r="Y678" s="104">
        <f t="shared" si="615"/>
        <v>0</v>
      </c>
      <c r="Z678" s="157" t="s">
        <v>1060</v>
      </c>
    </row>
    <row r="679" spans="1:26" x14ac:dyDescent="0.15">
      <c r="A679" s="47" t="s">
        <v>45</v>
      </c>
      <c r="B679" s="16"/>
      <c r="C679" s="29"/>
      <c r="D679" s="17"/>
      <c r="E679" s="20"/>
      <c r="F679" s="45">
        <f t="shared" si="619"/>
        <v>0</v>
      </c>
      <c r="G679" s="16"/>
      <c r="H679" s="29"/>
      <c r="I679" s="17"/>
      <c r="J679" s="20">
        <v>1</v>
      </c>
      <c r="K679" s="45">
        <f t="shared" si="620"/>
        <v>1</v>
      </c>
      <c r="L679" s="104">
        <f t="shared" si="614"/>
        <v>1</v>
      </c>
      <c r="M679" s="58">
        <v>46183</v>
      </c>
      <c r="N679" s="234" t="s">
        <v>1075</v>
      </c>
      <c r="O679" s="139">
        <v>-10</v>
      </c>
      <c r="P679" s="140">
        <v>-15</v>
      </c>
      <c r="Q679" s="141">
        <v>-10</v>
      </c>
      <c r="R679" s="142">
        <v>-10</v>
      </c>
      <c r="S679" s="143">
        <f t="shared" si="631"/>
        <v>-45</v>
      </c>
      <c r="T679" s="139">
        <v>-10</v>
      </c>
      <c r="U679" s="140">
        <v>-25</v>
      </c>
      <c r="V679" s="141">
        <v>-20</v>
      </c>
      <c r="W679" s="142">
        <v>-15</v>
      </c>
      <c r="X679" s="143">
        <f t="shared" si="632"/>
        <v>-70</v>
      </c>
      <c r="Y679" s="299">
        <f t="shared" si="615"/>
        <v>-115</v>
      </c>
      <c r="Z679" s="227"/>
    </row>
    <row r="680" spans="1:26" ht="14.25" thickBot="1" x14ac:dyDescent="0.2">
      <c r="A680" s="47" t="s">
        <v>1239</v>
      </c>
      <c r="B680" s="37"/>
      <c r="C680" s="38"/>
      <c r="D680" s="39"/>
      <c r="E680" s="40">
        <v>1</v>
      </c>
      <c r="F680" s="45">
        <f t="shared" si="619"/>
        <v>1</v>
      </c>
      <c r="G680" s="37"/>
      <c r="H680" s="38"/>
      <c r="I680" s="39">
        <v>1</v>
      </c>
      <c r="J680" s="40"/>
      <c r="K680" s="45">
        <f t="shared" si="620"/>
        <v>1</v>
      </c>
      <c r="L680" s="104">
        <f t="shared" si="614"/>
        <v>2</v>
      </c>
      <c r="M680" s="56">
        <v>46185</v>
      </c>
      <c r="N680" s="114" t="s">
        <v>1074</v>
      </c>
      <c r="O680" s="91">
        <v>35</v>
      </c>
      <c r="P680" s="92">
        <v>45</v>
      </c>
      <c r="Q680" s="93">
        <v>35</v>
      </c>
      <c r="R680" s="96">
        <v>35</v>
      </c>
      <c r="S680" s="97">
        <f t="shared" si="631"/>
        <v>150</v>
      </c>
      <c r="T680" s="91">
        <v>35</v>
      </c>
      <c r="U680" s="92">
        <v>70</v>
      </c>
      <c r="V680" s="93">
        <v>50</v>
      </c>
      <c r="W680" s="96">
        <v>45</v>
      </c>
      <c r="X680" s="97">
        <f t="shared" si="632"/>
        <v>200</v>
      </c>
      <c r="Y680" s="107">
        <f t="shared" si="615"/>
        <v>350</v>
      </c>
      <c r="Z680" s="227" t="s">
        <v>1085</v>
      </c>
    </row>
    <row r="681" spans="1:26" ht="14.25" thickBot="1" x14ac:dyDescent="0.2">
      <c r="A681" s="13" t="s">
        <v>8</v>
      </c>
      <c r="B681" s="22">
        <f>SUM(B656:B680)</f>
        <v>1</v>
      </c>
      <c r="C681" s="30">
        <f>SUM(C656:C680)</f>
        <v>2</v>
      </c>
      <c r="D681" s="23">
        <f>SUM(D656:D680)</f>
        <v>0</v>
      </c>
      <c r="E681" s="24">
        <f>SUM(E656:E680)</f>
        <v>-2</v>
      </c>
      <c r="F681" s="21">
        <f t="shared" si="619"/>
        <v>1</v>
      </c>
      <c r="G681" s="22">
        <f>SUM(G656:G680)</f>
        <v>4</v>
      </c>
      <c r="H681" s="30">
        <f>SUM(H656:H680)</f>
        <v>5</v>
      </c>
      <c r="I681" s="23">
        <f>SUM(I656:I680)</f>
        <v>1</v>
      </c>
      <c r="J681" s="24">
        <f>SUM(J656:J680)</f>
        <v>1</v>
      </c>
      <c r="K681" s="21">
        <f>SUM(G681:J681)</f>
        <v>11</v>
      </c>
      <c r="L681" s="105">
        <f t="shared" si="614"/>
        <v>12</v>
      </c>
      <c r="N681" s="13" t="s">
        <v>8</v>
      </c>
      <c r="O681" s="133">
        <f>SUM(O656:O680)</f>
        <v>33</v>
      </c>
      <c r="P681" s="134">
        <f>SUM(P656:P680)</f>
        <v>46</v>
      </c>
      <c r="Q681" s="135">
        <f>SUM(Q656:Q680)</f>
        <v>38</v>
      </c>
      <c r="R681" s="136">
        <f>SUM(R656:R680)</f>
        <v>28</v>
      </c>
      <c r="S681" s="21">
        <f t="shared" si="631"/>
        <v>145</v>
      </c>
      <c r="T681" s="133">
        <f>SUM(T656:T680)</f>
        <v>28</v>
      </c>
      <c r="U681" s="134">
        <f>SUM(U656:U680)</f>
        <v>64</v>
      </c>
      <c r="V681" s="135">
        <f>SUM(V656:V680)</f>
        <v>38</v>
      </c>
      <c r="W681" s="136">
        <f>SUM(W656:W680)</f>
        <v>40</v>
      </c>
      <c r="X681" s="21">
        <f t="shared" si="632"/>
        <v>170</v>
      </c>
      <c r="Y681" s="105">
        <f t="shared" si="615"/>
        <v>315</v>
      </c>
    </row>
    <row r="682" spans="1:26" ht="14.25" thickBot="1" x14ac:dyDescent="0.2">
      <c r="A682" s="14" t="s">
        <v>9</v>
      </c>
      <c r="B682" s="25">
        <f t="shared" ref="B682:K682" si="633">B655-B681</f>
        <v>5</v>
      </c>
      <c r="C682" s="31">
        <f t="shared" si="633"/>
        <v>5</v>
      </c>
      <c r="D682" s="26">
        <f t="shared" si="633"/>
        <v>7</v>
      </c>
      <c r="E682" s="27">
        <f t="shared" si="633"/>
        <v>7</v>
      </c>
      <c r="F682" s="83">
        <f t="shared" si="633"/>
        <v>24</v>
      </c>
      <c r="G682" s="25">
        <f t="shared" si="633"/>
        <v>3</v>
      </c>
      <c r="H682" s="31">
        <f t="shared" si="633"/>
        <v>3</v>
      </c>
      <c r="I682" s="26">
        <f t="shared" si="633"/>
        <v>5</v>
      </c>
      <c r="J682" s="27">
        <f t="shared" si="633"/>
        <v>5</v>
      </c>
      <c r="K682" s="83">
        <f t="shared" si="633"/>
        <v>16</v>
      </c>
      <c r="L682" s="102">
        <f t="shared" si="614"/>
        <v>40</v>
      </c>
      <c r="N682" s="13" t="s">
        <v>9</v>
      </c>
      <c r="O682" s="25">
        <f t="shared" ref="O682:X682" si="634">O655-O681</f>
        <v>129</v>
      </c>
      <c r="P682" s="31">
        <f t="shared" si="634"/>
        <v>166</v>
      </c>
      <c r="Q682" s="26">
        <f t="shared" si="634"/>
        <v>104</v>
      </c>
      <c r="R682" s="27">
        <f t="shared" si="634"/>
        <v>118</v>
      </c>
      <c r="S682" s="36">
        <f t="shared" si="634"/>
        <v>517</v>
      </c>
      <c r="T682" s="25">
        <f t="shared" si="634"/>
        <v>64</v>
      </c>
      <c r="U682" s="31">
        <f t="shared" si="634"/>
        <v>67</v>
      </c>
      <c r="V682" s="26">
        <f t="shared" si="634"/>
        <v>135</v>
      </c>
      <c r="W682" s="27">
        <f t="shared" si="634"/>
        <v>129</v>
      </c>
      <c r="X682" s="36">
        <f t="shared" si="634"/>
        <v>395</v>
      </c>
      <c r="Y682" s="102">
        <f t="shared" si="615"/>
        <v>912</v>
      </c>
    </row>
    <row r="683" spans="1:26" x14ac:dyDescent="0.15">
      <c r="N683" s="189"/>
      <c r="O683" s="71"/>
      <c r="P683" s="71"/>
      <c r="Q683" s="71"/>
      <c r="R683" s="71"/>
      <c r="S683" s="71"/>
      <c r="T683" s="71"/>
      <c r="U683" s="71"/>
      <c r="V683" s="71"/>
      <c r="W683" s="71"/>
      <c r="X683" s="71"/>
    </row>
    <row r="684" spans="1:26" x14ac:dyDescent="0.15">
      <c r="N684" s="241"/>
      <c r="O684" s="149"/>
      <c r="P684" s="116"/>
      <c r="Q684" s="116"/>
      <c r="R684" s="149"/>
      <c r="S684" s="149"/>
      <c r="T684" s="116"/>
      <c r="U684" s="116"/>
      <c r="V684" s="116"/>
      <c r="W684" s="116"/>
      <c r="X684" s="149"/>
    </row>
    <row r="685" spans="1:26" ht="19.5" thickBot="1" x14ac:dyDescent="0.25">
      <c r="A685" s="2" t="s">
        <v>16</v>
      </c>
      <c r="B685" s="2"/>
      <c r="C685" s="1"/>
      <c r="D685" s="1"/>
      <c r="E685" s="1"/>
      <c r="F685" s="84"/>
      <c r="G685" s="2"/>
      <c r="H685" s="1" t="s">
        <v>156</v>
      </c>
      <c r="I685" s="1"/>
      <c r="J685" s="1"/>
      <c r="K685" s="84" t="s">
        <v>13</v>
      </c>
      <c r="L685" s="84"/>
      <c r="N685" s="2" t="s">
        <v>17</v>
      </c>
      <c r="O685" s="71"/>
      <c r="P685" s="71"/>
      <c r="Q685" s="71"/>
      <c r="R685" s="71"/>
      <c r="T685" s="71"/>
      <c r="U685" s="1" t="s">
        <v>156</v>
      </c>
      <c r="V685" s="71"/>
      <c r="W685" s="71"/>
      <c r="X685" s="84" t="s">
        <v>13</v>
      </c>
      <c r="Y685" s="84"/>
    </row>
    <row r="686" spans="1:26" ht="14.25" thickBot="1" x14ac:dyDescent="0.2">
      <c r="A686" s="5" t="s">
        <v>0</v>
      </c>
      <c r="B686" s="328" t="s">
        <v>120</v>
      </c>
      <c r="C686" s="329"/>
      <c r="D686" s="329"/>
      <c r="E686" s="329"/>
      <c r="F686" s="330"/>
      <c r="G686" s="331" t="s">
        <v>14</v>
      </c>
      <c r="H686" s="332"/>
      <c r="I686" s="332"/>
      <c r="J686" s="332"/>
      <c r="K686" s="333"/>
      <c r="L686" s="320" t="s">
        <v>30</v>
      </c>
      <c r="N686" s="5" t="s">
        <v>0</v>
      </c>
      <c r="O686" s="328" t="s">
        <v>202</v>
      </c>
      <c r="P686" s="329"/>
      <c r="Q686" s="329"/>
      <c r="R686" s="329"/>
      <c r="S686" s="330"/>
      <c r="T686" s="331" t="s">
        <v>203</v>
      </c>
      <c r="U686" s="332"/>
      <c r="V686" s="332"/>
      <c r="W686" s="332"/>
      <c r="X686" s="333"/>
      <c r="Y686" s="320" t="s">
        <v>30</v>
      </c>
    </row>
    <row r="687" spans="1:26" ht="14.25" thickBot="1" x14ac:dyDescent="0.2">
      <c r="A687" s="5" t="s">
        <v>1</v>
      </c>
      <c r="B687" s="3" t="s">
        <v>22</v>
      </c>
      <c r="C687" s="28" t="s">
        <v>23</v>
      </c>
      <c r="D687" s="4" t="s">
        <v>24</v>
      </c>
      <c r="E687" s="15" t="s">
        <v>25</v>
      </c>
      <c r="F687" s="19" t="s">
        <v>2</v>
      </c>
      <c r="G687" s="3" t="s">
        <v>22</v>
      </c>
      <c r="H687" s="28" t="s">
        <v>23</v>
      </c>
      <c r="I687" s="4" t="s">
        <v>24</v>
      </c>
      <c r="J687" s="15" t="s">
        <v>25</v>
      </c>
      <c r="K687" s="19" t="s">
        <v>2</v>
      </c>
      <c r="L687" s="321"/>
      <c r="N687" s="5" t="s">
        <v>1</v>
      </c>
      <c r="O687" s="3" t="s">
        <v>22</v>
      </c>
      <c r="P687" s="28" t="s">
        <v>23</v>
      </c>
      <c r="Q687" s="4" t="s">
        <v>24</v>
      </c>
      <c r="R687" s="15" t="s">
        <v>25</v>
      </c>
      <c r="S687" s="19" t="s">
        <v>2</v>
      </c>
      <c r="T687" s="3" t="s">
        <v>22</v>
      </c>
      <c r="U687" s="28" t="s">
        <v>23</v>
      </c>
      <c r="V687" s="4" t="s">
        <v>24</v>
      </c>
      <c r="W687" s="15" t="s">
        <v>25</v>
      </c>
      <c r="X687" s="19" t="s">
        <v>2</v>
      </c>
      <c r="Y687" s="321"/>
    </row>
    <row r="688" spans="1:26" x14ac:dyDescent="0.15">
      <c r="A688" s="78" t="s">
        <v>10</v>
      </c>
      <c r="B688" s="79">
        <f>B682</f>
        <v>5</v>
      </c>
      <c r="C688" s="80">
        <f>C682</f>
        <v>5</v>
      </c>
      <c r="D688" s="80">
        <f>D682</f>
        <v>7</v>
      </c>
      <c r="E688" s="81">
        <f>E682</f>
        <v>7</v>
      </c>
      <c r="F688" s="82">
        <f>SUM(B688:E688)</f>
        <v>24</v>
      </c>
      <c r="G688" s="79">
        <f>G682</f>
        <v>3</v>
      </c>
      <c r="H688" s="80">
        <f>H682</f>
        <v>3</v>
      </c>
      <c r="I688" s="80">
        <f>I682</f>
        <v>5</v>
      </c>
      <c r="J688" s="81">
        <f>J682</f>
        <v>5</v>
      </c>
      <c r="K688" s="82">
        <f>SUM(G688:J688)</f>
        <v>16</v>
      </c>
      <c r="L688" s="98">
        <f>F688+K688</f>
        <v>40</v>
      </c>
      <c r="N688" s="78" t="s">
        <v>10</v>
      </c>
      <c r="O688" s="79">
        <f>O682</f>
        <v>129</v>
      </c>
      <c r="P688" s="80">
        <f>P682</f>
        <v>166</v>
      </c>
      <c r="Q688" s="80">
        <f>Q682</f>
        <v>104</v>
      </c>
      <c r="R688" s="81">
        <f>R682</f>
        <v>118</v>
      </c>
      <c r="S688" s="82">
        <f>SUM(O688:R688)</f>
        <v>517</v>
      </c>
      <c r="T688" s="79">
        <f>T682</f>
        <v>64</v>
      </c>
      <c r="U688" s="80">
        <f>U682</f>
        <v>67</v>
      </c>
      <c r="V688" s="80">
        <f>V682</f>
        <v>135</v>
      </c>
      <c r="W688" s="81">
        <f>W682</f>
        <v>129</v>
      </c>
      <c r="X688" s="82">
        <f>SUM(T688:W688)</f>
        <v>395</v>
      </c>
      <c r="Y688" s="98">
        <f>S688+X688</f>
        <v>912</v>
      </c>
    </row>
    <row r="689" spans="1:27" x14ac:dyDescent="0.15">
      <c r="A689" s="254" t="s">
        <v>3</v>
      </c>
      <c r="B689" s="262"/>
      <c r="C689" s="263"/>
      <c r="D689" s="264"/>
      <c r="E689" s="265"/>
      <c r="F689" s="266">
        <f>SUM(B689:E689)</f>
        <v>0</v>
      </c>
      <c r="G689" s="262">
        <v>3</v>
      </c>
      <c r="H689" s="263">
        <v>3</v>
      </c>
      <c r="I689" s="264">
        <v>5</v>
      </c>
      <c r="J689" s="265"/>
      <c r="K689" s="266">
        <f>SUM(G689:J689)</f>
        <v>11</v>
      </c>
      <c r="L689" s="267">
        <f t="shared" ref="L689:L720" si="635">F689+K689</f>
        <v>11</v>
      </c>
      <c r="M689" s="261">
        <v>46189</v>
      </c>
      <c r="N689" s="90" t="s">
        <v>787</v>
      </c>
      <c r="O689" s="91"/>
      <c r="P689" s="92"/>
      <c r="Q689" s="93">
        <v>4</v>
      </c>
      <c r="R689" s="94"/>
      <c r="S689" s="95">
        <f>SUM(O689:R689)</f>
        <v>4</v>
      </c>
      <c r="T689" s="91"/>
      <c r="U689" s="92"/>
      <c r="V689" s="93">
        <v>1</v>
      </c>
      <c r="W689" s="94"/>
      <c r="X689" s="95">
        <f>SUM(T689:W689)</f>
        <v>1</v>
      </c>
      <c r="Y689" s="106">
        <f t="shared" ref="Y689:Y690" si="636">S689+X689</f>
        <v>5</v>
      </c>
      <c r="Z689" s="159" t="s">
        <v>1248</v>
      </c>
      <c r="AA689" s="227"/>
    </row>
    <row r="690" spans="1:27" x14ac:dyDescent="0.15">
      <c r="A690" s="12" t="s">
        <v>268</v>
      </c>
      <c r="B690" s="6"/>
      <c r="C690" s="18"/>
      <c r="D690" s="7"/>
      <c r="E690" s="8"/>
      <c r="F690" s="9">
        <f>SUM(B690:E690)</f>
        <v>0</v>
      </c>
      <c r="G690" s="6"/>
      <c r="H690" s="18"/>
      <c r="I690" s="7">
        <v>3</v>
      </c>
      <c r="J690" s="8"/>
      <c r="K690" s="9">
        <f>SUM(G690:J690)</f>
        <v>3</v>
      </c>
      <c r="L690" s="100">
        <f t="shared" si="635"/>
        <v>3</v>
      </c>
      <c r="M690" s="58">
        <v>46190</v>
      </c>
      <c r="N690" s="90" t="s">
        <v>1169</v>
      </c>
      <c r="O690" s="91">
        <v>10</v>
      </c>
      <c r="P690" s="92">
        <v>30</v>
      </c>
      <c r="Q690" s="93">
        <v>30</v>
      </c>
      <c r="R690" s="94">
        <v>30</v>
      </c>
      <c r="S690" s="95">
        <f>SUM(O690:R690)</f>
        <v>100</v>
      </c>
      <c r="T690" s="91">
        <v>30</v>
      </c>
      <c r="U690" s="92">
        <v>50</v>
      </c>
      <c r="V690" s="93">
        <v>50</v>
      </c>
      <c r="W690" s="94">
        <v>30</v>
      </c>
      <c r="X690" s="95">
        <f>SUM(T690:W690)</f>
        <v>160</v>
      </c>
      <c r="Y690" s="106">
        <f t="shared" si="636"/>
        <v>260</v>
      </c>
      <c r="Z690" s="159" t="s">
        <v>1165</v>
      </c>
      <c r="AA690" s="227"/>
    </row>
    <row r="691" spans="1:27" x14ac:dyDescent="0.15">
      <c r="A691" s="12" t="s">
        <v>5</v>
      </c>
      <c r="B691" s="6"/>
      <c r="C691" s="18"/>
      <c r="D691" s="7"/>
      <c r="E691" s="8"/>
      <c r="F691" s="9">
        <f>SUM(B691:E691)</f>
        <v>0</v>
      </c>
      <c r="G691" s="6"/>
      <c r="H691" s="18">
        <v>5</v>
      </c>
      <c r="I691" s="7"/>
      <c r="J691" s="8"/>
      <c r="K691" s="9">
        <f>SUM(G691:J691)</f>
        <v>5</v>
      </c>
      <c r="L691" s="100">
        <f t="shared" si="635"/>
        <v>5</v>
      </c>
      <c r="M691" s="56">
        <v>46191</v>
      </c>
      <c r="N691" s="90" t="s">
        <v>268</v>
      </c>
      <c r="O691" s="91"/>
      <c r="P691" s="92"/>
      <c r="Q691" s="93"/>
      <c r="R691" s="94"/>
      <c r="S691" s="95">
        <f t="shared" ref="S691:S692" si="637">SUM(O691:R691)</f>
        <v>0</v>
      </c>
      <c r="T691" s="91">
        <v>8</v>
      </c>
      <c r="U691" s="92">
        <v>9</v>
      </c>
      <c r="V691" s="93">
        <v>8</v>
      </c>
      <c r="W691" s="94">
        <v>7</v>
      </c>
      <c r="X691" s="95">
        <f t="shared" ref="X691:X692" si="638">SUM(T691:W691)</f>
        <v>32</v>
      </c>
      <c r="Y691" s="106">
        <f t="shared" ref="Y691:Y692" si="639">S691+X691</f>
        <v>32</v>
      </c>
      <c r="Z691" s="159">
        <v>46220</v>
      </c>
    </row>
    <row r="692" spans="1:27" ht="14.25" thickBot="1" x14ac:dyDescent="0.2">
      <c r="A692" s="90" t="s">
        <v>6</v>
      </c>
      <c r="B692" s="315">
        <v>5</v>
      </c>
      <c r="C692" s="316">
        <v>5</v>
      </c>
      <c r="D692" s="317"/>
      <c r="E692" s="318"/>
      <c r="F692" s="89">
        <f>SUM(B692:E692)</f>
        <v>10</v>
      </c>
      <c r="G692" s="315"/>
      <c r="H692" s="316"/>
      <c r="I692" s="317"/>
      <c r="J692" s="318">
        <v>5</v>
      </c>
      <c r="K692" s="89">
        <f>SUM(G692:J692)</f>
        <v>5</v>
      </c>
      <c r="L692" s="127">
        <f t="shared" si="635"/>
        <v>15</v>
      </c>
      <c r="M692" s="159">
        <v>46192</v>
      </c>
      <c r="N692" s="12" t="s">
        <v>6</v>
      </c>
      <c r="O692" s="16"/>
      <c r="P692" s="29"/>
      <c r="Q692" s="17"/>
      <c r="R692" s="20"/>
      <c r="S692" s="45">
        <f t="shared" si="637"/>
        <v>0</v>
      </c>
      <c r="T692" s="16"/>
      <c r="U692" s="29"/>
      <c r="V692" s="17"/>
      <c r="W692" s="20"/>
      <c r="X692" s="45">
        <f t="shared" si="638"/>
        <v>0</v>
      </c>
      <c r="Y692" s="100">
        <f t="shared" si="639"/>
        <v>0</v>
      </c>
      <c r="Z692" s="56"/>
    </row>
    <row r="693" spans="1:27" ht="14.25" thickBot="1" x14ac:dyDescent="0.2">
      <c r="A693" s="14" t="s">
        <v>7</v>
      </c>
      <c r="B693" s="62">
        <f t="shared" ref="B693:K693" si="640">SUM(B688:B692)</f>
        <v>10</v>
      </c>
      <c r="C693" s="63">
        <f t="shared" si="640"/>
        <v>10</v>
      </c>
      <c r="D693" s="64">
        <f t="shared" si="640"/>
        <v>7</v>
      </c>
      <c r="E693" s="65">
        <f t="shared" si="640"/>
        <v>7</v>
      </c>
      <c r="F693" s="66">
        <f t="shared" si="640"/>
        <v>34</v>
      </c>
      <c r="G693" s="62">
        <f t="shared" si="640"/>
        <v>6</v>
      </c>
      <c r="H693" s="63">
        <f t="shared" si="640"/>
        <v>11</v>
      </c>
      <c r="I693" s="64">
        <f t="shared" si="640"/>
        <v>13</v>
      </c>
      <c r="J693" s="65">
        <f t="shared" si="640"/>
        <v>10</v>
      </c>
      <c r="K693" s="66">
        <f t="shared" si="640"/>
        <v>40</v>
      </c>
      <c r="L693" s="102">
        <f t="shared" si="635"/>
        <v>74</v>
      </c>
      <c r="N693" s="13" t="s">
        <v>7</v>
      </c>
      <c r="O693" s="25">
        <f t="shared" ref="O693:X693" si="641">SUM(O688:O692)</f>
        <v>139</v>
      </c>
      <c r="P693" s="31">
        <f t="shared" si="641"/>
        <v>196</v>
      </c>
      <c r="Q693" s="26">
        <f t="shared" si="641"/>
        <v>138</v>
      </c>
      <c r="R693" s="67">
        <f t="shared" si="641"/>
        <v>148</v>
      </c>
      <c r="S693" s="68">
        <f t="shared" si="641"/>
        <v>621</v>
      </c>
      <c r="T693" s="25">
        <f t="shared" si="641"/>
        <v>102</v>
      </c>
      <c r="U693" s="31">
        <f t="shared" si="641"/>
        <v>126</v>
      </c>
      <c r="V693" s="26">
        <f t="shared" si="641"/>
        <v>194</v>
      </c>
      <c r="W693" s="67">
        <f t="shared" si="641"/>
        <v>166</v>
      </c>
      <c r="X693" s="68">
        <f t="shared" si="641"/>
        <v>588</v>
      </c>
      <c r="Y693" s="102">
        <f t="shared" ref="Y693:Y720" si="642">S693+X693</f>
        <v>1209</v>
      </c>
    </row>
    <row r="694" spans="1:27" x14ac:dyDescent="0.15">
      <c r="A694" s="47" t="s">
        <v>45</v>
      </c>
      <c r="B694" s="41"/>
      <c r="C694" s="42"/>
      <c r="D694" s="43"/>
      <c r="E694" s="44"/>
      <c r="F694" s="70">
        <f t="shared" ref="F694:F719" si="643">SUM(B694:E694)</f>
        <v>0</v>
      </c>
      <c r="G694" s="41"/>
      <c r="H694" s="42"/>
      <c r="I694" s="43">
        <v>1</v>
      </c>
      <c r="J694" s="44"/>
      <c r="K694" s="70">
        <f t="shared" ref="K694:K718" si="644">SUM(G694:J694)</f>
        <v>1</v>
      </c>
      <c r="L694" s="103">
        <f t="shared" si="635"/>
        <v>1</v>
      </c>
      <c r="M694" s="58">
        <v>46184</v>
      </c>
      <c r="N694" s="33"/>
      <c r="O694" s="16"/>
      <c r="P694" s="29"/>
      <c r="Q694" s="17"/>
      <c r="R694" s="32"/>
      <c r="S694" s="9">
        <f t="shared" ref="S694:S699" si="645">SUM(O694:R694)</f>
        <v>0</v>
      </c>
      <c r="T694" s="16"/>
      <c r="U694" s="29"/>
      <c r="V694" s="17"/>
      <c r="W694" s="32"/>
      <c r="X694" s="9">
        <f t="shared" ref="X694:X699" si="646">SUM(T694:W694)</f>
        <v>0</v>
      </c>
      <c r="Y694" s="104">
        <f t="shared" si="642"/>
        <v>0</v>
      </c>
    </row>
    <row r="695" spans="1:27" x14ac:dyDescent="0.15">
      <c r="A695" s="47" t="s">
        <v>1242</v>
      </c>
      <c r="B695" s="16">
        <v>2</v>
      </c>
      <c r="C695" s="29"/>
      <c r="D695" s="17"/>
      <c r="E695" s="20">
        <v>1</v>
      </c>
      <c r="F695" s="45">
        <f t="shared" si="643"/>
        <v>3</v>
      </c>
      <c r="G695" s="16"/>
      <c r="H695" s="29"/>
      <c r="I695" s="17">
        <v>1</v>
      </c>
      <c r="J695" s="20"/>
      <c r="K695" s="45">
        <f t="shared" si="644"/>
        <v>1</v>
      </c>
      <c r="L695" s="104">
        <f t="shared" si="635"/>
        <v>4</v>
      </c>
      <c r="M695" s="56">
        <v>46188</v>
      </c>
      <c r="N695" s="33"/>
      <c r="O695" s="16"/>
      <c r="P695" s="29"/>
      <c r="Q695" s="17"/>
      <c r="R695" s="32"/>
      <c r="S695" s="9">
        <f t="shared" si="645"/>
        <v>0</v>
      </c>
      <c r="T695" s="16"/>
      <c r="U695" s="29"/>
      <c r="V695" s="17"/>
      <c r="W695" s="32"/>
      <c r="X695" s="9">
        <f t="shared" si="646"/>
        <v>0</v>
      </c>
      <c r="Y695" s="104">
        <f t="shared" si="642"/>
        <v>0</v>
      </c>
    </row>
    <row r="696" spans="1:27" x14ac:dyDescent="0.15">
      <c r="A696" s="47" t="s">
        <v>1244</v>
      </c>
      <c r="B696" s="16"/>
      <c r="C696" s="29"/>
      <c r="D696" s="17"/>
      <c r="E696" s="20"/>
      <c r="F696" s="45">
        <f t="shared" si="643"/>
        <v>0</v>
      </c>
      <c r="G696" s="16">
        <v>1</v>
      </c>
      <c r="H696" s="29">
        <v>1</v>
      </c>
      <c r="I696" s="17">
        <v>2</v>
      </c>
      <c r="J696" s="20">
        <v>1</v>
      </c>
      <c r="K696" s="45">
        <f t="shared" si="644"/>
        <v>5</v>
      </c>
      <c r="L696" s="104">
        <f t="shared" si="635"/>
        <v>5</v>
      </c>
      <c r="M696" s="56">
        <v>46190</v>
      </c>
      <c r="N696" s="33"/>
      <c r="O696" s="16"/>
      <c r="P696" s="29"/>
      <c r="Q696" s="17"/>
      <c r="R696" s="32"/>
      <c r="S696" s="9">
        <f t="shared" si="645"/>
        <v>0</v>
      </c>
      <c r="T696" s="16"/>
      <c r="U696" s="29"/>
      <c r="V696" s="17"/>
      <c r="W696" s="32"/>
      <c r="X696" s="9">
        <f t="shared" si="646"/>
        <v>0</v>
      </c>
      <c r="Y696" s="104">
        <f t="shared" si="642"/>
        <v>0</v>
      </c>
    </row>
    <row r="697" spans="1:27" x14ac:dyDescent="0.15">
      <c r="A697" s="47" t="s">
        <v>45</v>
      </c>
      <c r="B697" s="16"/>
      <c r="C697" s="29">
        <v>1</v>
      </c>
      <c r="D697" s="17"/>
      <c r="E697" s="20"/>
      <c r="F697" s="45">
        <f t="shared" si="643"/>
        <v>1</v>
      </c>
      <c r="G697" s="16">
        <v>1</v>
      </c>
      <c r="H697" s="29">
        <v>2</v>
      </c>
      <c r="I697" s="17"/>
      <c r="J697" s="20"/>
      <c r="K697" s="45">
        <f t="shared" si="644"/>
        <v>3</v>
      </c>
      <c r="L697" s="104">
        <f t="shared" si="635"/>
        <v>4</v>
      </c>
      <c r="M697" s="56">
        <v>46188</v>
      </c>
      <c r="N697" s="33"/>
      <c r="O697" s="16"/>
      <c r="P697" s="29"/>
      <c r="Q697" s="17"/>
      <c r="R697" s="32"/>
      <c r="S697" s="9">
        <f t="shared" si="645"/>
        <v>0</v>
      </c>
      <c r="T697" s="16"/>
      <c r="U697" s="29"/>
      <c r="V697" s="17"/>
      <c r="W697" s="32"/>
      <c r="X697" s="9">
        <f t="shared" si="646"/>
        <v>0</v>
      </c>
      <c r="Y697" s="104">
        <f t="shared" si="642"/>
        <v>0</v>
      </c>
    </row>
    <row r="698" spans="1:27" x14ac:dyDescent="0.15">
      <c r="A698" s="47" t="s">
        <v>1246</v>
      </c>
      <c r="B698" s="16"/>
      <c r="C698" s="29"/>
      <c r="D698" s="17"/>
      <c r="E698" s="20"/>
      <c r="F698" s="45">
        <f t="shared" si="643"/>
        <v>0</v>
      </c>
      <c r="G698" s="16"/>
      <c r="H698" s="29"/>
      <c r="I698" s="17">
        <v>3</v>
      </c>
      <c r="J698" s="20"/>
      <c r="K698" s="45">
        <f t="shared" si="644"/>
        <v>3</v>
      </c>
      <c r="L698" s="104">
        <f t="shared" si="635"/>
        <v>3</v>
      </c>
      <c r="M698" s="56">
        <v>46191</v>
      </c>
      <c r="N698" s="33"/>
      <c r="O698" s="16"/>
      <c r="P698" s="29"/>
      <c r="Q698" s="17"/>
      <c r="R698" s="32"/>
      <c r="S698" s="9">
        <f t="shared" si="645"/>
        <v>0</v>
      </c>
      <c r="T698" s="16"/>
      <c r="U698" s="29"/>
      <c r="V698" s="17"/>
      <c r="W698" s="32"/>
      <c r="X698" s="9">
        <f t="shared" si="646"/>
        <v>0</v>
      </c>
      <c r="Y698" s="104">
        <f t="shared" si="642"/>
        <v>0</v>
      </c>
    </row>
    <row r="699" spans="1:27" x14ac:dyDescent="0.15">
      <c r="A699" s="47" t="s">
        <v>45</v>
      </c>
      <c r="B699" s="16"/>
      <c r="C699" s="29">
        <v>1</v>
      </c>
      <c r="D699" s="17"/>
      <c r="E699" s="20"/>
      <c r="F699" s="45">
        <f t="shared" si="643"/>
        <v>1</v>
      </c>
      <c r="G699" s="16"/>
      <c r="H699" s="29"/>
      <c r="I699" s="17"/>
      <c r="J699" s="20"/>
      <c r="K699" s="45">
        <f t="shared" si="644"/>
        <v>0</v>
      </c>
      <c r="L699" s="104">
        <f t="shared" si="635"/>
        <v>1</v>
      </c>
      <c r="M699" s="58">
        <v>46189</v>
      </c>
      <c r="N699" s="33"/>
      <c r="O699" s="16"/>
      <c r="P699" s="29"/>
      <c r="Q699" s="17"/>
      <c r="R699" s="32"/>
      <c r="S699" s="9">
        <f t="shared" si="645"/>
        <v>0</v>
      </c>
      <c r="T699" s="16"/>
      <c r="U699" s="29"/>
      <c r="V699" s="17"/>
      <c r="W699" s="32"/>
      <c r="X699" s="9">
        <f t="shared" si="646"/>
        <v>0</v>
      </c>
      <c r="Y699" s="104">
        <f t="shared" si="642"/>
        <v>0</v>
      </c>
    </row>
    <row r="700" spans="1:27" x14ac:dyDescent="0.15">
      <c r="A700" s="47" t="s">
        <v>1249</v>
      </c>
      <c r="B700" s="16"/>
      <c r="C700" s="29"/>
      <c r="D700" s="17"/>
      <c r="E700" s="20"/>
      <c r="F700" s="45">
        <f t="shared" si="643"/>
        <v>0</v>
      </c>
      <c r="G700" s="16"/>
      <c r="H700" s="29">
        <v>1</v>
      </c>
      <c r="I700" s="17"/>
      <c r="J700" s="20"/>
      <c r="K700" s="45">
        <f t="shared" si="644"/>
        <v>1</v>
      </c>
      <c r="L700" s="104">
        <f t="shared" si="635"/>
        <v>1</v>
      </c>
      <c r="M700" s="56">
        <v>46192</v>
      </c>
      <c r="N700" s="33"/>
      <c r="O700" s="16"/>
      <c r="P700" s="29"/>
      <c r="Q700" s="17"/>
      <c r="R700" s="32"/>
      <c r="S700" s="9">
        <f>SUM(O700:R700)</f>
        <v>0</v>
      </c>
      <c r="T700" s="16"/>
      <c r="U700" s="29"/>
      <c r="V700" s="17"/>
      <c r="W700" s="32"/>
      <c r="X700" s="9">
        <f>SUM(T700:W700)</f>
        <v>0</v>
      </c>
      <c r="Y700" s="104">
        <f t="shared" si="642"/>
        <v>0</v>
      </c>
    </row>
    <row r="701" spans="1:27" x14ac:dyDescent="0.15">
      <c r="A701" s="47" t="s">
        <v>45</v>
      </c>
      <c r="B701" s="16"/>
      <c r="C701" s="29"/>
      <c r="D701" s="17"/>
      <c r="E701" s="20"/>
      <c r="F701" s="45">
        <f t="shared" si="643"/>
        <v>0</v>
      </c>
      <c r="G701" s="16"/>
      <c r="H701" s="29"/>
      <c r="I701" s="17">
        <v>1</v>
      </c>
      <c r="J701" s="20"/>
      <c r="K701" s="45">
        <f t="shared" si="644"/>
        <v>1</v>
      </c>
      <c r="L701" s="104">
        <f t="shared" si="635"/>
        <v>1</v>
      </c>
      <c r="M701" s="58">
        <v>46190</v>
      </c>
      <c r="N701" s="33"/>
      <c r="O701" s="16"/>
      <c r="P701" s="29"/>
      <c r="Q701" s="17"/>
      <c r="R701" s="32"/>
      <c r="S701" s="9">
        <f t="shared" ref="S701:S705" si="647">SUM(O701:R701)</f>
        <v>0</v>
      </c>
      <c r="T701" s="16"/>
      <c r="U701" s="29"/>
      <c r="V701" s="17"/>
      <c r="W701" s="32"/>
      <c r="X701" s="9">
        <f t="shared" ref="X701:X705" si="648">SUM(T701:W701)</f>
        <v>0</v>
      </c>
      <c r="Y701" s="104">
        <f t="shared" si="642"/>
        <v>0</v>
      </c>
    </row>
    <row r="702" spans="1:27" x14ac:dyDescent="0.15">
      <c r="A702" s="319" t="s">
        <v>1252</v>
      </c>
      <c r="B702" s="91">
        <v>1</v>
      </c>
      <c r="C702" s="92"/>
      <c r="D702" s="93"/>
      <c r="E702" s="94">
        <v>1</v>
      </c>
      <c r="F702" s="95">
        <f t="shared" si="643"/>
        <v>2</v>
      </c>
      <c r="G702" s="91"/>
      <c r="H702" s="92"/>
      <c r="I702" s="93"/>
      <c r="J702" s="94">
        <v>1</v>
      </c>
      <c r="K702" s="95">
        <f t="shared" si="644"/>
        <v>1</v>
      </c>
      <c r="L702" s="107">
        <f t="shared" si="635"/>
        <v>3</v>
      </c>
      <c r="M702" s="159">
        <v>46192</v>
      </c>
      <c r="N702" s="33"/>
      <c r="O702" s="16"/>
      <c r="P702" s="29"/>
      <c r="Q702" s="17"/>
      <c r="R702" s="32"/>
      <c r="S702" s="9">
        <f t="shared" si="647"/>
        <v>0</v>
      </c>
      <c r="T702" s="16"/>
      <c r="U702" s="29"/>
      <c r="V702" s="17"/>
      <c r="W702" s="32"/>
      <c r="X702" s="9">
        <f t="shared" si="648"/>
        <v>0</v>
      </c>
      <c r="Y702" s="104">
        <f t="shared" si="642"/>
        <v>0</v>
      </c>
    </row>
    <row r="703" spans="1:27" x14ac:dyDescent="0.15">
      <c r="A703" s="33" t="s">
        <v>1255</v>
      </c>
      <c r="B703" s="16"/>
      <c r="C703" s="29"/>
      <c r="D703" s="17">
        <v>1</v>
      </c>
      <c r="E703" s="20"/>
      <c r="F703" s="45">
        <f t="shared" si="643"/>
        <v>1</v>
      </c>
      <c r="G703" s="16"/>
      <c r="H703" s="29"/>
      <c r="I703" s="17"/>
      <c r="J703" s="20"/>
      <c r="K703" s="45">
        <f t="shared" si="644"/>
        <v>0</v>
      </c>
      <c r="L703" s="104">
        <f t="shared" si="635"/>
        <v>1</v>
      </c>
      <c r="M703" s="58">
        <v>46217</v>
      </c>
      <c r="N703" s="33"/>
      <c r="O703" s="16"/>
      <c r="P703" s="29"/>
      <c r="Q703" s="17"/>
      <c r="R703" s="32"/>
      <c r="S703" s="9">
        <f t="shared" si="647"/>
        <v>0</v>
      </c>
      <c r="T703" s="16"/>
      <c r="U703" s="29"/>
      <c r="V703" s="17"/>
      <c r="W703" s="32"/>
      <c r="X703" s="9">
        <f t="shared" si="648"/>
        <v>0</v>
      </c>
      <c r="Y703" s="104">
        <f t="shared" si="642"/>
        <v>0</v>
      </c>
    </row>
    <row r="704" spans="1:27" x14ac:dyDescent="0.15">
      <c r="A704" s="47"/>
      <c r="B704" s="16"/>
      <c r="C704" s="29"/>
      <c r="D704" s="17"/>
      <c r="E704" s="20"/>
      <c r="F704" s="45">
        <f t="shared" si="643"/>
        <v>0</v>
      </c>
      <c r="G704" s="16"/>
      <c r="H704" s="29"/>
      <c r="I704" s="17"/>
      <c r="J704" s="20"/>
      <c r="K704" s="45">
        <f t="shared" si="644"/>
        <v>0</v>
      </c>
      <c r="L704" s="104">
        <f t="shared" si="635"/>
        <v>0</v>
      </c>
      <c r="N704" s="33"/>
      <c r="O704" s="16"/>
      <c r="P704" s="29"/>
      <c r="Q704" s="17"/>
      <c r="R704" s="32"/>
      <c r="S704" s="9">
        <f t="shared" si="647"/>
        <v>0</v>
      </c>
      <c r="T704" s="16"/>
      <c r="U704" s="29"/>
      <c r="V704" s="17"/>
      <c r="W704" s="32"/>
      <c r="X704" s="9">
        <f t="shared" si="648"/>
        <v>0</v>
      </c>
      <c r="Y704" s="104">
        <f t="shared" si="642"/>
        <v>0</v>
      </c>
    </row>
    <row r="705" spans="1:26" x14ac:dyDescent="0.15">
      <c r="A705" s="47"/>
      <c r="B705" s="16"/>
      <c r="C705" s="29"/>
      <c r="D705" s="17"/>
      <c r="E705" s="20"/>
      <c r="F705" s="45">
        <f t="shared" si="643"/>
        <v>0</v>
      </c>
      <c r="G705" s="16"/>
      <c r="H705" s="29"/>
      <c r="I705" s="17"/>
      <c r="J705" s="20"/>
      <c r="K705" s="45">
        <f t="shared" si="644"/>
        <v>0</v>
      </c>
      <c r="L705" s="104">
        <f t="shared" si="635"/>
        <v>0</v>
      </c>
      <c r="N705" s="72"/>
      <c r="O705" s="16"/>
      <c r="P705" s="29"/>
      <c r="Q705" s="17"/>
      <c r="R705" s="32"/>
      <c r="S705" s="9">
        <f t="shared" si="647"/>
        <v>0</v>
      </c>
      <c r="T705" s="16"/>
      <c r="U705" s="29"/>
      <c r="V705" s="17"/>
      <c r="W705" s="32"/>
      <c r="X705" s="9">
        <f t="shared" si="648"/>
        <v>0</v>
      </c>
      <c r="Y705" s="104">
        <f t="shared" si="642"/>
        <v>0</v>
      </c>
    </row>
    <row r="706" spans="1:26" x14ac:dyDescent="0.15">
      <c r="A706" s="47"/>
      <c r="B706" s="16"/>
      <c r="C706" s="29"/>
      <c r="D706" s="17"/>
      <c r="E706" s="20"/>
      <c r="F706" s="45">
        <f t="shared" si="643"/>
        <v>0</v>
      </c>
      <c r="G706" s="16"/>
      <c r="H706" s="29"/>
      <c r="I706" s="17"/>
      <c r="J706" s="20"/>
      <c r="K706" s="45">
        <f t="shared" si="644"/>
        <v>0</v>
      </c>
      <c r="L706" s="104">
        <f t="shared" si="635"/>
        <v>0</v>
      </c>
      <c r="N706" s="33"/>
      <c r="O706" s="16"/>
      <c r="P706" s="29"/>
      <c r="Q706" s="17"/>
      <c r="R706" s="32"/>
      <c r="S706" s="9">
        <f>SUM(O706:R706)</f>
        <v>0</v>
      </c>
      <c r="T706" s="16"/>
      <c r="U706" s="29"/>
      <c r="V706" s="17"/>
      <c r="W706" s="32"/>
      <c r="X706" s="9">
        <f>SUM(T706:W706)</f>
        <v>0</v>
      </c>
      <c r="Y706" s="104">
        <f t="shared" si="642"/>
        <v>0</v>
      </c>
    </row>
    <row r="707" spans="1:26" x14ac:dyDescent="0.15">
      <c r="A707" s="47"/>
      <c r="B707" s="16"/>
      <c r="C707" s="29"/>
      <c r="D707" s="17"/>
      <c r="E707" s="20"/>
      <c r="F707" s="45">
        <f t="shared" si="643"/>
        <v>0</v>
      </c>
      <c r="G707" s="16"/>
      <c r="H707" s="29"/>
      <c r="I707" s="17"/>
      <c r="J707" s="20"/>
      <c r="K707" s="45">
        <f t="shared" si="644"/>
        <v>0</v>
      </c>
      <c r="L707" s="104">
        <f t="shared" si="635"/>
        <v>0</v>
      </c>
      <c r="N707" s="72"/>
      <c r="O707" s="16"/>
      <c r="P707" s="29"/>
      <c r="Q707" s="17"/>
      <c r="R707" s="32"/>
      <c r="S707" s="9">
        <f>SUM(O707:R707)</f>
        <v>0</v>
      </c>
      <c r="T707" s="16"/>
      <c r="U707" s="29"/>
      <c r="V707" s="17"/>
      <c r="W707" s="32"/>
      <c r="X707" s="9">
        <f>SUM(T707:W707)</f>
        <v>0</v>
      </c>
      <c r="Y707" s="104">
        <f t="shared" si="642"/>
        <v>0</v>
      </c>
    </row>
    <row r="708" spans="1:26" x14ac:dyDescent="0.15">
      <c r="A708" s="33"/>
      <c r="B708" s="16"/>
      <c r="C708" s="29"/>
      <c r="D708" s="17"/>
      <c r="E708" s="20"/>
      <c r="F708" s="45">
        <f t="shared" si="643"/>
        <v>0</v>
      </c>
      <c r="G708" s="16"/>
      <c r="H708" s="29"/>
      <c r="I708" s="17"/>
      <c r="J708" s="20"/>
      <c r="K708" s="45">
        <f t="shared" si="644"/>
        <v>0</v>
      </c>
      <c r="L708" s="104">
        <f t="shared" si="635"/>
        <v>0</v>
      </c>
      <c r="N708" s="72"/>
      <c r="O708" s="16"/>
      <c r="P708" s="29"/>
      <c r="Q708" s="17"/>
      <c r="R708" s="32"/>
      <c r="S708" s="9">
        <f t="shared" ref="S708:S719" si="649">SUM(O708:R708)</f>
        <v>0</v>
      </c>
      <c r="T708" s="16"/>
      <c r="U708" s="29"/>
      <c r="V708" s="17"/>
      <c r="W708" s="32"/>
      <c r="X708" s="9">
        <f t="shared" ref="X708:X719" si="650">SUM(T708:W708)</f>
        <v>0</v>
      </c>
      <c r="Y708" s="104">
        <f t="shared" si="642"/>
        <v>0</v>
      </c>
    </row>
    <row r="709" spans="1:26" x14ac:dyDescent="0.15">
      <c r="A709" s="47"/>
      <c r="B709" s="16"/>
      <c r="C709" s="29"/>
      <c r="D709" s="17"/>
      <c r="E709" s="20"/>
      <c r="F709" s="45">
        <f t="shared" si="643"/>
        <v>0</v>
      </c>
      <c r="G709" s="16"/>
      <c r="H709" s="29"/>
      <c r="I709" s="17"/>
      <c r="J709" s="20"/>
      <c r="K709" s="45">
        <f t="shared" si="644"/>
        <v>0</v>
      </c>
      <c r="L709" s="104">
        <f t="shared" si="635"/>
        <v>0</v>
      </c>
      <c r="N709" s="72"/>
      <c r="O709" s="16"/>
      <c r="P709" s="29"/>
      <c r="Q709" s="17"/>
      <c r="R709" s="32"/>
      <c r="S709" s="9">
        <f t="shared" ref="S709:S718" si="651">SUM(O709:R709)</f>
        <v>0</v>
      </c>
      <c r="T709" s="16"/>
      <c r="U709" s="29"/>
      <c r="V709" s="17"/>
      <c r="W709" s="32"/>
      <c r="X709" s="9">
        <f t="shared" ref="X709:X718" si="652">SUM(T709:W709)</f>
        <v>0</v>
      </c>
      <c r="Y709" s="104">
        <f t="shared" ref="Y709:Y718" si="653">S709+X709</f>
        <v>0</v>
      </c>
    </row>
    <row r="710" spans="1:26" x14ac:dyDescent="0.15">
      <c r="A710" s="47"/>
      <c r="B710" s="16"/>
      <c r="C710" s="29"/>
      <c r="D710" s="17"/>
      <c r="E710" s="20"/>
      <c r="F710" s="45">
        <f t="shared" si="643"/>
        <v>0</v>
      </c>
      <c r="G710" s="16"/>
      <c r="H710" s="29"/>
      <c r="I710" s="17"/>
      <c r="J710" s="20"/>
      <c r="K710" s="45">
        <f t="shared" si="644"/>
        <v>0</v>
      </c>
      <c r="L710" s="104">
        <f t="shared" si="635"/>
        <v>0</v>
      </c>
      <c r="N710" s="72"/>
      <c r="O710" s="16"/>
      <c r="P710" s="29"/>
      <c r="Q710" s="17"/>
      <c r="R710" s="32"/>
      <c r="S710" s="9">
        <f t="shared" si="651"/>
        <v>0</v>
      </c>
      <c r="T710" s="16"/>
      <c r="U710" s="29"/>
      <c r="V710" s="17"/>
      <c r="W710" s="32"/>
      <c r="X710" s="9">
        <f t="shared" si="652"/>
        <v>0</v>
      </c>
      <c r="Y710" s="104">
        <f t="shared" si="653"/>
        <v>0</v>
      </c>
    </row>
    <row r="711" spans="1:26" x14ac:dyDescent="0.15">
      <c r="A711" s="47"/>
      <c r="B711" s="16"/>
      <c r="C711" s="29"/>
      <c r="D711" s="17"/>
      <c r="E711" s="20"/>
      <c r="F711" s="45">
        <f t="shared" si="643"/>
        <v>0</v>
      </c>
      <c r="G711" s="16"/>
      <c r="H711" s="29"/>
      <c r="I711" s="17"/>
      <c r="J711" s="20"/>
      <c r="K711" s="45">
        <f t="shared" si="644"/>
        <v>0</v>
      </c>
      <c r="L711" s="104">
        <f t="shared" si="635"/>
        <v>0</v>
      </c>
      <c r="N711" s="72"/>
      <c r="O711" s="16"/>
      <c r="P711" s="29"/>
      <c r="Q711" s="17"/>
      <c r="R711" s="32"/>
      <c r="S711" s="9">
        <f t="shared" si="651"/>
        <v>0</v>
      </c>
      <c r="T711" s="16"/>
      <c r="U711" s="29"/>
      <c r="V711" s="17"/>
      <c r="W711" s="32"/>
      <c r="X711" s="9">
        <f t="shared" si="652"/>
        <v>0</v>
      </c>
      <c r="Y711" s="104">
        <f t="shared" si="653"/>
        <v>0</v>
      </c>
    </row>
    <row r="712" spans="1:26" x14ac:dyDescent="0.15">
      <c r="A712" s="47"/>
      <c r="B712" s="16"/>
      <c r="C712" s="29"/>
      <c r="D712" s="17"/>
      <c r="E712" s="20"/>
      <c r="F712" s="45">
        <f t="shared" si="643"/>
        <v>0</v>
      </c>
      <c r="G712" s="16"/>
      <c r="H712" s="29"/>
      <c r="I712" s="17"/>
      <c r="J712" s="20"/>
      <c r="K712" s="45">
        <f t="shared" si="644"/>
        <v>0</v>
      </c>
      <c r="L712" s="104">
        <f t="shared" si="635"/>
        <v>0</v>
      </c>
      <c r="N712" s="138" t="s">
        <v>1224</v>
      </c>
      <c r="O712" s="145">
        <v>0</v>
      </c>
      <c r="P712" s="146">
        <v>0</v>
      </c>
      <c r="Q712" s="147">
        <v>0</v>
      </c>
      <c r="R712" s="148">
        <v>0</v>
      </c>
      <c r="S712" s="215">
        <f t="shared" si="651"/>
        <v>0</v>
      </c>
      <c r="T712" s="145">
        <v>0</v>
      </c>
      <c r="U712" s="146">
        <v>0</v>
      </c>
      <c r="V712" s="147">
        <v>0</v>
      </c>
      <c r="W712" s="148">
        <v>0</v>
      </c>
      <c r="X712" s="215">
        <f t="shared" si="652"/>
        <v>0</v>
      </c>
      <c r="Y712" s="144">
        <f t="shared" si="653"/>
        <v>0</v>
      </c>
      <c r="Z712" s="227"/>
    </row>
    <row r="713" spans="1:26" x14ac:dyDescent="0.15">
      <c r="A713" s="47"/>
      <c r="B713" s="16"/>
      <c r="C713" s="29"/>
      <c r="D713" s="17"/>
      <c r="E713" s="20"/>
      <c r="F713" s="45">
        <f t="shared" si="643"/>
        <v>0</v>
      </c>
      <c r="G713" s="16"/>
      <c r="H713" s="29"/>
      <c r="I713" s="17"/>
      <c r="J713" s="20"/>
      <c r="K713" s="45">
        <f t="shared" si="644"/>
        <v>0</v>
      </c>
      <c r="L713" s="104">
        <f t="shared" si="635"/>
        <v>0</v>
      </c>
      <c r="N713" s="114" t="s">
        <v>1223</v>
      </c>
      <c r="O713" s="91">
        <v>10</v>
      </c>
      <c r="P713" s="92">
        <v>5</v>
      </c>
      <c r="Q713" s="93">
        <v>5</v>
      </c>
      <c r="R713" s="96">
        <v>3</v>
      </c>
      <c r="S713" s="97">
        <f t="shared" si="651"/>
        <v>23</v>
      </c>
      <c r="T713" s="91">
        <v>3</v>
      </c>
      <c r="U713" s="92">
        <v>5</v>
      </c>
      <c r="V713" s="93">
        <v>3</v>
      </c>
      <c r="W713" s="96">
        <v>3</v>
      </c>
      <c r="X713" s="97">
        <f t="shared" si="652"/>
        <v>14</v>
      </c>
      <c r="Y713" s="107">
        <f t="shared" si="653"/>
        <v>37</v>
      </c>
      <c r="Z713" s="227" t="s">
        <v>1225</v>
      </c>
    </row>
    <row r="714" spans="1:26" x14ac:dyDescent="0.15">
      <c r="A714" s="47"/>
      <c r="B714" s="16"/>
      <c r="C714" s="29"/>
      <c r="D714" s="17"/>
      <c r="E714" s="20"/>
      <c r="F714" s="45">
        <f t="shared" si="643"/>
        <v>0</v>
      </c>
      <c r="G714" s="16"/>
      <c r="H714" s="29"/>
      <c r="I714" s="17"/>
      <c r="J714" s="20"/>
      <c r="K714" s="45">
        <f t="shared" si="644"/>
        <v>0</v>
      </c>
      <c r="L714" s="104">
        <f t="shared" si="635"/>
        <v>0</v>
      </c>
      <c r="N714" s="183" t="s">
        <v>1204</v>
      </c>
      <c r="O714" s="91">
        <v>2</v>
      </c>
      <c r="P714" s="92">
        <v>3</v>
      </c>
      <c r="Q714" s="93">
        <v>3</v>
      </c>
      <c r="R714" s="96">
        <v>3</v>
      </c>
      <c r="S714" s="97">
        <f t="shared" si="651"/>
        <v>11</v>
      </c>
      <c r="T714" s="91">
        <v>2</v>
      </c>
      <c r="U714" s="92">
        <v>3</v>
      </c>
      <c r="V714" s="93">
        <v>3</v>
      </c>
      <c r="W714" s="96">
        <v>3</v>
      </c>
      <c r="X714" s="97">
        <f t="shared" si="652"/>
        <v>11</v>
      </c>
      <c r="Y714" s="107">
        <f t="shared" si="653"/>
        <v>22</v>
      </c>
      <c r="Z714" s="227" t="s">
        <v>1205</v>
      </c>
    </row>
    <row r="715" spans="1:26" x14ac:dyDescent="0.15">
      <c r="A715" s="47"/>
      <c r="B715" s="16"/>
      <c r="C715" s="29"/>
      <c r="D715" s="17"/>
      <c r="E715" s="20"/>
      <c r="F715" s="45">
        <f t="shared" si="643"/>
        <v>0</v>
      </c>
      <c r="G715" s="16"/>
      <c r="H715" s="29"/>
      <c r="I715" s="17"/>
      <c r="J715" s="20"/>
      <c r="K715" s="45">
        <f t="shared" si="644"/>
        <v>0</v>
      </c>
      <c r="L715" s="104">
        <f t="shared" si="635"/>
        <v>0</v>
      </c>
      <c r="N715" s="234" t="s">
        <v>1130</v>
      </c>
      <c r="O715" s="139">
        <v>-10</v>
      </c>
      <c r="P715" s="140">
        <v>-10</v>
      </c>
      <c r="Q715" s="141">
        <v>-10</v>
      </c>
      <c r="R715" s="142">
        <v>-10</v>
      </c>
      <c r="S715" s="143">
        <f t="shared" si="651"/>
        <v>-40</v>
      </c>
      <c r="T715" s="139">
        <v>-5</v>
      </c>
      <c r="U715" s="140">
        <v>-10</v>
      </c>
      <c r="V715" s="141">
        <v>-10</v>
      </c>
      <c r="W715" s="142">
        <v>-10</v>
      </c>
      <c r="X715" s="143">
        <f t="shared" si="652"/>
        <v>-35</v>
      </c>
      <c r="Y715" s="299">
        <f t="shared" si="653"/>
        <v>-75</v>
      </c>
      <c r="Z715" s="227"/>
    </row>
    <row r="716" spans="1:26" x14ac:dyDescent="0.15">
      <c r="A716" s="47"/>
      <c r="B716" s="16"/>
      <c r="C716" s="29"/>
      <c r="D716" s="17"/>
      <c r="E716" s="20"/>
      <c r="F716" s="45">
        <f t="shared" si="643"/>
        <v>0</v>
      </c>
      <c r="G716" s="16"/>
      <c r="H716" s="29"/>
      <c r="I716" s="17"/>
      <c r="J716" s="20"/>
      <c r="K716" s="45">
        <f t="shared" si="644"/>
        <v>0</v>
      </c>
      <c r="L716" s="104">
        <f t="shared" si="635"/>
        <v>0</v>
      </c>
      <c r="N716" s="114" t="s">
        <v>1131</v>
      </c>
      <c r="O716" s="91">
        <v>30</v>
      </c>
      <c r="P716" s="92">
        <v>45</v>
      </c>
      <c r="Q716" s="93">
        <v>35</v>
      </c>
      <c r="R716" s="96">
        <v>30</v>
      </c>
      <c r="S716" s="97">
        <f t="shared" si="651"/>
        <v>140</v>
      </c>
      <c r="T716" s="91">
        <v>25</v>
      </c>
      <c r="U716" s="92">
        <v>30</v>
      </c>
      <c r="V716" s="93">
        <v>35</v>
      </c>
      <c r="W716" s="96">
        <v>30</v>
      </c>
      <c r="X716" s="97">
        <f t="shared" si="652"/>
        <v>120</v>
      </c>
      <c r="Y716" s="107">
        <f t="shared" si="653"/>
        <v>260</v>
      </c>
      <c r="Z716" s="227" t="s">
        <v>1132</v>
      </c>
    </row>
    <row r="717" spans="1:26" x14ac:dyDescent="0.15">
      <c r="A717" s="47"/>
      <c r="B717" s="16"/>
      <c r="C717" s="29"/>
      <c r="D717" s="17"/>
      <c r="E717" s="20"/>
      <c r="F717" s="45">
        <f t="shared" si="643"/>
        <v>0</v>
      </c>
      <c r="G717" s="16"/>
      <c r="H717" s="29"/>
      <c r="I717" s="17"/>
      <c r="J717" s="20"/>
      <c r="K717" s="45">
        <f t="shared" si="644"/>
        <v>0</v>
      </c>
      <c r="L717" s="104">
        <f t="shared" si="635"/>
        <v>0</v>
      </c>
      <c r="N717" s="138" t="s">
        <v>1109</v>
      </c>
      <c r="O717" s="145">
        <v>0</v>
      </c>
      <c r="P717" s="146">
        <v>0</v>
      </c>
      <c r="Q717" s="147">
        <v>0</v>
      </c>
      <c r="R717" s="247"/>
      <c r="S717" s="215">
        <f t="shared" si="651"/>
        <v>0</v>
      </c>
      <c r="T717" s="145">
        <v>0</v>
      </c>
      <c r="U717" s="146">
        <v>-10</v>
      </c>
      <c r="V717" s="147">
        <v>-5</v>
      </c>
      <c r="W717" s="247"/>
      <c r="X717" s="215">
        <f t="shared" si="652"/>
        <v>-15</v>
      </c>
      <c r="Y717" s="144">
        <f t="shared" si="653"/>
        <v>-15</v>
      </c>
      <c r="Z717" s="227"/>
    </row>
    <row r="718" spans="1:26" ht="14.25" thickBot="1" x14ac:dyDescent="0.2">
      <c r="A718" s="47"/>
      <c r="B718" s="37"/>
      <c r="C718" s="38"/>
      <c r="D718" s="39"/>
      <c r="E718" s="40"/>
      <c r="F718" s="45">
        <f t="shared" si="643"/>
        <v>0</v>
      </c>
      <c r="G718" s="37"/>
      <c r="H718" s="38"/>
      <c r="I718" s="39"/>
      <c r="J718" s="40"/>
      <c r="K718" s="45">
        <f t="shared" si="644"/>
        <v>0</v>
      </c>
      <c r="L718" s="104">
        <f t="shared" si="635"/>
        <v>0</v>
      </c>
      <c r="N718" s="177" t="s">
        <v>1108</v>
      </c>
      <c r="O718" s="85">
        <v>10</v>
      </c>
      <c r="P718" s="86">
        <v>15</v>
      </c>
      <c r="Q718" s="87">
        <v>10</v>
      </c>
      <c r="R718" s="130"/>
      <c r="S718" s="89">
        <f t="shared" si="651"/>
        <v>35</v>
      </c>
      <c r="T718" s="85">
        <v>10</v>
      </c>
      <c r="U718" s="86">
        <v>25</v>
      </c>
      <c r="V718" s="87">
        <v>12</v>
      </c>
      <c r="W718" s="130"/>
      <c r="X718" s="89">
        <f t="shared" si="652"/>
        <v>47</v>
      </c>
      <c r="Y718" s="127">
        <f t="shared" si="653"/>
        <v>82</v>
      </c>
      <c r="Z718" s="227" t="s">
        <v>1129</v>
      </c>
    </row>
    <row r="719" spans="1:26" ht="14.25" thickBot="1" x14ac:dyDescent="0.2">
      <c r="A719" s="13" t="s">
        <v>8</v>
      </c>
      <c r="B719" s="22">
        <f>SUM(B694:B718)</f>
        <v>3</v>
      </c>
      <c r="C719" s="30">
        <f>SUM(C694:C718)</f>
        <v>2</v>
      </c>
      <c r="D719" s="23">
        <f>SUM(D694:D718)</f>
        <v>1</v>
      </c>
      <c r="E719" s="24">
        <f>SUM(E694:E718)</f>
        <v>2</v>
      </c>
      <c r="F719" s="21">
        <f t="shared" si="643"/>
        <v>8</v>
      </c>
      <c r="G719" s="22">
        <f>SUM(G694:G718)</f>
        <v>2</v>
      </c>
      <c r="H719" s="30">
        <f>SUM(H694:H718)</f>
        <v>4</v>
      </c>
      <c r="I719" s="23">
        <f>SUM(I694:I718)</f>
        <v>8</v>
      </c>
      <c r="J719" s="24">
        <f>SUM(J694:J718)</f>
        <v>2</v>
      </c>
      <c r="K719" s="21">
        <f>SUM(G719:J719)</f>
        <v>16</v>
      </c>
      <c r="L719" s="105">
        <f t="shared" si="635"/>
        <v>24</v>
      </c>
      <c r="N719" s="49" t="s">
        <v>8</v>
      </c>
      <c r="O719" s="22">
        <f>SUM(O694:O718)</f>
        <v>42</v>
      </c>
      <c r="P719" s="30">
        <f>SUM(P694:P718)</f>
        <v>58</v>
      </c>
      <c r="Q719" s="23">
        <f>SUM(Q694:Q718)</f>
        <v>43</v>
      </c>
      <c r="R719" s="24">
        <f>SUM(R694:R718)</f>
        <v>26</v>
      </c>
      <c r="S719" s="48">
        <f t="shared" si="649"/>
        <v>169</v>
      </c>
      <c r="T719" s="22">
        <f>SUM(T694:T718)</f>
        <v>35</v>
      </c>
      <c r="U719" s="30">
        <f>SUM(U694:U718)</f>
        <v>43</v>
      </c>
      <c r="V719" s="23">
        <f>SUM(V694:V718)</f>
        <v>38</v>
      </c>
      <c r="W719" s="24">
        <f>SUM(W694:W718)</f>
        <v>26</v>
      </c>
      <c r="X719" s="48">
        <f t="shared" si="650"/>
        <v>142</v>
      </c>
      <c r="Y719" s="122">
        <f t="shared" si="642"/>
        <v>311</v>
      </c>
    </row>
    <row r="720" spans="1:26" ht="14.25" thickBot="1" x14ac:dyDescent="0.2">
      <c r="A720" s="14" t="s">
        <v>9</v>
      </c>
      <c r="B720" s="25">
        <f t="shared" ref="B720:K720" si="654">B693-B719</f>
        <v>7</v>
      </c>
      <c r="C720" s="31">
        <f t="shared" si="654"/>
        <v>8</v>
      </c>
      <c r="D720" s="26">
        <f t="shared" si="654"/>
        <v>6</v>
      </c>
      <c r="E720" s="27">
        <f t="shared" si="654"/>
        <v>5</v>
      </c>
      <c r="F720" s="83">
        <f t="shared" si="654"/>
        <v>26</v>
      </c>
      <c r="G720" s="25">
        <f t="shared" si="654"/>
        <v>4</v>
      </c>
      <c r="H720" s="31">
        <f t="shared" si="654"/>
        <v>7</v>
      </c>
      <c r="I720" s="26">
        <f t="shared" si="654"/>
        <v>5</v>
      </c>
      <c r="J720" s="27">
        <f t="shared" si="654"/>
        <v>8</v>
      </c>
      <c r="K720" s="83">
        <f t="shared" si="654"/>
        <v>24</v>
      </c>
      <c r="L720" s="102">
        <f t="shared" si="635"/>
        <v>50</v>
      </c>
      <c r="N720" s="13" t="s">
        <v>9</v>
      </c>
      <c r="O720" s="25">
        <f t="shared" ref="O720:X720" si="655">O693-O719</f>
        <v>97</v>
      </c>
      <c r="P720" s="31">
        <f t="shared" si="655"/>
        <v>138</v>
      </c>
      <c r="Q720" s="26">
        <f t="shared" si="655"/>
        <v>95</v>
      </c>
      <c r="R720" s="27">
        <f t="shared" si="655"/>
        <v>122</v>
      </c>
      <c r="S720" s="36">
        <f t="shared" si="655"/>
        <v>452</v>
      </c>
      <c r="T720" s="25">
        <f t="shared" si="655"/>
        <v>67</v>
      </c>
      <c r="U720" s="31">
        <f t="shared" si="655"/>
        <v>83</v>
      </c>
      <c r="V720" s="26">
        <f t="shared" si="655"/>
        <v>156</v>
      </c>
      <c r="W720" s="27">
        <f t="shared" si="655"/>
        <v>140</v>
      </c>
      <c r="X720" s="36">
        <f t="shared" si="655"/>
        <v>446</v>
      </c>
      <c r="Y720" s="102">
        <f t="shared" si="642"/>
        <v>898</v>
      </c>
    </row>
    <row r="721" spans="1:26" x14ac:dyDescent="0.15">
      <c r="N721" s="189" t="s">
        <v>313</v>
      </c>
      <c r="O721" s="71">
        <f>O720/$S$720*100</f>
        <v>21.460176991150444</v>
      </c>
      <c r="P721" s="71">
        <f t="shared" ref="P721:S721" si="656">P720/$S$720*100</f>
        <v>30.53097345132743</v>
      </c>
      <c r="Q721" s="71">
        <f t="shared" si="656"/>
        <v>21.017699115044248</v>
      </c>
      <c r="R721" s="71">
        <f t="shared" si="656"/>
        <v>26.991150442477874</v>
      </c>
      <c r="S721" s="71">
        <f t="shared" si="656"/>
        <v>100</v>
      </c>
      <c r="T721" s="71">
        <f>T720/$X$720*100</f>
        <v>15.022421524663676</v>
      </c>
      <c r="U721" s="71">
        <f t="shared" ref="U721:X721" si="657">U720/$X$720*100</f>
        <v>18.609865470852018</v>
      </c>
      <c r="V721" s="71">
        <f t="shared" si="657"/>
        <v>34.977578475336323</v>
      </c>
      <c r="W721" s="71">
        <f t="shared" si="657"/>
        <v>31.390134529147986</v>
      </c>
      <c r="X721" s="71">
        <f t="shared" si="657"/>
        <v>100</v>
      </c>
      <c r="Y721" s="50"/>
    </row>
    <row r="722" spans="1:26" x14ac:dyDescent="0.15">
      <c r="N722" s="241" t="s">
        <v>597</v>
      </c>
      <c r="O722" s="149">
        <v>19.7</v>
      </c>
      <c r="P722" s="149">
        <v>28.6</v>
      </c>
      <c r="Q722" s="149">
        <v>25.6</v>
      </c>
      <c r="R722" s="149">
        <v>26</v>
      </c>
      <c r="S722" s="149">
        <v>100</v>
      </c>
      <c r="T722" s="149">
        <v>18.600000000000001</v>
      </c>
      <c r="U722" s="149">
        <v>29.1</v>
      </c>
      <c r="V722" s="149">
        <v>26.7</v>
      </c>
      <c r="W722" s="149">
        <v>25.6</v>
      </c>
      <c r="X722" s="149">
        <v>100</v>
      </c>
    </row>
    <row r="723" spans="1:26" ht="19.5" thickBot="1" x14ac:dyDescent="0.25">
      <c r="A723" s="2" t="s">
        <v>16</v>
      </c>
      <c r="B723" s="2"/>
      <c r="C723" s="1"/>
      <c r="D723" s="1"/>
      <c r="E723" s="1"/>
      <c r="F723" s="84"/>
      <c r="G723" s="2"/>
      <c r="H723" s="1" t="s">
        <v>156</v>
      </c>
      <c r="I723" s="1"/>
      <c r="J723" s="1"/>
      <c r="K723" s="84" t="s">
        <v>13</v>
      </c>
      <c r="L723" s="84"/>
      <c r="N723" s="2" t="s">
        <v>17</v>
      </c>
      <c r="O723" s="71"/>
      <c r="P723" s="71"/>
      <c r="Q723" s="71"/>
      <c r="R723" s="71"/>
      <c r="T723" s="71"/>
      <c r="U723" s="1" t="s">
        <v>156</v>
      </c>
      <c r="V723" s="71"/>
      <c r="W723" s="71"/>
      <c r="X723" s="84" t="s">
        <v>13</v>
      </c>
      <c r="Y723" s="84"/>
    </row>
    <row r="724" spans="1:26" ht="14.25" thickBot="1" x14ac:dyDescent="0.2">
      <c r="A724" s="5" t="s">
        <v>0</v>
      </c>
      <c r="B724" s="328" t="s">
        <v>120</v>
      </c>
      <c r="C724" s="329"/>
      <c r="D724" s="329"/>
      <c r="E724" s="329"/>
      <c r="F724" s="330"/>
      <c r="G724" s="331" t="s">
        <v>14</v>
      </c>
      <c r="H724" s="332"/>
      <c r="I724" s="332"/>
      <c r="J724" s="332"/>
      <c r="K724" s="333"/>
      <c r="L724" s="320" t="s">
        <v>30</v>
      </c>
      <c r="N724" s="5" t="s">
        <v>0</v>
      </c>
      <c r="O724" s="328" t="s">
        <v>202</v>
      </c>
      <c r="P724" s="329"/>
      <c r="Q724" s="329"/>
      <c r="R724" s="329"/>
      <c r="S724" s="330"/>
      <c r="T724" s="331" t="s">
        <v>203</v>
      </c>
      <c r="U724" s="332"/>
      <c r="V724" s="332"/>
      <c r="W724" s="332"/>
      <c r="X724" s="333"/>
      <c r="Y724" s="320" t="s">
        <v>30</v>
      </c>
    </row>
    <row r="725" spans="1:26" ht="14.25" thickBot="1" x14ac:dyDescent="0.2">
      <c r="A725" s="5" t="s">
        <v>1</v>
      </c>
      <c r="B725" s="3" t="s">
        <v>22</v>
      </c>
      <c r="C725" s="28" t="s">
        <v>23</v>
      </c>
      <c r="D725" s="4" t="s">
        <v>24</v>
      </c>
      <c r="E725" s="15" t="s">
        <v>25</v>
      </c>
      <c r="F725" s="19" t="s">
        <v>2</v>
      </c>
      <c r="G725" s="3" t="s">
        <v>22</v>
      </c>
      <c r="H725" s="28" t="s">
        <v>23</v>
      </c>
      <c r="I725" s="4" t="s">
        <v>24</v>
      </c>
      <c r="J725" s="15" t="s">
        <v>25</v>
      </c>
      <c r="K725" s="19" t="s">
        <v>2</v>
      </c>
      <c r="L725" s="321"/>
      <c r="N725" s="5" t="s">
        <v>1</v>
      </c>
      <c r="O725" s="3" t="s">
        <v>22</v>
      </c>
      <c r="P725" s="28" t="s">
        <v>23</v>
      </c>
      <c r="Q725" s="4" t="s">
        <v>24</v>
      </c>
      <c r="R725" s="15" t="s">
        <v>25</v>
      </c>
      <c r="S725" s="19" t="s">
        <v>2</v>
      </c>
      <c r="T725" s="3" t="s">
        <v>22</v>
      </c>
      <c r="U725" s="28" t="s">
        <v>23</v>
      </c>
      <c r="V725" s="4" t="s">
        <v>24</v>
      </c>
      <c r="W725" s="15" t="s">
        <v>25</v>
      </c>
      <c r="X725" s="19" t="s">
        <v>2</v>
      </c>
      <c r="Y725" s="321"/>
    </row>
    <row r="726" spans="1:26" x14ac:dyDescent="0.15">
      <c r="A726" s="78" t="s">
        <v>10</v>
      </c>
      <c r="B726" s="79">
        <f>B720</f>
        <v>7</v>
      </c>
      <c r="C726" s="80">
        <f>C720</f>
        <v>8</v>
      </c>
      <c r="D726" s="80">
        <f>D720</f>
        <v>6</v>
      </c>
      <c r="E726" s="81">
        <f>E720</f>
        <v>5</v>
      </c>
      <c r="F726" s="82">
        <f>SUM(B726:E726)</f>
        <v>26</v>
      </c>
      <c r="G726" s="79">
        <f>G720</f>
        <v>4</v>
      </c>
      <c r="H726" s="80">
        <f>H720</f>
        <v>7</v>
      </c>
      <c r="I726" s="80">
        <f>I720</f>
        <v>5</v>
      </c>
      <c r="J726" s="81">
        <f>J720</f>
        <v>8</v>
      </c>
      <c r="K726" s="82">
        <f>SUM(G726:J726)</f>
        <v>24</v>
      </c>
      <c r="L726" s="98">
        <f>F726+K726</f>
        <v>50</v>
      </c>
      <c r="N726" s="78" t="s">
        <v>10</v>
      </c>
      <c r="O726" s="79">
        <f>O720</f>
        <v>97</v>
      </c>
      <c r="P726" s="80">
        <f>P720</f>
        <v>138</v>
      </c>
      <c r="Q726" s="80">
        <f>Q720</f>
        <v>95</v>
      </c>
      <c r="R726" s="81">
        <f>R720</f>
        <v>122</v>
      </c>
      <c r="S726" s="82">
        <f>SUM(O726:R726)</f>
        <v>452</v>
      </c>
      <c r="T726" s="79">
        <f>T720</f>
        <v>67</v>
      </c>
      <c r="U726" s="80">
        <f>U720</f>
        <v>83</v>
      </c>
      <c r="V726" s="80">
        <f>V720</f>
        <v>156</v>
      </c>
      <c r="W726" s="81">
        <f>W720</f>
        <v>140</v>
      </c>
      <c r="X726" s="82">
        <f>SUM(T726:W726)</f>
        <v>446</v>
      </c>
      <c r="Y726" s="98">
        <f>S726+X726</f>
        <v>898</v>
      </c>
    </row>
    <row r="727" spans="1:26" x14ac:dyDescent="0.15">
      <c r="A727" s="47" t="s">
        <v>3</v>
      </c>
      <c r="B727" s="51"/>
      <c r="C727" s="52"/>
      <c r="D727" s="53"/>
      <c r="E727" s="54"/>
      <c r="F727" s="61">
        <f>SUM(B727:E727)</f>
        <v>0</v>
      </c>
      <c r="G727" s="51"/>
      <c r="H727" s="52"/>
      <c r="I727" s="53"/>
      <c r="J727" s="54"/>
      <c r="K727" s="61">
        <f>SUM(G727:J727)</f>
        <v>0</v>
      </c>
      <c r="L727" s="99">
        <f t="shared" ref="L727:L758" si="658">F727+K727</f>
        <v>0</v>
      </c>
      <c r="N727" s="12" t="s">
        <v>1160</v>
      </c>
      <c r="O727" s="16"/>
      <c r="P727" s="29"/>
      <c r="Q727" s="17"/>
      <c r="R727" s="20"/>
      <c r="S727" s="45">
        <f>SUM(O727:R727)</f>
        <v>0</v>
      </c>
      <c r="T727" s="16"/>
      <c r="U727" s="29"/>
      <c r="V727" s="17"/>
      <c r="W727" s="20"/>
      <c r="X727" s="45">
        <f>SUM(T727:W727)</f>
        <v>0</v>
      </c>
      <c r="Y727" s="100">
        <f t="shared" ref="Y727:Y758" si="659">S727+X727</f>
        <v>0</v>
      </c>
      <c r="Z727" s="56"/>
    </row>
    <row r="728" spans="1:26" x14ac:dyDescent="0.15">
      <c r="A728" s="12" t="s">
        <v>4</v>
      </c>
      <c r="B728" s="6"/>
      <c r="C728" s="18"/>
      <c r="D728" s="7"/>
      <c r="E728" s="8"/>
      <c r="F728" s="9">
        <f>SUM(B728:E728)</f>
        <v>0</v>
      </c>
      <c r="G728" s="6"/>
      <c r="H728" s="18"/>
      <c r="I728" s="7"/>
      <c r="J728" s="8"/>
      <c r="K728" s="9">
        <f>SUM(G728:J728)</f>
        <v>0</v>
      </c>
      <c r="L728" s="100">
        <f t="shared" si="658"/>
        <v>0</v>
      </c>
      <c r="N728" s="12" t="s">
        <v>4</v>
      </c>
      <c r="O728" s="16"/>
      <c r="P728" s="29"/>
      <c r="Q728" s="17"/>
      <c r="R728" s="20"/>
      <c r="S728" s="45">
        <f t="shared" ref="S728:S729" si="660">SUM(O728:R728)</f>
        <v>0</v>
      </c>
      <c r="T728" s="16"/>
      <c r="U728" s="29"/>
      <c r="V728" s="17"/>
      <c r="W728" s="20"/>
      <c r="X728" s="45">
        <f t="shared" ref="X728:X729" si="661">SUM(T728:W728)</f>
        <v>0</v>
      </c>
      <c r="Y728" s="100">
        <f t="shared" ref="Y728:Y729" si="662">S728+X728</f>
        <v>0</v>
      </c>
      <c r="Z728" s="56"/>
    </row>
    <row r="729" spans="1:26" x14ac:dyDescent="0.15">
      <c r="A729" s="12" t="s">
        <v>5</v>
      </c>
      <c r="B729" s="6"/>
      <c r="C729" s="18"/>
      <c r="D729" s="7"/>
      <c r="E729" s="8"/>
      <c r="F729" s="9">
        <f>SUM(B729:E729)</f>
        <v>0</v>
      </c>
      <c r="G729" s="6"/>
      <c r="H729" s="18"/>
      <c r="I729" s="7"/>
      <c r="J729" s="8"/>
      <c r="K729" s="9">
        <f>SUM(G729:J729)</f>
        <v>0</v>
      </c>
      <c r="L729" s="100">
        <f t="shared" si="658"/>
        <v>0</v>
      </c>
      <c r="N729" s="12" t="s">
        <v>5</v>
      </c>
      <c r="O729" s="16"/>
      <c r="P729" s="29"/>
      <c r="Q729" s="17"/>
      <c r="R729" s="20"/>
      <c r="S729" s="45">
        <f t="shared" si="660"/>
        <v>0</v>
      </c>
      <c r="T729" s="16"/>
      <c r="U729" s="29"/>
      <c r="V729" s="17"/>
      <c r="W729" s="20"/>
      <c r="X729" s="45">
        <f t="shared" si="661"/>
        <v>0</v>
      </c>
      <c r="Y729" s="100">
        <f t="shared" si="662"/>
        <v>0</v>
      </c>
      <c r="Z729" s="56"/>
    </row>
    <row r="730" spans="1:26" ht="14.25" thickBot="1" x14ac:dyDescent="0.2">
      <c r="A730" s="12" t="s">
        <v>6</v>
      </c>
      <c r="B730" s="6"/>
      <c r="C730" s="18"/>
      <c r="D730" s="7"/>
      <c r="E730" s="8"/>
      <c r="F730" s="10">
        <f>SUM(B730:E730)</f>
        <v>0</v>
      </c>
      <c r="G730" s="6"/>
      <c r="H730" s="18"/>
      <c r="I730" s="7"/>
      <c r="J730" s="8"/>
      <c r="K730" s="10">
        <f>SUM(G730:J730)</f>
        <v>0</v>
      </c>
      <c r="L730" s="101">
        <f t="shared" si="658"/>
        <v>0</v>
      </c>
      <c r="N730" s="12" t="s">
        <v>6</v>
      </c>
      <c r="O730" s="16"/>
      <c r="P730" s="29"/>
      <c r="Q730" s="17"/>
      <c r="R730" s="20"/>
      <c r="S730" s="45">
        <f t="shared" ref="S730" si="663">SUM(O730:R730)</f>
        <v>0</v>
      </c>
      <c r="T730" s="16"/>
      <c r="U730" s="29"/>
      <c r="V730" s="17"/>
      <c r="W730" s="20"/>
      <c r="X730" s="45">
        <f t="shared" ref="X730" si="664">SUM(T730:W730)</f>
        <v>0</v>
      </c>
      <c r="Y730" s="100">
        <f t="shared" ref="Y730" si="665">S730+X730</f>
        <v>0</v>
      </c>
      <c r="Z730" s="56"/>
    </row>
    <row r="731" spans="1:26" ht="14.25" thickBot="1" x14ac:dyDescent="0.2">
      <c r="A731" s="14" t="s">
        <v>7</v>
      </c>
      <c r="B731" s="62">
        <f t="shared" ref="B731:K731" si="666">SUM(B726:B730)</f>
        <v>7</v>
      </c>
      <c r="C731" s="63">
        <f t="shared" si="666"/>
        <v>8</v>
      </c>
      <c r="D731" s="64">
        <f t="shared" si="666"/>
        <v>6</v>
      </c>
      <c r="E731" s="65">
        <f t="shared" si="666"/>
        <v>5</v>
      </c>
      <c r="F731" s="66">
        <f t="shared" si="666"/>
        <v>26</v>
      </c>
      <c r="G731" s="62">
        <f t="shared" si="666"/>
        <v>4</v>
      </c>
      <c r="H731" s="63">
        <f t="shared" si="666"/>
        <v>7</v>
      </c>
      <c r="I731" s="64">
        <f t="shared" si="666"/>
        <v>5</v>
      </c>
      <c r="J731" s="65">
        <f t="shared" si="666"/>
        <v>8</v>
      </c>
      <c r="K731" s="66">
        <f t="shared" si="666"/>
        <v>24</v>
      </c>
      <c r="L731" s="102">
        <f t="shared" si="658"/>
        <v>50</v>
      </c>
      <c r="N731" s="13" t="s">
        <v>7</v>
      </c>
      <c r="O731" s="25">
        <f t="shared" ref="O731:X731" si="667">SUM(O726:O730)</f>
        <v>97</v>
      </c>
      <c r="P731" s="31">
        <f t="shared" si="667"/>
        <v>138</v>
      </c>
      <c r="Q731" s="26">
        <f t="shared" si="667"/>
        <v>95</v>
      </c>
      <c r="R731" s="67">
        <f t="shared" si="667"/>
        <v>122</v>
      </c>
      <c r="S731" s="68">
        <f t="shared" si="667"/>
        <v>452</v>
      </c>
      <c r="T731" s="25">
        <f t="shared" si="667"/>
        <v>67</v>
      </c>
      <c r="U731" s="31">
        <f t="shared" si="667"/>
        <v>83</v>
      </c>
      <c r="V731" s="26">
        <f t="shared" si="667"/>
        <v>156</v>
      </c>
      <c r="W731" s="67">
        <f t="shared" si="667"/>
        <v>140</v>
      </c>
      <c r="X731" s="68">
        <f t="shared" si="667"/>
        <v>446</v>
      </c>
      <c r="Y731" s="102">
        <f t="shared" si="659"/>
        <v>898</v>
      </c>
    </row>
    <row r="732" spans="1:26" x14ac:dyDescent="0.15">
      <c r="A732" s="47"/>
      <c r="B732" s="41"/>
      <c r="C732" s="42"/>
      <c r="D732" s="43"/>
      <c r="E732" s="44"/>
      <c r="F732" s="70">
        <f t="shared" ref="F732:F757" si="668">SUM(B732:E732)</f>
        <v>0</v>
      </c>
      <c r="G732" s="41"/>
      <c r="H732" s="42"/>
      <c r="I732" s="43"/>
      <c r="J732" s="44"/>
      <c r="K732" s="70">
        <f t="shared" ref="K732:K756" si="669">SUM(G732:J732)</f>
        <v>0</v>
      </c>
      <c r="L732" s="103">
        <f t="shared" si="658"/>
        <v>0</v>
      </c>
      <c r="N732" s="33"/>
      <c r="O732" s="16"/>
      <c r="P732" s="29"/>
      <c r="Q732" s="17"/>
      <c r="R732" s="32"/>
      <c r="S732" s="9">
        <f t="shared" ref="S732:S737" si="670">SUM(O732:R732)</f>
        <v>0</v>
      </c>
      <c r="T732" s="16"/>
      <c r="U732" s="29"/>
      <c r="V732" s="17"/>
      <c r="W732" s="32"/>
      <c r="X732" s="9">
        <f t="shared" ref="X732:X737" si="671">SUM(T732:W732)</f>
        <v>0</v>
      </c>
      <c r="Y732" s="104">
        <f t="shared" si="659"/>
        <v>0</v>
      </c>
    </row>
    <row r="733" spans="1:26" x14ac:dyDescent="0.15">
      <c r="A733" s="47"/>
      <c r="B733" s="16"/>
      <c r="C733" s="29"/>
      <c r="D733" s="17"/>
      <c r="E733" s="20"/>
      <c r="F733" s="45">
        <f t="shared" si="668"/>
        <v>0</v>
      </c>
      <c r="G733" s="16"/>
      <c r="H733" s="29"/>
      <c r="I733" s="17"/>
      <c r="J733" s="20"/>
      <c r="K733" s="45">
        <f t="shared" si="669"/>
        <v>0</v>
      </c>
      <c r="L733" s="104">
        <f t="shared" si="658"/>
        <v>0</v>
      </c>
      <c r="N733" s="33"/>
      <c r="O733" s="16"/>
      <c r="P733" s="29"/>
      <c r="Q733" s="17"/>
      <c r="R733" s="32"/>
      <c r="S733" s="9">
        <f t="shared" si="670"/>
        <v>0</v>
      </c>
      <c r="T733" s="16"/>
      <c r="U733" s="29"/>
      <c r="V733" s="17"/>
      <c r="W733" s="32"/>
      <c r="X733" s="9">
        <f t="shared" si="671"/>
        <v>0</v>
      </c>
      <c r="Y733" s="104">
        <f t="shared" si="659"/>
        <v>0</v>
      </c>
    </row>
    <row r="734" spans="1:26" x14ac:dyDescent="0.15">
      <c r="A734" s="47"/>
      <c r="B734" s="16"/>
      <c r="C734" s="29"/>
      <c r="D734" s="17"/>
      <c r="E734" s="20"/>
      <c r="F734" s="45">
        <f t="shared" si="668"/>
        <v>0</v>
      </c>
      <c r="G734" s="16"/>
      <c r="H734" s="29"/>
      <c r="I734" s="17"/>
      <c r="J734" s="20"/>
      <c r="K734" s="45">
        <f t="shared" si="669"/>
        <v>0</v>
      </c>
      <c r="L734" s="104">
        <f t="shared" si="658"/>
        <v>0</v>
      </c>
      <c r="N734" s="33"/>
      <c r="O734" s="16"/>
      <c r="P734" s="29"/>
      <c r="Q734" s="17"/>
      <c r="R734" s="32"/>
      <c r="S734" s="9">
        <f t="shared" si="670"/>
        <v>0</v>
      </c>
      <c r="T734" s="16"/>
      <c r="U734" s="29"/>
      <c r="V734" s="17"/>
      <c r="W734" s="32"/>
      <c r="X734" s="9">
        <f t="shared" si="671"/>
        <v>0</v>
      </c>
      <c r="Y734" s="104">
        <f t="shared" si="659"/>
        <v>0</v>
      </c>
    </row>
    <row r="735" spans="1:26" x14ac:dyDescent="0.15">
      <c r="A735" s="47"/>
      <c r="B735" s="16"/>
      <c r="C735" s="29"/>
      <c r="D735" s="17"/>
      <c r="E735" s="20"/>
      <c r="F735" s="45">
        <f t="shared" si="668"/>
        <v>0</v>
      </c>
      <c r="G735" s="16"/>
      <c r="H735" s="29"/>
      <c r="I735" s="17"/>
      <c r="J735" s="20"/>
      <c r="K735" s="45">
        <f t="shared" si="669"/>
        <v>0</v>
      </c>
      <c r="L735" s="104">
        <f t="shared" si="658"/>
        <v>0</v>
      </c>
      <c r="N735" s="33"/>
      <c r="O735" s="16"/>
      <c r="P735" s="29"/>
      <c r="Q735" s="17"/>
      <c r="R735" s="32"/>
      <c r="S735" s="9">
        <f t="shared" si="670"/>
        <v>0</v>
      </c>
      <c r="T735" s="16"/>
      <c r="U735" s="29"/>
      <c r="V735" s="17"/>
      <c r="W735" s="32"/>
      <c r="X735" s="9">
        <f t="shared" si="671"/>
        <v>0</v>
      </c>
      <c r="Y735" s="104">
        <f t="shared" si="659"/>
        <v>0</v>
      </c>
    </row>
    <row r="736" spans="1:26" x14ac:dyDescent="0.15">
      <c r="A736" s="47"/>
      <c r="B736" s="16"/>
      <c r="C736" s="29"/>
      <c r="D736" s="17"/>
      <c r="E736" s="20"/>
      <c r="F736" s="45">
        <f t="shared" si="668"/>
        <v>0</v>
      </c>
      <c r="G736" s="16"/>
      <c r="H736" s="29"/>
      <c r="I736" s="17"/>
      <c r="J736" s="20"/>
      <c r="K736" s="45">
        <f t="shared" si="669"/>
        <v>0</v>
      </c>
      <c r="L736" s="104">
        <f t="shared" si="658"/>
        <v>0</v>
      </c>
      <c r="N736" s="33"/>
      <c r="O736" s="16"/>
      <c r="P736" s="29"/>
      <c r="Q736" s="17"/>
      <c r="R736" s="32"/>
      <c r="S736" s="9">
        <f t="shared" si="670"/>
        <v>0</v>
      </c>
      <c r="T736" s="16"/>
      <c r="U736" s="29"/>
      <c r="V736" s="17"/>
      <c r="W736" s="32"/>
      <c r="X736" s="9">
        <f t="shared" si="671"/>
        <v>0</v>
      </c>
      <c r="Y736" s="104">
        <f t="shared" si="659"/>
        <v>0</v>
      </c>
    </row>
    <row r="737" spans="1:26" x14ac:dyDescent="0.15">
      <c r="A737" s="47"/>
      <c r="B737" s="16"/>
      <c r="C737" s="29"/>
      <c r="D737" s="17"/>
      <c r="E737" s="20"/>
      <c r="F737" s="45">
        <f t="shared" si="668"/>
        <v>0</v>
      </c>
      <c r="G737" s="16"/>
      <c r="H737" s="29"/>
      <c r="I737" s="17"/>
      <c r="J737" s="20"/>
      <c r="K737" s="45">
        <f t="shared" si="669"/>
        <v>0</v>
      </c>
      <c r="L737" s="104">
        <f t="shared" si="658"/>
        <v>0</v>
      </c>
      <c r="N737" s="33"/>
      <c r="O737" s="16"/>
      <c r="P737" s="29"/>
      <c r="Q737" s="17"/>
      <c r="R737" s="32"/>
      <c r="S737" s="9">
        <f t="shared" si="670"/>
        <v>0</v>
      </c>
      <c r="T737" s="16"/>
      <c r="U737" s="29"/>
      <c r="V737" s="17"/>
      <c r="W737" s="32"/>
      <c r="X737" s="9">
        <f t="shared" si="671"/>
        <v>0</v>
      </c>
      <c r="Y737" s="104">
        <f t="shared" si="659"/>
        <v>0</v>
      </c>
    </row>
    <row r="738" spans="1:26" x14ac:dyDescent="0.15">
      <c r="A738" s="47"/>
      <c r="B738" s="16"/>
      <c r="C738" s="29"/>
      <c r="D738" s="17"/>
      <c r="E738" s="20"/>
      <c r="F738" s="45">
        <f t="shared" si="668"/>
        <v>0</v>
      </c>
      <c r="G738" s="16"/>
      <c r="H738" s="29"/>
      <c r="I738" s="17"/>
      <c r="J738" s="20"/>
      <c r="K738" s="45">
        <f t="shared" si="669"/>
        <v>0</v>
      </c>
      <c r="L738" s="104">
        <f t="shared" si="658"/>
        <v>0</v>
      </c>
      <c r="N738" s="33"/>
      <c r="O738" s="16"/>
      <c r="P738" s="29"/>
      <c r="Q738" s="17"/>
      <c r="R738" s="32"/>
      <c r="S738" s="9">
        <f>SUM(O738:R738)</f>
        <v>0</v>
      </c>
      <c r="T738" s="16"/>
      <c r="U738" s="29"/>
      <c r="V738" s="17"/>
      <c r="W738" s="32"/>
      <c r="X738" s="9">
        <f>SUM(T738:W738)</f>
        <v>0</v>
      </c>
      <c r="Y738" s="104">
        <f t="shared" si="659"/>
        <v>0</v>
      </c>
    </row>
    <row r="739" spans="1:26" x14ac:dyDescent="0.15">
      <c r="A739" s="47"/>
      <c r="B739" s="16"/>
      <c r="C739" s="29"/>
      <c r="D739" s="17"/>
      <c r="E739" s="20"/>
      <c r="F739" s="45">
        <f t="shared" si="668"/>
        <v>0</v>
      </c>
      <c r="G739" s="16"/>
      <c r="H739" s="29"/>
      <c r="I739" s="17"/>
      <c r="J739" s="20"/>
      <c r="K739" s="45">
        <f t="shared" si="669"/>
        <v>0</v>
      </c>
      <c r="L739" s="104">
        <f t="shared" si="658"/>
        <v>0</v>
      </c>
      <c r="N739" s="33"/>
      <c r="O739" s="16"/>
      <c r="P739" s="29"/>
      <c r="Q739" s="17"/>
      <c r="R739" s="32"/>
      <c r="S739" s="9">
        <f t="shared" ref="S739:S743" si="672">SUM(O739:R739)</f>
        <v>0</v>
      </c>
      <c r="T739" s="16"/>
      <c r="U739" s="29"/>
      <c r="V739" s="17"/>
      <c r="W739" s="32"/>
      <c r="X739" s="9">
        <f t="shared" ref="X739:X743" si="673">SUM(T739:W739)</f>
        <v>0</v>
      </c>
      <c r="Y739" s="104">
        <f t="shared" si="659"/>
        <v>0</v>
      </c>
    </row>
    <row r="740" spans="1:26" x14ac:dyDescent="0.15">
      <c r="A740" s="47"/>
      <c r="B740" s="16"/>
      <c r="C740" s="29"/>
      <c r="D740" s="17"/>
      <c r="E740" s="20"/>
      <c r="F740" s="45">
        <f t="shared" si="668"/>
        <v>0</v>
      </c>
      <c r="G740" s="16"/>
      <c r="H740" s="29"/>
      <c r="I740" s="17"/>
      <c r="J740" s="20"/>
      <c r="K740" s="45">
        <f t="shared" si="669"/>
        <v>0</v>
      </c>
      <c r="L740" s="104">
        <f t="shared" si="658"/>
        <v>0</v>
      </c>
      <c r="N740" s="33"/>
      <c r="O740" s="16"/>
      <c r="P740" s="29"/>
      <c r="Q740" s="17"/>
      <c r="R740" s="32"/>
      <c r="S740" s="9">
        <f t="shared" si="672"/>
        <v>0</v>
      </c>
      <c r="T740" s="16"/>
      <c r="U740" s="29"/>
      <c r="V740" s="17"/>
      <c r="W740" s="32"/>
      <c r="X740" s="9">
        <f t="shared" si="673"/>
        <v>0</v>
      </c>
      <c r="Y740" s="104">
        <f t="shared" si="659"/>
        <v>0</v>
      </c>
    </row>
    <row r="741" spans="1:26" x14ac:dyDescent="0.15">
      <c r="A741" s="33"/>
      <c r="B741" s="16"/>
      <c r="C741" s="29"/>
      <c r="D741" s="17"/>
      <c r="E741" s="20"/>
      <c r="F741" s="45">
        <f t="shared" si="668"/>
        <v>0</v>
      </c>
      <c r="G741" s="16"/>
      <c r="H741" s="29"/>
      <c r="I741" s="17"/>
      <c r="J741" s="20"/>
      <c r="K741" s="45">
        <f t="shared" si="669"/>
        <v>0</v>
      </c>
      <c r="L741" s="104">
        <f t="shared" si="658"/>
        <v>0</v>
      </c>
      <c r="N741" s="33"/>
      <c r="O741" s="16"/>
      <c r="P741" s="29"/>
      <c r="Q741" s="17"/>
      <c r="R741" s="32"/>
      <c r="S741" s="9">
        <f t="shared" si="672"/>
        <v>0</v>
      </c>
      <c r="T741" s="16"/>
      <c r="U741" s="29"/>
      <c r="V741" s="17"/>
      <c r="W741" s="32"/>
      <c r="X741" s="9">
        <f t="shared" si="673"/>
        <v>0</v>
      </c>
      <c r="Y741" s="104">
        <f t="shared" si="659"/>
        <v>0</v>
      </c>
    </row>
    <row r="742" spans="1:26" x14ac:dyDescent="0.15">
      <c r="A742" s="47"/>
      <c r="B742" s="16"/>
      <c r="C742" s="29"/>
      <c r="D742" s="17"/>
      <c r="E742" s="20"/>
      <c r="F742" s="45">
        <f t="shared" si="668"/>
        <v>0</v>
      </c>
      <c r="G742" s="16"/>
      <c r="H742" s="29"/>
      <c r="I742" s="17"/>
      <c r="J742" s="20"/>
      <c r="K742" s="45">
        <f t="shared" si="669"/>
        <v>0</v>
      </c>
      <c r="L742" s="104">
        <f t="shared" si="658"/>
        <v>0</v>
      </c>
      <c r="N742" s="33"/>
      <c r="O742" s="16"/>
      <c r="P742" s="29"/>
      <c r="Q742" s="17"/>
      <c r="R742" s="32"/>
      <c r="S742" s="9">
        <f t="shared" si="672"/>
        <v>0</v>
      </c>
      <c r="T742" s="16"/>
      <c r="U742" s="29"/>
      <c r="V742" s="17"/>
      <c r="W742" s="32"/>
      <c r="X742" s="9">
        <f t="shared" si="673"/>
        <v>0</v>
      </c>
      <c r="Y742" s="104">
        <f t="shared" si="659"/>
        <v>0</v>
      </c>
    </row>
    <row r="743" spans="1:26" x14ac:dyDescent="0.15">
      <c r="A743" s="47"/>
      <c r="B743" s="16"/>
      <c r="C743" s="29"/>
      <c r="D743" s="17"/>
      <c r="E743" s="20"/>
      <c r="F743" s="45">
        <f t="shared" si="668"/>
        <v>0</v>
      </c>
      <c r="G743" s="16"/>
      <c r="H743" s="29"/>
      <c r="I743" s="17"/>
      <c r="J743" s="20"/>
      <c r="K743" s="45">
        <f t="shared" si="669"/>
        <v>0</v>
      </c>
      <c r="L743" s="104">
        <f t="shared" si="658"/>
        <v>0</v>
      </c>
      <c r="N743" s="72"/>
      <c r="O743" s="16"/>
      <c r="P743" s="29"/>
      <c r="Q743" s="17"/>
      <c r="R743" s="32"/>
      <c r="S743" s="9">
        <f t="shared" si="672"/>
        <v>0</v>
      </c>
      <c r="T743" s="16"/>
      <c r="U743" s="29"/>
      <c r="V743" s="17"/>
      <c r="W743" s="32"/>
      <c r="X743" s="9">
        <f t="shared" si="673"/>
        <v>0</v>
      </c>
      <c r="Y743" s="104">
        <f t="shared" si="659"/>
        <v>0</v>
      </c>
    </row>
    <row r="744" spans="1:26" x14ac:dyDescent="0.15">
      <c r="A744" s="47"/>
      <c r="B744" s="16"/>
      <c r="C744" s="29"/>
      <c r="D744" s="17"/>
      <c r="E744" s="20"/>
      <c r="F744" s="45">
        <f t="shared" si="668"/>
        <v>0</v>
      </c>
      <c r="G744" s="16"/>
      <c r="H744" s="29"/>
      <c r="I744" s="17"/>
      <c r="J744" s="20"/>
      <c r="K744" s="45">
        <f t="shared" si="669"/>
        <v>0</v>
      </c>
      <c r="L744" s="104">
        <f t="shared" si="658"/>
        <v>0</v>
      </c>
      <c r="N744" s="33"/>
      <c r="O744" s="16"/>
      <c r="P744" s="29"/>
      <c r="Q744" s="17"/>
      <c r="R744" s="32"/>
      <c r="S744" s="9">
        <f>SUM(O744:R744)</f>
        <v>0</v>
      </c>
      <c r="T744" s="16"/>
      <c r="U744" s="29"/>
      <c r="V744" s="17"/>
      <c r="W744" s="32"/>
      <c r="X744" s="9">
        <f>SUM(T744:W744)</f>
        <v>0</v>
      </c>
      <c r="Y744" s="104">
        <f t="shared" si="659"/>
        <v>0</v>
      </c>
    </row>
    <row r="745" spans="1:26" x14ac:dyDescent="0.15">
      <c r="A745" s="47"/>
      <c r="B745" s="16"/>
      <c r="C745" s="29"/>
      <c r="D745" s="17"/>
      <c r="E745" s="20"/>
      <c r="F745" s="45">
        <f t="shared" si="668"/>
        <v>0</v>
      </c>
      <c r="G745" s="16"/>
      <c r="H745" s="29"/>
      <c r="I745" s="17"/>
      <c r="J745" s="20"/>
      <c r="K745" s="45">
        <f t="shared" si="669"/>
        <v>0</v>
      </c>
      <c r="L745" s="104">
        <f t="shared" si="658"/>
        <v>0</v>
      </c>
      <c r="N745" s="72"/>
      <c r="O745" s="16"/>
      <c r="P745" s="29"/>
      <c r="Q745" s="17"/>
      <c r="R745" s="32"/>
      <c r="S745" s="9">
        <f>SUM(O745:R745)</f>
        <v>0</v>
      </c>
      <c r="T745" s="16"/>
      <c r="U745" s="29"/>
      <c r="V745" s="17"/>
      <c r="W745" s="32"/>
      <c r="X745" s="9">
        <f>SUM(T745:W745)</f>
        <v>0</v>
      </c>
      <c r="Y745" s="104">
        <f t="shared" si="659"/>
        <v>0</v>
      </c>
    </row>
    <row r="746" spans="1:26" x14ac:dyDescent="0.15">
      <c r="A746" s="33"/>
      <c r="B746" s="16"/>
      <c r="C746" s="29"/>
      <c r="D746" s="17"/>
      <c r="E746" s="20"/>
      <c r="F746" s="45">
        <f t="shared" si="668"/>
        <v>0</v>
      </c>
      <c r="G746" s="16"/>
      <c r="H746" s="29"/>
      <c r="I746" s="17"/>
      <c r="J746" s="20"/>
      <c r="K746" s="45">
        <f t="shared" si="669"/>
        <v>0</v>
      </c>
      <c r="L746" s="104">
        <f t="shared" si="658"/>
        <v>0</v>
      </c>
      <c r="N746" s="72"/>
      <c r="O746" s="16"/>
      <c r="P746" s="29"/>
      <c r="Q746" s="17"/>
      <c r="R746" s="32"/>
      <c r="S746" s="9">
        <f t="shared" ref="S746:S757" si="674">SUM(O746:R746)</f>
        <v>0</v>
      </c>
      <c r="T746" s="16"/>
      <c r="U746" s="29"/>
      <c r="V746" s="17"/>
      <c r="W746" s="32"/>
      <c r="X746" s="9">
        <f t="shared" ref="X746:X757" si="675">SUM(T746:W746)</f>
        <v>0</v>
      </c>
      <c r="Y746" s="104">
        <f t="shared" si="659"/>
        <v>0</v>
      </c>
    </row>
    <row r="747" spans="1:26" x14ac:dyDescent="0.15">
      <c r="A747" s="47"/>
      <c r="B747" s="16"/>
      <c r="C747" s="29"/>
      <c r="D747" s="17"/>
      <c r="E747" s="20"/>
      <c r="F747" s="45">
        <f t="shared" si="668"/>
        <v>0</v>
      </c>
      <c r="G747" s="16"/>
      <c r="H747" s="29"/>
      <c r="I747" s="17"/>
      <c r="J747" s="20"/>
      <c r="K747" s="45">
        <f t="shared" si="669"/>
        <v>0</v>
      </c>
      <c r="L747" s="104">
        <f t="shared" si="658"/>
        <v>0</v>
      </c>
      <c r="N747" s="72"/>
      <c r="O747" s="16"/>
      <c r="P747" s="29"/>
      <c r="Q747" s="17"/>
      <c r="R747" s="32"/>
      <c r="S747" s="9">
        <f t="shared" ref="S747:S750" si="676">SUM(O747:R747)</f>
        <v>0</v>
      </c>
      <c r="T747" s="16"/>
      <c r="U747" s="29"/>
      <c r="V747" s="17"/>
      <c r="W747" s="32"/>
      <c r="X747" s="9">
        <f t="shared" ref="X747:X750" si="677">SUM(T747:W747)</f>
        <v>0</v>
      </c>
      <c r="Y747" s="104">
        <f t="shared" ref="Y747:Y750" si="678">S747+X747</f>
        <v>0</v>
      </c>
    </row>
    <row r="748" spans="1:26" x14ac:dyDescent="0.15">
      <c r="A748" s="47"/>
      <c r="B748" s="16"/>
      <c r="C748" s="29"/>
      <c r="D748" s="17"/>
      <c r="E748" s="20"/>
      <c r="F748" s="45">
        <f t="shared" si="668"/>
        <v>0</v>
      </c>
      <c r="G748" s="16"/>
      <c r="H748" s="29"/>
      <c r="I748" s="17"/>
      <c r="J748" s="20"/>
      <c r="K748" s="45">
        <f t="shared" si="669"/>
        <v>0</v>
      </c>
      <c r="L748" s="104">
        <f t="shared" si="658"/>
        <v>0</v>
      </c>
      <c r="N748" s="72"/>
      <c r="O748" s="16"/>
      <c r="P748" s="29"/>
      <c r="Q748" s="17"/>
      <c r="R748" s="32"/>
      <c r="S748" s="9">
        <f t="shared" si="676"/>
        <v>0</v>
      </c>
      <c r="T748" s="16"/>
      <c r="U748" s="29"/>
      <c r="V748" s="17"/>
      <c r="W748" s="32"/>
      <c r="X748" s="9">
        <f t="shared" si="677"/>
        <v>0</v>
      </c>
      <c r="Y748" s="104">
        <f t="shared" si="678"/>
        <v>0</v>
      </c>
    </row>
    <row r="749" spans="1:26" x14ac:dyDescent="0.15">
      <c r="A749" s="47"/>
      <c r="B749" s="16"/>
      <c r="C749" s="29"/>
      <c r="D749" s="17"/>
      <c r="E749" s="20"/>
      <c r="F749" s="45">
        <f t="shared" si="668"/>
        <v>0</v>
      </c>
      <c r="G749" s="16"/>
      <c r="H749" s="29"/>
      <c r="I749" s="17"/>
      <c r="J749" s="20"/>
      <c r="K749" s="45">
        <f t="shared" si="669"/>
        <v>0</v>
      </c>
      <c r="L749" s="104">
        <f t="shared" si="658"/>
        <v>0</v>
      </c>
      <c r="N749" s="72"/>
      <c r="O749" s="16"/>
      <c r="P749" s="29"/>
      <c r="Q749" s="17"/>
      <c r="R749" s="32"/>
      <c r="S749" s="9">
        <f t="shared" si="676"/>
        <v>0</v>
      </c>
      <c r="T749" s="16"/>
      <c r="U749" s="29"/>
      <c r="V749" s="17"/>
      <c r="W749" s="32"/>
      <c r="X749" s="9">
        <f t="shared" si="677"/>
        <v>0</v>
      </c>
      <c r="Y749" s="104">
        <f t="shared" si="678"/>
        <v>0</v>
      </c>
    </row>
    <row r="750" spans="1:26" x14ac:dyDescent="0.15">
      <c r="A750" s="47"/>
      <c r="B750" s="16"/>
      <c r="C750" s="29"/>
      <c r="D750" s="17"/>
      <c r="E750" s="20"/>
      <c r="F750" s="45">
        <f t="shared" si="668"/>
        <v>0</v>
      </c>
      <c r="G750" s="16"/>
      <c r="H750" s="29"/>
      <c r="I750" s="17"/>
      <c r="J750" s="20"/>
      <c r="K750" s="45">
        <f t="shared" si="669"/>
        <v>0</v>
      </c>
      <c r="L750" s="104">
        <f t="shared" si="658"/>
        <v>0</v>
      </c>
      <c r="N750" s="72"/>
      <c r="O750" s="16"/>
      <c r="P750" s="29"/>
      <c r="Q750" s="17"/>
      <c r="R750" s="32"/>
      <c r="S750" s="9">
        <f t="shared" si="676"/>
        <v>0</v>
      </c>
      <c r="T750" s="16"/>
      <c r="U750" s="29"/>
      <c r="V750" s="17"/>
      <c r="W750" s="32"/>
      <c r="X750" s="9">
        <f t="shared" si="677"/>
        <v>0</v>
      </c>
      <c r="Y750" s="104">
        <f t="shared" si="678"/>
        <v>0</v>
      </c>
    </row>
    <row r="751" spans="1:26" x14ac:dyDescent="0.15">
      <c r="A751" s="47"/>
      <c r="B751" s="16"/>
      <c r="C751" s="29"/>
      <c r="D751" s="17"/>
      <c r="E751" s="20"/>
      <c r="F751" s="45">
        <f t="shared" si="668"/>
        <v>0</v>
      </c>
      <c r="G751" s="16"/>
      <c r="H751" s="29"/>
      <c r="I751" s="17"/>
      <c r="J751" s="20"/>
      <c r="K751" s="45">
        <f t="shared" si="669"/>
        <v>0</v>
      </c>
      <c r="L751" s="104">
        <f t="shared" si="658"/>
        <v>0</v>
      </c>
      <c r="N751" s="138" t="s">
        <v>1070</v>
      </c>
      <c r="O751" s="145">
        <v>-10</v>
      </c>
      <c r="P751" s="146">
        <v>-10</v>
      </c>
      <c r="Q751" s="147">
        <v>-10</v>
      </c>
      <c r="R751" s="148">
        <v>-10</v>
      </c>
      <c r="S751" s="215">
        <f t="shared" ref="S751:S756" si="679">SUM(O751:R751)</f>
        <v>-40</v>
      </c>
      <c r="T751" s="242"/>
      <c r="U751" s="243"/>
      <c r="V751" s="244"/>
      <c r="W751" s="247"/>
      <c r="X751" s="215">
        <f t="shared" ref="X751:X756" si="680">SUM(T751:W751)</f>
        <v>0</v>
      </c>
      <c r="Y751" s="144">
        <f t="shared" ref="Y751:Y756" si="681">S751+X751</f>
        <v>-40</v>
      </c>
      <c r="Z751" s="227"/>
    </row>
    <row r="752" spans="1:26" x14ac:dyDescent="0.15">
      <c r="A752" s="47"/>
      <c r="B752" s="16"/>
      <c r="C752" s="29"/>
      <c r="D752" s="17"/>
      <c r="E752" s="20"/>
      <c r="F752" s="45">
        <f t="shared" si="668"/>
        <v>0</v>
      </c>
      <c r="G752" s="16"/>
      <c r="H752" s="29"/>
      <c r="I752" s="17"/>
      <c r="J752" s="20"/>
      <c r="K752" s="45">
        <f t="shared" si="669"/>
        <v>0</v>
      </c>
      <c r="L752" s="104">
        <f t="shared" si="658"/>
        <v>0</v>
      </c>
      <c r="N752" s="114" t="s">
        <v>1116</v>
      </c>
      <c r="O752" s="91">
        <v>45</v>
      </c>
      <c r="P752" s="92">
        <v>55</v>
      </c>
      <c r="Q752" s="93">
        <v>60</v>
      </c>
      <c r="R752" s="96">
        <v>55</v>
      </c>
      <c r="S752" s="97">
        <f t="shared" si="679"/>
        <v>215</v>
      </c>
      <c r="T752" s="211"/>
      <c r="U752" s="212"/>
      <c r="V752" s="213"/>
      <c r="W752" s="236"/>
      <c r="X752" s="97">
        <f t="shared" si="680"/>
        <v>0</v>
      </c>
      <c r="Y752" s="107">
        <f t="shared" si="681"/>
        <v>215</v>
      </c>
      <c r="Z752" s="227" t="s">
        <v>1115</v>
      </c>
    </row>
    <row r="753" spans="1:26" x14ac:dyDescent="0.15">
      <c r="A753" s="47"/>
      <c r="B753" s="16"/>
      <c r="C753" s="29"/>
      <c r="D753" s="17"/>
      <c r="E753" s="20"/>
      <c r="F753" s="45">
        <f t="shared" si="668"/>
        <v>0</v>
      </c>
      <c r="G753" s="16"/>
      <c r="H753" s="29"/>
      <c r="I753" s="17"/>
      <c r="J753" s="20"/>
      <c r="K753" s="45">
        <f t="shared" si="669"/>
        <v>0</v>
      </c>
      <c r="L753" s="104">
        <f t="shared" si="658"/>
        <v>0</v>
      </c>
      <c r="N753" s="138" t="s">
        <v>1208</v>
      </c>
      <c r="O753" s="242"/>
      <c r="P753" s="243"/>
      <c r="Q753" s="244"/>
      <c r="R753" s="247"/>
      <c r="S753" s="215">
        <f t="shared" si="679"/>
        <v>0</v>
      </c>
      <c r="T753" s="145">
        <v>-5</v>
      </c>
      <c r="U753" s="146">
        <v>-5</v>
      </c>
      <c r="V753" s="147">
        <v>-5</v>
      </c>
      <c r="W753" s="148">
        <v>-5</v>
      </c>
      <c r="X753" s="215">
        <f t="shared" si="680"/>
        <v>-20</v>
      </c>
      <c r="Y753" s="144">
        <f t="shared" si="681"/>
        <v>-20</v>
      </c>
      <c r="Z753" s="227"/>
    </row>
    <row r="754" spans="1:26" x14ac:dyDescent="0.15">
      <c r="A754" s="47"/>
      <c r="B754" s="16"/>
      <c r="C754" s="29"/>
      <c r="D754" s="17"/>
      <c r="E754" s="20"/>
      <c r="F754" s="45">
        <f t="shared" si="668"/>
        <v>0</v>
      </c>
      <c r="G754" s="16"/>
      <c r="H754" s="29"/>
      <c r="I754" s="17"/>
      <c r="J754" s="20"/>
      <c r="K754" s="45">
        <f t="shared" si="669"/>
        <v>0</v>
      </c>
      <c r="L754" s="104">
        <f t="shared" si="658"/>
        <v>0</v>
      </c>
      <c r="N754" s="114" t="s">
        <v>1207</v>
      </c>
      <c r="O754" s="211"/>
      <c r="P754" s="212"/>
      <c r="Q754" s="213"/>
      <c r="R754" s="236"/>
      <c r="S754" s="97">
        <f t="shared" si="679"/>
        <v>0</v>
      </c>
      <c r="T754" s="91">
        <v>10</v>
      </c>
      <c r="U754" s="92">
        <v>15</v>
      </c>
      <c r="V754" s="93">
        <v>10</v>
      </c>
      <c r="W754" s="96">
        <v>10</v>
      </c>
      <c r="X754" s="97">
        <f t="shared" si="680"/>
        <v>45</v>
      </c>
      <c r="Y754" s="107">
        <f t="shared" si="681"/>
        <v>45</v>
      </c>
      <c r="Z754" s="227" t="s">
        <v>1209</v>
      </c>
    </row>
    <row r="755" spans="1:26" x14ac:dyDescent="0.15">
      <c r="A755" s="47"/>
      <c r="B755" s="16"/>
      <c r="C755" s="29"/>
      <c r="D755" s="17"/>
      <c r="E755" s="20"/>
      <c r="F755" s="45">
        <f t="shared" si="668"/>
        <v>0</v>
      </c>
      <c r="G755" s="16"/>
      <c r="H755" s="29"/>
      <c r="I755" s="17"/>
      <c r="J755" s="20"/>
      <c r="K755" s="45">
        <f t="shared" si="669"/>
        <v>0</v>
      </c>
      <c r="L755" s="104">
        <f t="shared" si="658"/>
        <v>0</v>
      </c>
      <c r="N755" s="138" t="s">
        <v>1171</v>
      </c>
      <c r="O755" s="145">
        <v>0</v>
      </c>
      <c r="P755" s="146">
        <v>0</v>
      </c>
      <c r="Q755" s="147">
        <v>0</v>
      </c>
      <c r="R755" s="247"/>
      <c r="S755" s="215">
        <f t="shared" si="679"/>
        <v>0</v>
      </c>
      <c r="T755" s="145">
        <v>0</v>
      </c>
      <c r="U755" s="146">
        <v>-10</v>
      </c>
      <c r="V755" s="147">
        <v>-5</v>
      </c>
      <c r="W755" s="247"/>
      <c r="X755" s="215">
        <f t="shared" si="680"/>
        <v>-15</v>
      </c>
      <c r="Y755" s="144">
        <f t="shared" si="681"/>
        <v>-15</v>
      </c>
      <c r="Z755" s="227"/>
    </row>
    <row r="756" spans="1:26" ht="14.25" thickBot="1" x14ac:dyDescent="0.2">
      <c r="A756" s="47"/>
      <c r="B756" s="37"/>
      <c r="C756" s="38"/>
      <c r="D756" s="39"/>
      <c r="E756" s="40"/>
      <c r="F756" s="45">
        <f t="shared" si="668"/>
        <v>0</v>
      </c>
      <c r="G756" s="37"/>
      <c r="H756" s="38"/>
      <c r="I756" s="39"/>
      <c r="J756" s="40"/>
      <c r="K756" s="45">
        <f t="shared" si="669"/>
        <v>0</v>
      </c>
      <c r="L756" s="104">
        <f t="shared" si="658"/>
        <v>0</v>
      </c>
      <c r="N756" s="177" t="s">
        <v>1172</v>
      </c>
      <c r="O756" s="85">
        <v>10</v>
      </c>
      <c r="P756" s="86">
        <v>15</v>
      </c>
      <c r="Q756" s="87">
        <v>10</v>
      </c>
      <c r="R756" s="130"/>
      <c r="S756" s="89">
        <f t="shared" si="679"/>
        <v>35</v>
      </c>
      <c r="T756" s="85">
        <v>10</v>
      </c>
      <c r="U756" s="86">
        <v>25</v>
      </c>
      <c r="V756" s="87">
        <v>12</v>
      </c>
      <c r="W756" s="130"/>
      <c r="X756" s="89">
        <f t="shared" si="680"/>
        <v>47</v>
      </c>
      <c r="Y756" s="127">
        <f t="shared" si="681"/>
        <v>82</v>
      </c>
      <c r="Z756" s="227" t="s">
        <v>1173</v>
      </c>
    </row>
    <row r="757" spans="1:26" ht="14.25" thickBot="1" x14ac:dyDescent="0.2">
      <c r="A757" s="13" t="s">
        <v>8</v>
      </c>
      <c r="B757" s="22">
        <f>SUM(B732:B756)</f>
        <v>0</v>
      </c>
      <c r="C757" s="30">
        <f>SUM(C732:C756)</f>
        <v>0</v>
      </c>
      <c r="D757" s="23">
        <f>SUM(D732:D756)</f>
        <v>0</v>
      </c>
      <c r="E757" s="24">
        <f>SUM(E732:E756)</f>
        <v>0</v>
      </c>
      <c r="F757" s="21">
        <f t="shared" si="668"/>
        <v>0</v>
      </c>
      <c r="G757" s="22">
        <f>SUM(G732:G756)</f>
        <v>0</v>
      </c>
      <c r="H757" s="30">
        <f>SUM(H732:H756)</f>
        <v>0</v>
      </c>
      <c r="I757" s="23">
        <f>SUM(I732:I756)</f>
        <v>0</v>
      </c>
      <c r="J757" s="24">
        <f>SUM(J732:J756)</f>
        <v>0</v>
      </c>
      <c r="K757" s="21">
        <f>SUM(G757:J757)</f>
        <v>0</v>
      </c>
      <c r="L757" s="105">
        <f t="shared" si="658"/>
        <v>0</v>
      </c>
      <c r="N757" s="49" t="s">
        <v>8</v>
      </c>
      <c r="O757" s="22">
        <f>SUM(O732:O756)</f>
        <v>45</v>
      </c>
      <c r="P757" s="30">
        <f>SUM(P732:P756)</f>
        <v>60</v>
      </c>
      <c r="Q757" s="23">
        <f>SUM(Q732:Q756)</f>
        <v>60</v>
      </c>
      <c r="R757" s="24">
        <f>SUM(R732:R756)</f>
        <v>45</v>
      </c>
      <c r="S757" s="48">
        <f t="shared" si="674"/>
        <v>210</v>
      </c>
      <c r="T757" s="22">
        <f>SUM(T732:T756)</f>
        <v>15</v>
      </c>
      <c r="U757" s="30">
        <f>SUM(U732:U756)</f>
        <v>25</v>
      </c>
      <c r="V757" s="23">
        <f>SUM(V732:V756)</f>
        <v>12</v>
      </c>
      <c r="W757" s="24">
        <f>SUM(W732:W756)</f>
        <v>5</v>
      </c>
      <c r="X757" s="48">
        <f t="shared" si="675"/>
        <v>57</v>
      </c>
      <c r="Y757" s="122">
        <f t="shared" si="659"/>
        <v>267</v>
      </c>
    </row>
    <row r="758" spans="1:26" ht="14.25" thickBot="1" x14ac:dyDescent="0.2">
      <c r="A758" s="14" t="s">
        <v>9</v>
      </c>
      <c r="B758" s="25">
        <f t="shared" ref="B758:K758" si="682">B731-B757</f>
        <v>7</v>
      </c>
      <c r="C758" s="31">
        <f t="shared" si="682"/>
        <v>8</v>
      </c>
      <c r="D758" s="26">
        <f t="shared" si="682"/>
        <v>6</v>
      </c>
      <c r="E758" s="27">
        <f t="shared" si="682"/>
        <v>5</v>
      </c>
      <c r="F758" s="83">
        <f t="shared" si="682"/>
        <v>26</v>
      </c>
      <c r="G758" s="25">
        <f t="shared" si="682"/>
        <v>4</v>
      </c>
      <c r="H758" s="31">
        <f t="shared" si="682"/>
        <v>7</v>
      </c>
      <c r="I758" s="26">
        <f t="shared" si="682"/>
        <v>5</v>
      </c>
      <c r="J758" s="27">
        <f t="shared" si="682"/>
        <v>8</v>
      </c>
      <c r="K758" s="83">
        <f t="shared" si="682"/>
        <v>24</v>
      </c>
      <c r="L758" s="102">
        <f t="shared" si="658"/>
        <v>50</v>
      </c>
      <c r="N758" s="13" t="s">
        <v>9</v>
      </c>
      <c r="O758" s="25">
        <f t="shared" ref="O758:X758" si="683">O731-O757</f>
        <v>52</v>
      </c>
      <c r="P758" s="31">
        <f t="shared" si="683"/>
        <v>78</v>
      </c>
      <c r="Q758" s="26">
        <f t="shared" si="683"/>
        <v>35</v>
      </c>
      <c r="R758" s="27">
        <f t="shared" si="683"/>
        <v>77</v>
      </c>
      <c r="S758" s="36">
        <f t="shared" si="683"/>
        <v>242</v>
      </c>
      <c r="T758" s="25">
        <f t="shared" si="683"/>
        <v>52</v>
      </c>
      <c r="U758" s="31">
        <f t="shared" si="683"/>
        <v>58</v>
      </c>
      <c r="V758" s="26">
        <f t="shared" si="683"/>
        <v>144</v>
      </c>
      <c r="W758" s="27">
        <f t="shared" si="683"/>
        <v>135</v>
      </c>
      <c r="X758" s="36">
        <f t="shared" si="683"/>
        <v>389</v>
      </c>
      <c r="Y758" s="102">
        <f t="shared" si="659"/>
        <v>631</v>
      </c>
    </row>
    <row r="759" spans="1:26" x14ac:dyDescent="0.15">
      <c r="N759" s="189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50"/>
    </row>
    <row r="760" spans="1:26" x14ac:dyDescent="0.15">
      <c r="N760" s="241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</row>
    <row r="761" spans="1:26" ht="19.5" thickBot="1" x14ac:dyDescent="0.25">
      <c r="A761" s="2" t="s">
        <v>16</v>
      </c>
      <c r="B761" s="2"/>
      <c r="C761" s="1"/>
      <c r="D761" s="1"/>
      <c r="E761" s="1"/>
      <c r="F761" s="84"/>
      <c r="G761" s="2"/>
      <c r="H761" s="1" t="s">
        <v>156</v>
      </c>
      <c r="I761" s="1"/>
      <c r="J761" s="1"/>
      <c r="K761" s="84" t="s">
        <v>13</v>
      </c>
      <c r="L761" s="84"/>
      <c r="N761" s="2" t="s">
        <v>17</v>
      </c>
      <c r="O761" s="71"/>
      <c r="P761" s="71"/>
      <c r="Q761" s="71"/>
      <c r="R761" s="71"/>
      <c r="T761" s="71"/>
      <c r="U761" s="1" t="s">
        <v>156</v>
      </c>
      <c r="V761" s="71"/>
      <c r="W761" s="71"/>
      <c r="X761" s="84" t="s">
        <v>13</v>
      </c>
      <c r="Y761" s="84"/>
    </row>
    <row r="762" spans="1:26" ht="14.25" thickBot="1" x14ac:dyDescent="0.2">
      <c r="A762" s="5" t="s">
        <v>0</v>
      </c>
      <c r="B762" s="328" t="s">
        <v>120</v>
      </c>
      <c r="C762" s="329"/>
      <c r="D762" s="329"/>
      <c r="E762" s="329"/>
      <c r="F762" s="330"/>
      <c r="G762" s="331" t="s">
        <v>14</v>
      </c>
      <c r="H762" s="332"/>
      <c r="I762" s="332"/>
      <c r="J762" s="332"/>
      <c r="K762" s="333"/>
      <c r="L762" s="320" t="s">
        <v>30</v>
      </c>
      <c r="N762" s="5" t="s">
        <v>0</v>
      </c>
      <c r="O762" s="328" t="s">
        <v>202</v>
      </c>
      <c r="P762" s="329"/>
      <c r="Q762" s="329"/>
      <c r="R762" s="329"/>
      <c r="S762" s="330"/>
      <c r="T762" s="331" t="s">
        <v>203</v>
      </c>
      <c r="U762" s="332"/>
      <c r="V762" s="332"/>
      <c r="W762" s="332"/>
      <c r="X762" s="333"/>
      <c r="Y762" s="320" t="s">
        <v>30</v>
      </c>
    </row>
    <row r="763" spans="1:26" ht="14.25" thickBot="1" x14ac:dyDescent="0.2">
      <c r="A763" s="5" t="s">
        <v>1</v>
      </c>
      <c r="B763" s="3" t="s">
        <v>22</v>
      </c>
      <c r="C763" s="28" t="s">
        <v>23</v>
      </c>
      <c r="D763" s="4" t="s">
        <v>24</v>
      </c>
      <c r="E763" s="15" t="s">
        <v>25</v>
      </c>
      <c r="F763" s="19" t="s">
        <v>2</v>
      </c>
      <c r="G763" s="3" t="s">
        <v>22</v>
      </c>
      <c r="H763" s="28" t="s">
        <v>23</v>
      </c>
      <c r="I763" s="4" t="s">
        <v>24</v>
      </c>
      <c r="J763" s="15" t="s">
        <v>25</v>
      </c>
      <c r="K763" s="19" t="s">
        <v>2</v>
      </c>
      <c r="L763" s="321"/>
      <c r="N763" s="5" t="s">
        <v>1</v>
      </c>
      <c r="O763" s="3" t="s">
        <v>22</v>
      </c>
      <c r="P763" s="28" t="s">
        <v>23</v>
      </c>
      <c r="Q763" s="4" t="s">
        <v>24</v>
      </c>
      <c r="R763" s="15" t="s">
        <v>25</v>
      </c>
      <c r="S763" s="19" t="s">
        <v>2</v>
      </c>
      <c r="T763" s="3" t="s">
        <v>22</v>
      </c>
      <c r="U763" s="28" t="s">
        <v>23</v>
      </c>
      <c r="V763" s="4" t="s">
        <v>24</v>
      </c>
      <c r="W763" s="15" t="s">
        <v>25</v>
      </c>
      <c r="X763" s="19" t="s">
        <v>2</v>
      </c>
      <c r="Y763" s="321"/>
    </row>
    <row r="764" spans="1:26" x14ac:dyDescent="0.15">
      <c r="A764" s="78" t="s">
        <v>10</v>
      </c>
      <c r="B764" s="79">
        <f>B758</f>
        <v>7</v>
      </c>
      <c r="C764" s="80">
        <f>C758</f>
        <v>8</v>
      </c>
      <c r="D764" s="80">
        <f>D758</f>
        <v>6</v>
      </c>
      <c r="E764" s="81">
        <f>E758</f>
        <v>5</v>
      </c>
      <c r="F764" s="82">
        <f>SUM(B764:E764)</f>
        <v>26</v>
      </c>
      <c r="G764" s="79">
        <f>G758</f>
        <v>4</v>
      </c>
      <c r="H764" s="80">
        <f>H758</f>
        <v>7</v>
      </c>
      <c r="I764" s="80">
        <f>I758</f>
        <v>5</v>
      </c>
      <c r="J764" s="81">
        <f>J758</f>
        <v>8</v>
      </c>
      <c r="K764" s="82">
        <f>SUM(G764:J764)</f>
        <v>24</v>
      </c>
      <c r="L764" s="98">
        <f>F764+K764</f>
        <v>50</v>
      </c>
      <c r="N764" s="78" t="s">
        <v>10</v>
      </c>
      <c r="O764" s="79">
        <f>O758</f>
        <v>52</v>
      </c>
      <c r="P764" s="80">
        <f>P758</f>
        <v>78</v>
      </c>
      <c r="Q764" s="80">
        <f>Q758</f>
        <v>35</v>
      </c>
      <c r="R764" s="81">
        <f>R758</f>
        <v>77</v>
      </c>
      <c r="S764" s="82">
        <f>SUM(O764:R764)</f>
        <v>242</v>
      </c>
      <c r="T764" s="79">
        <f>T758</f>
        <v>52</v>
      </c>
      <c r="U764" s="80">
        <f>U758</f>
        <v>58</v>
      </c>
      <c r="V764" s="80">
        <f>V758</f>
        <v>144</v>
      </c>
      <c r="W764" s="81">
        <f>W758</f>
        <v>135</v>
      </c>
      <c r="X764" s="82">
        <f>SUM(T764:W764)</f>
        <v>389</v>
      </c>
      <c r="Y764" s="98">
        <f>S764+X764</f>
        <v>631</v>
      </c>
    </row>
    <row r="765" spans="1:26" x14ac:dyDescent="0.15">
      <c r="A765" s="47" t="s">
        <v>3</v>
      </c>
      <c r="B765" s="51"/>
      <c r="C765" s="52"/>
      <c r="D765" s="53"/>
      <c r="E765" s="54"/>
      <c r="F765" s="61">
        <f>SUM(B765:E765)</f>
        <v>0</v>
      </c>
      <c r="G765" s="51"/>
      <c r="H765" s="52"/>
      <c r="I765" s="53"/>
      <c r="J765" s="54"/>
      <c r="K765" s="61">
        <f>SUM(G765:J765)</f>
        <v>0</v>
      </c>
      <c r="L765" s="99">
        <f t="shared" ref="L765:L796" si="684">F765+K765</f>
        <v>0</v>
      </c>
      <c r="N765" s="12" t="s">
        <v>11</v>
      </c>
      <c r="O765" s="16"/>
      <c r="P765" s="29"/>
      <c r="Q765" s="17"/>
      <c r="R765" s="20"/>
      <c r="S765" s="45">
        <f t="shared" ref="S765" si="685">SUM(O765:R765)</f>
        <v>0</v>
      </c>
      <c r="T765" s="16"/>
      <c r="U765" s="29"/>
      <c r="V765" s="17"/>
      <c r="W765" s="20"/>
      <c r="X765" s="45">
        <f t="shared" ref="X765" si="686">SUM(T765:W765)</f>
        <v>0</v>
      </c>
      <c r="Y765" s="100">
        <f t="shared" ref="Y765:Y796" si="687">S765+X765</f>
        <v>0</v>
      </c>
      <c r="Z765" s="56"/>
    </row>
    <row r="766" spans="1:26" x14ac:dyDescent="0.15">
      <c r="A766" s="12" t="s">
        <v>4</v>
      </c>
      <c r="B766" s="6"/>
      <c r="C766" s="18"/>
      <c r="D766" s="7"/>
      <c r="E766" s="8"/>
      <c r="F766" s="9">
        <f>SUM(B766:E766)</f>
        <v>0</v>
      </c>
      <c r="G766" s="6"/>
      <c r="H766" s="18"/>
      <c r="I766" s="7"/>
      <c r="J766" s="8"/>
      <c r="K766" s="9">
        <f>SUM(G766:J766)</f>
        <v>0</v>
      </c>
      <c r="L766" s="100">
        <f t="shared" si="684"/>
        <v>0</v>
      </c>
      <c r="N766" s="90" t="s">
        <v>1026</v>
      </c>
      <c r="O766" s="91">
        <v>10</v>
      </c>
      <c r="P766" s="92">
        <v>30</v>
      </c>
      <c r="Q766" s="93">
        <v>30</v>
      </c>
      <c r="R766" s="94">
        <v>30</v>
      </c>
      <c r="S766" s="95">
        <f>SUM(O766:R766)</f>
        <v>100</v>
      </c>
      <c r="T766" s="91">
        <v>30</v>
      </c>
      <c r="U766" s="92">
        <v>40</v>
      </c>
      <c r="V766" s="93">
        <v>40</v>
      </c>
      <c r="W766" s="94">
        <v>30</v>
      </c>
      <c r="X766" s="95">
        <f>SUM(T766:W766)</f>
        <v>140</v>
      </c>
      <c r="Y766" s="106">
        <f t="shared" si="687"/>
        <v>240</v>
      </c>
      <c r="Z766" s="159">
        <v>46235</v>
      </c>
    </row>
    <row r="767" spans="1:26" x14ac:dyDescent="0.15">
      <c r="A767" s="12" t="s">
        <v>5</v>
      </c>
      <c r="B767" s="6"/>
      <c r="C767" s="18"/>
      <c r="D767" s="7"/>
      <c r="E767" s="8"/>
      <c r="F767" s="9">
        <f>SUM(B767:E767)</f>
        <v>0</v>
      </c>
      <c r="G767" s="6"/>
      <c r="H767" s="18"/>
      <c r="I767" s="7"/>
      <c r="J767" s="8"/>
      <c r="K767" s="9">
        <f>SUM(G767:J767)</f>
        <v>0</v>
      </c>
      <c r="L767" s="100">
        <f t="shared" si="684"/>
        <v>0</v>
      </c>
      <c r="N767" s="90" t="s">
        <v>1088</v>
      </c>
      <c r="O767" s="91">
        <v>0</v>
      </c>
      <c r="P767" s="92">
        <v>0</v>
      </c>
      <c r="Q767" s="93">
        <v>0</v>
      </c>
      <c r="R767" s="94">
        <v>0</v>
      </c>
      <c r="S767" s="95">
        <f t="shared" ref="S767" si="688">SUM(O767:R767)</f>
        <v>0</v>
      </c>
      <c r="T767" s="91">
        <v>100</v>
      </c>
      <c r="U767" s="92">
        <v>170</v>
      </c>
      <c r="V767" s="93">
        <v>110</v>
      </c>
      <c r="W767" s="94">
        <v>130</v>
      </c>
      <c r="X767" s="95">
        <f t="shared" ref="X767" si="689">SUM(T767:W767)</f>
        <v>510</v>
      </c>
      <c r="Y767" s="106">
        <f t="shared" si="687"/>
        <v>510</v>
      </c>
      <c r="Z767" s="159" t="s">
        <v>1159</v>
      </c>
    </row>
    <row r="768" spans="1:26" ht="14.25" thickBot="1" x14ac:dyDescent="0.2">
      <c r="A768" s="12" t="s">
        <v>6</v>
      </c>
      <c r="B768" s="6"/>
      <c r="C768" s="18"/>
      <c r="D768" s="7"/>
      <c r="E768" s="8"/>
      <c r="F768" s="10">
        <f>SUM(B768:E768)</f>
        <v>0</v>
      </c>
      <c r="G768" s="6"/>
      <c r="H768" s="18"/>
      <c r="I768" s="7"/>
      <c r="J768" s="8"/>
      <c r="K768" s="10">
        <f>SUM(G768:J768)</f>
        <v>0</v>
      </c>
      <c r="L768" s="101">
        <f t="shared" si="684"/>
        <v>0</v>
      </c>
      <c r="N768" s="12" t="s">
        <v>1211</v>
      </c>
      <c r="O768" s="16"/>
      <c r="P768" s="29"/>
      <c r="Q768" s="17"/>
      <c r="R768" s="20"/>
      <c r="S768" s="45">
        <f>SUM(O768:R768)</f>
        <v>0</v>
      </c>
      <c r="T768" s="16">
        <v>15</v>
      </c>
      <c r="U768" s="29">
        <v>8</v>
      </c>
      <c r="V768" s="17">
        <v>11</v>
      </c>
      <c r="W768" s="20">
        <v>8</v>
      </c>
      <c r="X768" s="45">
        <f>SUM(T768:W768)</f>
        <v>42</v>
      </c>
      <c r="Y768" s="100">
        <f t="shared" si="687"/>
        <v>42</v>
      </c>
      <c r="Z768" s="56">
        <v>46153</v>
      </c>
    </row>
    <row r="769" spans="1:25" ht="14.25" thickBot="1" x14ac:dyDescent="0.2">
      <c r="A769" s="14" t="s">
        <v>7</v>
      </c>
      <c r="B769" s="62">
        <f t="shared" ref="B769:K769" si="690">SUM(B764:B768)</f>
        <v>7</v>
      </c>
      <c r="C769" s="63">
        <f t="shared" si="690"/>
        <v>8</v>
      </c>
      <c r="D769" s="64">
        <f t="shared" si="690"/>
        <v>6</v>
      </c>
      <c r="E769" s="65">
        <f t="shared" si="690"/>
        <v>5</v>
      </c>
      <c r="F769" s="66">
        <f t="shared" si="690"/>
        <v>26</v>
      </c>
      <c r="G769" s="62">
        <f t="shared" si="690"/>
        <v>4</v>
      </c>
      <c r="H769" s="63">
        <f t="shared" si="690"/>
        <v>7</v>
      </c>
      <c r="I769" s="64">
        <f t="shared" si="690"/>
        <v>5</v>
      </c>
      <c r="J769" s="65">
        <f t="shared" si="690"/>
        <v>8</v>
      </c>
      <c r="K769" s="66">
        <f t="shared" si="690"/>
        <v>24</v>
      </c>
      <c r="L769" s="102">
        <f t="shared" si="684"/>
        <v>50</v>
      </c>
      <c r="N769" s="13" t="s">
        <v>7</v>
      </c>
      <c r="O769" s="25">
        <f t="shared" ref="O769:X769" si="691">SUM(O764:O768)</f>
        <v>62</v>
      </c>
      <c r="P769" s="31">
        <f t="shared" si="691"/>
        <v>108</v>
      </c>
      <c r="Q769" s="26">
        <f t="shared" si="691"/>
        <v>65</v>
      </c>
      <c r="R769" s="67">
        <f t="shared" si="691"/>
        <v>107</v>
      </c>
      <c r="S769" s="68">
        <f t="shared" si="691"/>
        <v>342</v>
      </c>
      <c r="T769" s="25">
        <f t="shared" si="691"/>
        <v>197</v>
      </c>
      <c r="U769" s="31">
        <f t="shared" si="691"/>
        <v>276</v>
      </c>
      <c r="V769" s="26">
        <f t="shared" si="691"/>
        <v>305</v>
      </c>
      <c r="W769" s="67">
        <f t="shared" si="691"/>
        <v>303</v>
      </c>
      <c r="X769" s="68">
        <f t="shared" si="691"/>
        <v>1081</v>
      </c>
      <c r="Y769" s="102">
        <f t="shared" si="687"/>
        <v>1423</v>
      </c>
    </row>
    <row r="770" spans="1:25" x14ac:dyDescent="0.15">
      <c r="A770" s="47"/>
      <c r="B770" s="41"/>
      <c r="C770" s="42"/>
      <c r="D770" s="43"/>
      <c r="E770" s="44"/>
      <c r="F770" s="70">
        <f t="shared" ref="F770:F795" si="692">SUM(B770:E770)</f>
        <v>0</v>
      </c>
      <c r="G770" s="41"/>
      <c r="H770" s="42"/>
      <c r="I770" s="43"/>
      <c r="J770" s="44"/>
      <c r="K770" s="70">
        <f t="shared" ref="K770:K794" si="693">SUM(G770:J770)</f>
        <v>0</v>
      </c>
      <c r="L770" s="103">
        <f t="shared" si="684"/>
        <v>0</v>
      </c>
      <c r="N770" s="33"/>
      <c r="O770" s="16"/>
      <c r="P770" s="29"/>
      <c r="Q770" s="17"/>
      <c r="R770" s="32"/>
      <c r="S770" s="9">
        <f t="shared" ref="S770:S775" si="694">SUM(O770:R770)</f>
        <v>0</v>
      </c>
      <c r="T770" s="16"/>
      <c r="U770" s="29"/>
      <c r="V770" s="17"/>
      <c r="W770" s="32"/>
      <c r="X770" s="9">
        <f t="shared" ref="X770:X775" si="695">SUM(T770:W770)</f>
        <v>0</v>
      </c>
      <c r="Y770" s="104">
        <f t="shared" si="687"/>
        <v>0</v>
      </c>
    </row>
    <row r="771" spans="1:25" x14ac:dyDescent="0.15">
      <c r="A771" s="47"/>
      <c r="B771" s="16"/>
      <c r="C771" s="29"/>
      <c r="D771" s="17"/>
      <c r="E771" s="20"/>
      <c r="F771" s="45">
        <f t="shared" si="692"/>
        <v>0</v>
      </c>
      <c r="G771" s="16"/>
      <c r="H771" s="29"/>
      <c r="I771" s="17"/>
      <c r="J771" s="20"/>
      <c r="K771" s="45">
        <f t="shared" si="693"/>
        <v>0</v>
      </c>
      <c r="L771" s="104">
        <f t="shared" si="684"/>
        <v>0</v>
      </c>
      <c r="N771" s="33"/>
      <c r="O771" s="16"/>
      <c r="P771" s="29"/>
      <c r="Q771" s="17"/>
      <c r="R771" s="32"/>
      <c r="S771" s="9">
        <f t="shared" si="694"/>
        <v>0</v>
      </c>
      <c r="T771" s="16"/>
      <c r="U771" s="29"/>
      <c r="V771" s="17"/>
      <c r="W771" s="32"/>
      <c r="X771" s="9">
        <f t="shared" si="695"/>
        <v>0</v>
      </c>
      <c r="Y771" s="104">
        <f t="shared" si="687"/>
        <v>0</v>
      </c>
    </row>
    <row r="772" spans="1:25" x14ac:dyDescent="0.15">
      <c r="A772" s="47"/>
      <c r="B772" s="16"/>
      <c r="C772" s="29"/>
      <c r="D772" s="17"/>
      <c r="E772" s="20"/>
      <c r="F772" s="45">
        <f t="shared" si="692"/>
        <v>0</v>
      </c>
      <c r="G772" s="16"/>
      <c r="H772" s="29"/>
      <c r="I772" s="17"/>
      <c r="J772" s="20"/>
      <c r="K772" s="45">
        <f t="shared" si="693"/>
        <v>0</v>
      </c>
      <c r="L772" s="104">
        <f t="shared" si="684"/>
        <v>0</v>
      </c>
      <c r="N772" s="33"/>
      <c r="O772" s="16"/>
      <c r="P772" s="29"/>
      <c r="Q772" s="17"/>
      <c r="R772" s="32"/>
      <c r="S772" s="9">
        <f t="shared" si="694"/>
        <v>0</v>
      </c>
      <c r="T772" s="16"/>
      <c r="U772" s="29"/>
      <c r="V772" s="17"/>
      <c r="W772" s="32"/>
      <c r="X772" s="9">
        <f t="shared" si="695"/>
        <v>0</v>
      </c>
      <c r="Y772" s="104">
        <f t="shared" si="687"/>
        <v>0</v>
      </c>
    </row>
    <row r="773" spans="1:25" x14ac:dyDescent="0.15">
      <c r="A773" s="47"/>
      <c r="B773" s="16"/>
      <c r="C773" s="29"/>
      <c r="D773" s="17"/>
      <c r="E773" s="20"/>
      <c r="F773" s="45">
        <f t="shared" si="692"/>
        <v>0</v>
      </c>
      <c r="G773" s="16"/>
      <c r="H773" s="29"/>
      <c r="I773" s="17"/>
      <c r="J773" s="20"/>
      <c r="K773" s="45">
        <f t="shared" si="693"/>
        <v>0</v>
      </c>
      <c r="L773" s="104">
        <f t="shared" si="684"/>
        <v>0</v>
      </c>
      <c r="N773" s="33"/>
      <c r="O773" s="16"/>
      <c r="P773" s="29"/>
      <c r="Q773" s="17"/>
      <c r="R773" s="32"/>
      <c r="S773" s="9">
        <f t="shared" si="694"/>
        <v>0</v>
      </c>
      <c r="T773" s="16"/>
      <c r="U773" s="29"/>
      <c r="V773" s="17"/>
      <c r="W773" s="32"/>
      <c r="X773" s="9">
        <f t="shared" si="695"/>
        <v>0</v>
      </c>
      <c r="Y773" s="104">
        <f t="shared" si="687"/>
        <v>0</v>
      </c>
    </row>
    <row r="774" spans="1:25" x14ac:dyDescent="0.15">
      <c r="A774" s="47"/>
      <c r="B774" s="16"/>
      <c r="C774" s="29"/>
      <c r="D774" s="17"/>
      <c r="E774" s="20"/>
      <c r="F774" s="45">
        <f t="shared" si="692"/>
        <v>0</v>
      </c>
      <c r="G774" s="16"/>
      <c r="H774" s="29"/>
      <c r="I774" s="17"/>
      <c r="J774" s="20"/>
      <c r="K774" s="45">
        <f t="shared" si="693"/>
        <v>0</v>
      </c>
      <c r="L774" s="104">
        <f t="shared" si="684"/>
        <v>0</v>
      </c>
      <c r="N774" s="33"/>
      <c r="O774" s="16"/>
      <c r="P774" s="29"/>
      <c r="Q774" s="17"/>
      <c r="R774" s="32"/>
      <c r="S774" s="9">
        <f t="shared" si="694"/>
        <v>0</v>
      </c>
      <c r="T774" s="16"/>
      <c r="U774" s="29"/>
      <c r="V774" s="17"/>
      <c r="W774" s="32"/>
      <c r="X774" s="9">
        <f t="shared" si="695"/>
        <v>0</v>
      </c>
      <c r="Y774" s="104">
        <f t="shared" si="687"/>
        <v>0</v>
      </c>
    </row>
    <row r="775" spans="1:25" x14ac:dyDescent="0.15">
      <c r="A775" s="47"/>
      <c r="B775" s="16"/>
      <c r="C775" s="29"/>
      <c r="D775" s="17"/>
      <c r="E775" s="20"/>
      <c r="F775" s="45">
        <f t="shared" si="692"/>
        <v>0</v>
      </c>
      <c r="G775" s="16"/>
      <c r="H775" s="29"/>
      <c r="I775" s="17"/>
      <c r="J775" s="20"/>
      <c r="K775" s="45">
        <f t="shared" si="693"/>
        <v>0</v>
      </c>
      <c r="L775" s="104">
        <f t="shared" si="684"/>
        <v>0</v>
      </c>
      <c r="N775" s="33"/>
      <c r="O775" s="16"/>
      <c r="P775" s="29"/>
      <c r="Q775" s="17"/>
      <c r="R775" s="32"/>
      <c r="S775" s="9">
        <f t="shared" si="694"/>
        <v>0</v>
      </c>
      <c r="T775" s="16"/>
      <c r="U775" s="29"/>
      <c r="V775" s="17"/>
      <c r="W775" s="32"/>
      <c r="X775" s="9">
        <f t="shared" si="695"/>
        <v>0</v>
      </c>
      <c r="Y775" s="104">
        <f t="shared" si="687"/>
        <v>0</v>
      </c>
    </row>
    <row r="776" spans="1:25" x14ac:dyDescent="0.15">
      <c r="A776" s="47"/>
      <c r="B776" s="16"/>
      <c r="C776" s="29"/>
      <c r="D776" s="17"/>
      <c r="E776" s="20"/>
      <c r="F776" s="45">
        <f t="shared" si="692"/>
        <v>0</v>
      </c>
      <c r="G776" s="16"/>
      <c r="H776" s="29"/>
      <c r="I776" s="17"/>
      <c r="J776" s="20"/>
      <c r="K776" s="45">
        <f t="shared" si="693"/>
        <v>0</v>
      </c>
      <c r="L776" s="104">
        <f t="shared" si="684"/>
        <v>0</v>
      </c>
      <c r="N776" s="33"/>
      <c r="O776" s="16"/>
      <c r="P776" s="29"/>
      <c r="Q776" s="17"/>
      <c r="R776" s="32"/>
      <c r="S776" s="9">
        <f>SUM(O776:R776)</f>
        <v>0</v>
      </c>
      <c r="T776" s="16"/>
      <c r="U776" s="29"/>
      <c r="V776" s="17"/>
      <c r="W776" s="32"/>
      <c r="X776" s="9">
        <f>SUM(T776:W776)</f>
        <v>0</v>
      </c>
      <c r="Y776" s="104">
        <f t="shared" si="687"/>
        <v>0</v>
      </c>
    </row>
    <row r="777" spans="1:25" x14ac:dyDescent="0.15">
      <c r="A777" s="47"/>
      <c r="B777" s="16"/>
      <c r="C777" s="29"/>
      <c r="D777" s="17"/>
      <c r="E777" s="20"/>
      <c r="F777" s="45">
        <f t="shared" si="692"/>
        <v>0</v>
      </c>
      <c r="G777" s="16"/>
      <c r="H777" s="29"/>
      <c r="I777" s="17"/>
      <c r="J777" s="20"/>
      <c r="K777" s="45">
        <f t="shared" si="693"/>
        <v>0</v>
      </c>
      <c r="L777" s="104">
        <f t="shared" si="684"/>
        <v>0</v>
      </c>
      <c r="N777" s="33"/>
      <c r="O777" s="16"/>
      <c r="P777" s="29"/>
      <c r="Q777" s="17"/>
      <c r="R777" s="32"/>
      <c r="S777" s="9">
        <f t="shared" ref="S777:S781" si="696">SUM(O777:R777)</f>
        <v>0</v>
      </c>
      <c r="T777" s="16"/>
      <c r="U777" s="29"/>
      <c r="V777" s="17"/>
      <c r="W777" s="32"/>
      <c r="X777" s="9">
        <f t="shared" ref="X777:X781" si="697">SUM(T777:W777)</f>
        <v>0</v>
      </c>
      <c r="Y777" s="104">
        <f t="shared" si="687"/>
        <v>0</v>
      </c>
    </row>
    <row r="778" spans="1:25" x14ac:dyDescent="0.15">
      <c r="A778" s="47"/>
      <c r="B778" s="16"/>
      <c r="C778" s="29"/>
      <c r="D778" s="17"/>
      <c r="E778" s="20"/>
      <c r="F778" s="45">
        <f t="shared" si="692"/>
        <v>0</v>
      </c>
      <c r="G778" s="16"/>
      <c r="H778" s="29"/>
      <c r="I778" s="17"/>
      <c r="J778" s="20"/>
      <c r="K778" s="45">
        <f t="shared" si="693"/>
        <v>0</v>
      </c>
      <c r="L778" s="104">
        <f t="shared" si="684"/>
        <v>0</v>
      </c>
      <c r="N778" s="33"/>
      <c r="O778" s="16"/>
      <c r="P778" s="29"/>
      <c r="Q778" s="17"/>
      <c r="R778" s="32"/>
      <c r="S778" s="9">
        <f t="shared" si="696"/>
        <v>0</v>
      </c>
      <c r="T778" s="16"/>
      <c r="U778" s="29"/>
      <c r="V778" s="17"/>
      <c r="W778" s="32"/>
      <c r="X778" s="9">
        <f t="shared" si="697"/>
        <v>0</v>
      </c>
      <c r="Y778" s="104">
        <f t="shared" si="687"/>
        <v>0</v>
      </c>
    </row>
    <row r="779" spans="1:25" x14ac:dyDescent="0.15">
      <c r="A779" s="33"/>
      <c r="B779" s="16"/>
      <c r="C779" s="29"/>
      <c r="D779" s="17"/>
      <c r="E779" s="20"/>
      <c r="F779" s="45">
        <f t="shared" si="692"/>
        <v>0</v>
      </c>
      <c r="G779" s="16"/>
      <c r="H779" s="29"/>
      <c r="I779" s="17"/>
      <c r="J779" s="20"/>
      <c r="K779" s="45">
        <f t="shared" si="693"/>
        <v>0</v>
      </c>
      <c r="L779" s="104">
        <f t="shared" si="684"/>
        <v>0</v>
      </c>
      <c r="N779" s="33"/>
      <c r="O779" s="16"/>
      <c r="P779" s="29"/>
      <c r="Q779" s="17"/>
      <c r="R779" s="32"/>
      <c r="S779" s="9">
        <f t="shared" si="696"/>
        <v>0</v>
      </c>
      <c r="T779" s="16"/>
      <c r="U779" s="29"/>
      <c r="V779" s="17"/>
      <c r="W779" s="32"/>
      <c r="X779" s="9">
        <f t="shared" si="697"/>
        <v>0</v>
      </c>
      <c r="Y779" s="104">
        <f t="shared" si="687"/>
        <v>0</v>
      </c>
    </row>
    <row r="780" spans="1:25" x14ac:dyDescent="0.15">
      <c r="A780" s="47"/>
      <c r="B780" s="16"/>
      <c r="C780" s="29"/>
      <c r="D780" s="17"/>
      <c r="E780" s="20"/>
      <c r="F780" s="45">
        <f t="shared" si="692"/>
        <v>0</v>
      </c>
      <c r="G780" s="16"/>
      <c r="H780" s="29"/>
      <c r="I780" s="17"/>
      <c r="J780" s="20"/>
      <c r="K780" s="45">
        <f t="shared" si="693"/>
        <v>0</v>
      </c>
      <c r="L780" s="104">
        <f t="shared" si="684"/>
        <v>0</v>
      </c>
      <c r="N780" s="33"/>
      <c r="O780" s="16"/>
      <c r="P780" s="29"/>
      <c r="Q780" s="17"/>
      <c r="R780" s="32"/>
      <c r="S780" s="9">
        <f t="shared" si="696"/>
        <v>0</v>
      </c>
      <c r="T780" s="16"/>
      <c r="U780" s="29"/>
      <c r="V780" s="17"/>
      <c r="W780" s="32"/>
      <c r="X780" s="9">
        <f t="shared" si="697"/>
        <v>0</v>
      </c>
      <c r="Y780" s="104">
        <f t="shared" si="687"/>
        <v>0</v>
      </c>
    </row>
    <row r="781" spans="1:25" x14ac:dyDescent="0.15">
      <c r="A781" s="47"/>
      <c r="B781" s="16"/>
      <c r="C781" s="29"/>
      <c r="D781" s="17"/>
      <c r="E781" s="20"/>
      <c r="F781" s="45">
        <f t="shared" si="692"/>
        <v>0</v>
      </c>
      <c r="G781" s="16"/>
      <c r="H781" s="29"/>
      <c r="I781" s="17"/>
      <c r="J781" s="20"/>
      <c r="K781" s="45">
        <f t="shared" si="693"/>
        <v>0</v>
      </c>
      <c r="L781" s="104">
        <f t="shared" si="684"/>
        <v>0</v>
      </c>
      <c r="N781" s="72"/>
      <c r="O781" s="16"/>
      <c r="P781" s="29"/>
      <c r="Q781" s="17"/>
      <c r="R781" s="32"/>
      <c r="S781" s="9">
        <f t="shared" si="696"/>
        <v>0</v>
      </c>
      <c r="T781" s="16"/>
      <c r="U781" s="29"/>
      <c r="V781" s="17"/>
      <c r="W781" s="32"/>
      <c r="X781" s="9">
        <f t="shared" si="697"/>
        <v>0</v>
      </c>
      <c r="Y781" s="104">
        <f t="shared" si="687"/>
        <v>0</v>
      </c>
    </row>
    <row r="782" spans="1:25" x14ac:dyDescent="0.15">
      <c r="A782" s="47"/>
      <c r="B782" s="16"/>
      <c r="C782" s="29"/>
      <c r="D782" s="17"/>
      <c r="E782" s="20"/>
      <c r="F782" s="45">
        <f t="shared" si="692"/>
        <v>0</v>
      </c>
      <c r="G782" s="16"/>
      <c r="H782" s="29"/>
      <c r="I782" s="17"/>
      <c r="J782" s="20"/>
      <c r="K782" s="45">
        <f t="shared" si="693"/>
        <v>0</v>
      </c>
      <c r="L782" s="104">
        <f t="shared" si="684"/>
        <v>0</v>
      </c>
      <c r="N782" s="33"/>
      <c r="O782" s="16"/>
      <c r="P782" s="29"/>
      <c r="Q782" s="17"/>
      <c r="R782" s="32"/>
      <c r="S782" s="9">
        <f>SUM(O782:R782)</f>
        <v>0</v>
      </c>
      <c r="T782" s="16"/>
      <c r="U782" s="29"/>
      <c r="V782" s="17"/>
      <c r="W782" s="32"/>
      <c r="X782" s="9">
        <f>SUM(T782:W782)</f>
        <v>0</v>
      </c>
      <c r="Y782" s="104">
        <f t="shared" si="687"/>
        <v>0</v>
      </c>
    </row>
    <row r="783" spans="1:25" x14ac:dyDescent="0.15">
      <c r="A783" s="47"/>
      <c r="B783" s="16"/>
      <c r="C783" s="29"/>
      <c r="D783" s="17"/>
      <c r="E783" s="20"/>
      <c r="F783" s="45">
        <f t="shared" si="692"/>
        <v>0</v>
      </c>
      <c r="G783" s="16"/>
      <c r="H783" s="29"/>
      <c r="I783" s="17"/>
      <c r="J783" s="20"/>
      <c r="K783" s="45">
        <f t="shared" si="693"/>
        <v>0</v>
      </c>
      <c r="L783" s="104">
        <f t="shared" si="684"/>
        <v>0</v>
      </c>
      <c r="N783" s="72"/>
      <c r="O783" s="16"/>
      <c r="P783" s="29"/>
      <c r="Q783" s="17"/>
      <c r="R783" s="32"/>
      <c r="S783" s="9">
        <f>SUM(O783:R783)</f>
        <v>0</v>
      </c>
      <c r="T783" s="16"/>
      <c r="U783" s="29"/>
      <c r="V783" s="17"/>
      <c r="W783" s="32"/>
      <c r="X783" s="9">
        <f>SUM(T783:W783)</f>
        <v>0</v>
      </c>
      <c r="Y783" s="104">
        <f t="shared" si="687"/>
        <v>0</v>
      </c>
    </row>
    <row r="784" spans="1:25" x14ac:dyDescent="0.15">
      <c r="A784" s="33"/>
      <c r="B784" s="16"/>
      <c r="C784" s="29"/>
      <c r="D784" s="17"/>
      <c r="E784" s="20"/>
      <c r="F784" s="45">
        <f t="shared" si="692"/>
        <v>0</v>
      </c>
      <c r="G784" s="16"/>
      <c r="H784" s="29"/>
      <c r="I784" s="17"/>
      <c r="J784" s="20"/>
      <c r="K784" s="45">
        <f t="shared" si="693"/>
        <v>0</v>
      </c>
      <c r="L784" s="104">
        <f t="shared" si="684"/>
        <v>0</v>
      </c>
      <c r="N784" s="72"/>
      <c r="O784" s="16"/>
      <c r="P784" s="29"/>
      <c r="Q784" s="17"/>
      <c r="R784" s="32"/>
      <c r="S784" s="9">
        <f t="shared" ref="S784:S795" si="698">SUM(O784:R784)</f>
        <v>0</v>
      </c>
      <c r="T784" s="16"/>
      <c r="U784" s="29"/>
      <c r="V784" s="17"/>
      <c r="W784" s="32"/>
      <c r="X784" s="9">
        <f t="shared" ref="X784:X795" si="699">SUM(T784:W784)</f>
        <v>0</v>
      </c>
      <c r="Y784" s="104">
        <f t="shared" si="687"/>
        <v>0</v>
      </c>
    </row>
    <row r="785" spans="1:26" x14ac:dyDescent="0.15">
      <c r="A785" s="47"/>
      <c r="B785" s="16"/>
      <c r="C785" s="29"/>
      <c r="D785" s="17"/>
      <c r="E785" s="20"/>
      <c r="F785" s="45">
        <f t="shared" si="692"/>
        <v>0</v>
      </c>
      <c r="G785" s="16"/>
      <c r="H785" s="29"/>
      <c r="I785" s="17"/>
      <c r="J785" s="20"/>
      <c r="K785" s="45">
        <f t="shared" si="693"/>
        <v>0</v>
      </c>
      <c r="L785" s="104">
        <f t="shared" si="684"/>
        <v>0</v>
      </c>
      <c r="N785" s="72"/>
      <c r="O785" s="16"/>
      <c r="P785" s="29"/>
      <c r="Q785" s="17"/>
      <c r="R785" s="32"/>
      <c r="S785" s="9">
        <f t="shared" si="698"/>
        <v>0</v>
      </c>
      <c r="T785" s="16"/>
      <c r="U785" s="29"/>
      <c r="V785" s="17"/>
      <c r="W785" s="32"/>
      <c r="X785" s="9">
        <f t="shared" si="699"/>
        <v>0</v>
      </c>
      <c r="Y785" s="104">
        <f t="shared" si="687"/>
        <v>0</v>
      </c>
    </row>
    <row r="786" spans="1:26" x14ac:dyDescent="0.15">
      <c r="A786" s="47"/>
      <c r="B786" s="16"/>
      <c r="C786" s="29"/>
      <c r="D786" s="17"/>
      <c r="E786" s="20"/>
      <c r="F786" s="45">
        <f t="shared" si="692"/>
        <v>0</v>
      </c>
      <c r="G786" s="16"/>
      <c r="H786" s="29"/>
      <c r="I786" s="17"/>
      <c r="J786" s="20"/>
      <c r="K786" s="45">
        <f t="shared" si="693"/>
        <v>0</v>
      </c>
      <c r="L786" s="104">
        <f t="shared" si="684"/>
        <v>0</v>
      </c>
      <c r="N786" s="72"/>
      <c r="O786" s="16"/>
      <c r="P786" s="29"/>
      <c r="Q786" s="17"/>
      <c r="R786" s="32"/>
      <c r="S786" s="9">
        <f t="shared" si="698"/>
        <v>0</v>
      </c>
      <c r="T786" s="16"/>
      <c r="U786" s="29"/>
      <c r="V786" s="17"/>
      <c r="W786" s="32"/>
      <c r="X786" s="9">
        <f t="shared" si="699"/>
        <v>0</v>
      </c>
      <c r="Y786" s="104">
        <f t="shared" si="687"/>
        <v>0</v>
      </c>
    </row>
    <row r="787" spans="1:26" x14ac:dyDescent="0.15">
      <c r="A787" s="47"/>
      <c r="B787" s="16"/>
      <c r="C787" s="29"/>
      <c r="D787" s="17"/>
      <c r="E787" s="20"/>
      <c r="F787" s="45">
        <f t="shared" si="692"/>
        <v>0</v>
      </c>
      <c r="G787" s="16"/>
      <c r="H787" s="29"/>
      <c r="I787" s="17"/>
      <c r="J787" s="20"/>
      <c r="K787" s="45">
        <f t="shared" si="693"/>
        <v>0</v>
      </c>
      <c r="L787" s="104">
        <f t="shared" si="684"/>
        <v>0</v>
      </c>
      <c r="N787" s="72"/>
      <c r="O787" s="16"/>
      <c r="P787" s="29"/>
      <c r="Q787" s="17"/>
      <c r="R787" s="32"/>
      <c r="S787" s="9">
        <f t="shared" si="698"/>
        <v>0</v>
      </c>
      <c r="T787" s="16"/>
      <c r="U787" s="29"/>
      <c r="V787" s="17"/>
      <c r="W787" s="32"/>
      <c r="X787" s="9">
        <f t="shared" si="699"/>
        <v>0</v>
      </c>
      <c r="Y787" s="104">
        <f t="shared" si="687"/>
        <v>0</v>
      </c>
    </row>
    <row r="788" spans="1:26" x14ac:dyDescent="0.15">
      <c r="A788" s="47"/>
      <c r="B788" s="16"/>
      <c r="C788" s="29"/>
      <c r="D788" s="17"/>
      <c r="E788" s="20"/>
      <c r="F788" s="45">
        <f t="shared" si="692"/>
        <v>0</v>
      </c>
      <c r="G788" s="16"/>
      <c r="H788" s="29"/>
      <c r="I788" s="17"/>
      <c r="J788" s="20"/>
      <c r="K788" s="45">
        <f t="shared" si="693"/>
        <v>0</v>
      </c>
      <c r="L788" s="104">
        <f t="shared" si="684"/>
        <v>0</v>
      </c>
      <c r="N788" s="72"/>
      <c r="O788" s="16"/>
      <c r="P788" s="29"/>
      <c r="Q788" s="17"/>
      <c r="R788" s="32"/>
      <c r="S788" s="9">
        <f t="shared" si="698"/>
        <v>0</v>
      </c>
      <c r="T788" s="16"/>
      <c r="U788" s="29"/>
      <c r="V788" s="17"/>
      <c r="W788" s="32"/>
      <c r="X788" s="9">
        <f t="shared" si="699"/>
        <v>0</v>
      </c>
      <c r="Y788" s="104">
        <f t="shared" si="687"/>
        <v>0</v>
      </c>
    </row>
    <row r="789" spans="1:26" x14ac:dyDescent="0.15">
      <c r="A789" s="47"/>
      <c r="B789" s="16"/>
      <c r="C789" s="29"/>
      <c r="D789" s="17"/>
      <c r="E789" s="20"/>
      <c r="F789" s="45">
        <f t="shared" si="692"/>
        <v>0</v>
      </c>
      <c r="G789" s="16"/>
      <c r="H789" s="29"/>
      <c r="I789" s="17"/>
      <c r="J789" s="20"/>
      <c r="K789" s="45">
        <f t="shared" si="693"/>
        <v>0</v>
      </c>
      <c r="L789" s="104">
        <f t="shared" si="684"/>
        <v>0</v>
      </c>
      <c r="N789" s="72"/>
      <c r="O789" s="16"/>
      <c r="P789" s="29"/>
      <c r="Q789" s="17"/>
      <c r="R789" s="32"/>
      <c r="S789" s="9">
        <f t="shared" si="698"/>
        <v>0</v>
      </c>
      <c r="T789" s="16"/>
      <c r="U789" s="29"/>
      <c r="V789" s="17"/>
      <c r="W789" s="32"/>
      <c r="X789" s="9">
        <f t="shared" si="699"/>
        <v>0</v>
      </c>
      <c r="Y789" s="104">
        <f t="shared" si="687"/>
        <v>0</v>
      </c>
    </row>
    <row r="790" spans="1:26" x14ac:dyDescent="0.15">
      <c r="A790" s="47"/>
      <c r="B790" s="16"/>
      <c r="C790" s="29"/>
      <c r="D790" s="17"/>
      <c r="E790" s="20"/>
      <c r="F790" s="45">
        <f t="shared" si="692"/>
        <v>0</v>
      </c>
      <c r="G790" s="16"/>
      <c r="H790" s="29"/>
      <c r="I790" s="17"/>
      <c r="J790" s="20"/>
      <c r="K790" s="45">
        <f t="shared" si="693"/>
        <v>0</v>
      </c>
      <c r="L790" s="104">
        <f t="shared" si="684"/>
        <v>0</v>
      </c>
      <c r="N790" s="72"/>
      <c r="O790" s="16"/>
      <c r="P790" s="29"/>
      <c r="Q790" s="17"/>
      <c r="R790" s="32"/>
      <c r="S790" s="9">
        <f t="shared" si="698"/>
        <v>0</v>
      </c>
      <c r="T790" s="16"/>
      <c r="U790" s="29"/>
      <c r="V790" s="17"/>
      <c r="W790" s="32"/>
      <c r="X790" s="9">
        <f t="shared" si="699"/>
        <v>0</v>
      </c>
      <c r="Y790" s="104">
        <f t="shared" si="687"/>
        <v>0</v>
      </c>
    </row>
    <row r="791" spans="1:26" x14ac:dyDescent="0.15">
      <c r="A791" s="47"/>
      <c r="B791" s="16"/>
      <c r="C791" s="29"/>
      <c r="D791" s="17"/>
      <c r="E791" s="20"/>
      <c r="F791" s="45">
        <f t="shared" si="692"/>
        <v>0</v>
      </c>
      <c r="G791" s="16"/>
      <c r="H791" s="29"/>
      <c r="I791" s="17"/>
      <c r="J791" s="20"/>
      <c r="K791" s="45">
        <f t="shared" si="693"/>
        <v>0</v>
      </c>
      <c r="L791" s="104">
        <f t="shared" si="684"/>
        <v>0</v>
      </c>
      <c r="N791" s="234" t="s">
        <v>1154</v>
      </c>
      <c r="O791" s="293"/>
      <c r="P791" s="294"/>
      <c r="Q791" s="295"/>
      <c r="R791" s="296"/>
      <c r="S791" s="143">
        <f t="shared" si="698"/>
        <v>0</v>
      </c>
      <c r="T791" s="139">
        <v>-15</v>
      </c>
      <c r="U791" s="140">
        <v>-8</v>
      </c>
      <c r="V791" s="141">
        <v>-11</v>
      </c>
      <c r="W791" s="142">
        <v>-8</v>
      </c>
      <c r="X791" s="143">
        <f t="shared" si="699"/>
        <v>-42</v>
      </c>
      <c r="Y791" s="299">
        <f t="shared" si="687"/>
        <v>-42</v>
      </c>
      <c r="Z791" s="227"/>
    </row>
    <row r="792" spans="1:26" x14ac:dyDescent="0.15">
      <c r="A792" s="47"/>
      <c r="B792" s="16"/>
      <c r="C792" s="29"/>
      <c r="D792" s="17"/>
      <c r="E792" s="20"/>
      <c r="F792" s="45">
        <f t="shared" si="692"/>
        <v>0</v>
      </c>
      <c r="G792" s="16"/>
      <c r="H792" s="29"/>
      <c r="I792" s="17"/>
      <c r="J792" s="20"/>
      <c r="K792" s="45">
        <f t="shared" si="693"/>
        <v>0</v>
      </c>
      <c r="L792" s="104">
        <f t="shared" si="684"/>
        <v>0</v>
      </c>
      <c r="N792" s="114" t="s">
        <v>1153</v>
      </c>
      <c r="O792" s="211"/>
      <c r="P792" s="212"/>
      <c r="Q792" s="213"/>
      <c r="R792" s="236"/>
      <c r="S792" s="97">
        <f t="shared" si="698"/>
        <v>0</v>
      </c>
      <c r="T792" s="91">
        <v>5</v>
      </c>
      <c r="U792" s="92">
        <v>25</v>
      </c>
      <c r="V792" s="93">
        <v>10</v>
      </c>
      <c r="W792" s="96">
        <v>10</v>
      </c>
      <c r="X792" s="97">
        <f t="shared" si="699"/>
        <v>50</v>
      </c>
      <c r="Y792" s="107">
        <f t="shared" si="687"/>
        <v>50</v>
      </c>
      <c r="Z792" s="227" t="s">
        <v>1151</v>
      </c>
    </row>
    <row r="793" spans="1:26" x14ac:dyDescent="0.15">
      <c r="A793" s="47"/>
      <c r="B793" s="16"/>
      <c r="C793" s="29"/>
      <c r="D793" s="17"/>
      <c r="E793" s="20"/>
      <c r="F793" s="45">
        <f t="shared" si="692"/>
        <v>0</v>
      </c>
      <c r="G793" s="16"/>
      <c r="H793" s="29"/>
      <c r="I793" s="17"/>
      <c r="J793" s="20"/>
      <c r="K793" s="45">
        <f t="shared" si="693"/>
        <v>0</v>
      </c>
      <c r="L793" s="104">
        <f t="shared" si="684"/>
        <v>0</v>
      </c>
      <c r="N793" s="234" t="s">
        <v>973</v>
      </c>
      <c r="O793" s="242"/>
      <c r="P793" s="243"/>
      <c r="Q793" s="244"/>
      <c r="R793" s="247"/>
      <c r="S793" s="215">
        <f t="shared" si="698"/>
        <v>0</v>
      </c>
      <c r="T793" s="145">
        <v>-20</v>
      </c>
      <c r="U793" s="146">
        <v>-30</v>
      </c>
      <c r="V793" s="147">
        <v>-30</v>
      </c>
      <c r="W793" s="148">
        <v>-20</v>
      </c>
      <c r="X793" s="215">
        <f t="shared" si="699"/>
        <v>-100</v>
      </c>
      <c r="Y793" s="144">
        <f t="shared" si="687"/>
        <v>-100</v>
      </c>
      <c r="Z793" s="227"/>
    </row>
    <row r="794" spans="1:26" ht="14.25" thickBot="1" x14ac:dyDescent="0.2">
      <c r="A794" s="47"/>
      <c r="B794" s="37"/>
      <c r="C794" s="38"/>
      <c r="D794" s="39"/>
      <c r="E794" s="40"/>
      <c r="F794" s="45">
        <f t="shared" si="692"/>
        <v>0</v>
      </c>
      <c r="G794" s="37"/>
      <c r="H794" s="38"/>
      <c r="I794" s="39"/>
      <c r="J794" s="40"/>
      <c r="K794" s="45">
        <f t="shared" si="693"/>
        <v>0</v>
      </c>
      <c r="L794" s="104">
        <f t="shared" si="684"/>
        <v>0</v>
      </c>
      <c r="N794" s="49" t="s">
        <v>972</v>
      </c>
      <c r="O794" s="109"/>
      <c r="P794" s="111"/>
      <c r="Q794" s="110"/>
      <c r="R794" s="130"/>
      <c r="S794" s="89">
        <f t="shared" si="698"/>
        <v>0</v>
      </c>
      <c r="T794" s="85">
        <v>137</v>
      </c>
      <c r="U794" s="86">
        <v>228</v>
      </c>
      <c r="V794" s="87">
        <v>253</v>
      </c>
      <c r="W794" s="88">
        <v>216</v>
      </c>
      <c r="X794" s="89">
        <f t="shared" si="699"/>
        <v>834</v>
      </c>
      <c r="Y794" s="127">
        <f t="shared" si="687"/>
        <v>834</v>
      </c>
      <c r="Z794" s="227" t="s">
        <v>1168</v>
      </c>
    </row>
    <row r="795" spans="1:26" ht="14.25" thickBot="1" x14ac:dyDescent="0.2">
      <c r="A795" s="13" t="s">
        <v>8</v>
      </c>
      <c r="B795" s="22">
        <f>SUM(B770:B794)</f>
        <v>0</v>
      </c>
      <c r="C795" s="30">
        <f>SUM(C770:C794)</f>
        <v>0</v>
      </c>
      <c r="D795" s="23">
        <f>SUM(D770:D794)</f>
        <v>0</v>
      </c>
      <c r="E795" s="24">
        <f>SUM(E770:E794)</f>
        <v>0</v>
      </c>
      <c r="F795" s="21">
        <f t="shared" si="692"/>
        <v>0</v>
      </c>
      <c r="G795" s="22">
        <f>SUM(G770:G794)</f>
        <v>0</v>
      </c>
      <c r="H795" s="30">
        <f>SUM(H770:H794)</f>
        <v>0</v>
      </c>
      <c r="I795" s="23">
        <f>SUM(I770:I794)</f>
        <v>0</v>
      </c>
      <c r="J795" s="24">
        <f>SUM(J770:J794)</f>
        <v>0</v>
      </c>
      <c r="K795" s="21">
        <f>SUM(G795:J795)</f>
        <v>0</v>
      </c>
      <c r="L795" s="105">
        <f t="shared" si="684"/>
        <v>0</v>
      </c>
      <c r="N795" s="49" t="s">
        <v>8</v>
      </c>
      <c r="O795" s="22">
        <f>SUM(O770:O794)</f>
        <v>0</v>
      </c>
      <c r="P795" s="30">
        <f>SUM(P770:P794)</f>
        <v>0</v>
      </c>
      <c r="Q795" s="23">
        <f>SUM(Q770:Q794)</f>
        <v>0</v>
      </c>
      <c r="R795" s="24">
        <f>SUM(R770:R794)</f>
        <v>0</v>
      </c>
      <c r="S795" s="48">
        <f t="shared" si="698"/>
        <v>0</v>
      </c>
      <c r="T795" s="22">
        <f>SUM(T770:T794)</f>
        <v>107</v>
      </c>
      <c r="U795" s="30">
        <f>SUM(U770:U794)</f>
        <v>215</v>
      </c>
      <c r="V795" s="23">
        <f>SUM(V770:V794)</f>
        <v>222</v>
      </c>
      <c r="W795" s="24">
        <f>SUM(W770:W794)</f>
        <v>198</v>
      </c>
      <c r="X795" s="48">
        <f t="shared" si="699"/>
        <v>742</v>
      </c>
      <c r="Y795" s="122">
        <f t="shared" si="687"/>
        <v>742</v>
      </c>
    </row>
    <row r="796" spans="1:26" ht="14.25" thickBot="1" x14ac:dyDescent="0.2">
      <c r="A796" s="14" t="s">
        <v>9</v>
      </c>
      <c r="B796" s="25">
        <f t="shared" ref="B796:K796" si="700">B769-B795</f>
        <v>7</v>
      </c>
      <c r="C796" s="31">
        <f t="shared" si="700"/>
        <v>8</v>
      </c>
      <c r="D796" s="26">
        <f t="shared" si="700"/>
        <v>6</v>
      </c>
      <c r="E796" s="27">
        <f t="shared" si="700"/>
        <v>5</v>
      </c>
      <c r="F796" s="83">
        <f t="shared" si="700"/>
        <v>26</v>
      </c>
      <c r="G796" s="25">
        <f t="shared" si="700"/>
        <v>4</v>
      </c>
      <c r="H796" s="31">
        <f t="shared" si="700"/>
        <v>7</v>
      </c>
      <c r="I796" s="26">
        <f t="shared" si="700"/>
        <v>5</v>
      </c>
      <c r="J796" s="27">
        <f t="shared" si="700"/>
        <v>8</v>
      </c>
      <c r="K796" s="83">
        <f t="shared" si="700"/>
        <v>24</v>
      </c>
      <c r="L796" s="102">
        <f t="shared" si="684"/>
        <v>50</v>
      </c>
      <c r="N796" s="13" t="s">
        <v>9</v>
      </c>
      <c r="O796" s="25">
        <f t="shared" ref="O796:X796" si="701">O769-O795</f>
        <v>62</v>
      </c>
      <c r="P796" s="31">
        <f t="shared" si="701"/>
        <v>108</v>
      </c>
      <c r="Q796" s="26">
        <f t="shared" si="701"/>
        <v>65</v>
      </c>
      <c r="R796" s="27">
        <f t="shared" si="701"/>
        <v>107</v>
      </c>
      <c r="S796" s="36">
        <f t="shared" si="701"/>
        <v>342</v>
      </c>
      <c r="T796" s="25">
        <f t="shared" si="701"/>
        <v>90</v>
      </c>
      <c r="U796" s="31">
        <f t="shared" si="701"/>
        <v>61</v>
      </c>
      <c r="V796" s="26">
        <f t="shared" si="701"/>
        <v>83</v>
      </c>
      <c r="W796" s="27">
        <f t="shared" si="701"/>
        <v>105</v>
      </c>
      <c r="X796" s="36">
        <f t="shared" si="701"/>
        <v>339</v>
      </c>
      <c r="Y796" s="102">
        <f t="shared" si="687"/>
        <v>681</v>
      </c>
    </row>
    <row r="797" spans="1:26" x14ac:dyDescent="0.15">
      <c r="N797" s="189"/>
      <c r="O797" s="71"/>
      <c r="P797" s="71"/>
      <c r="Q797" s="71"/>
      <c r="R797" s="71"/>
      <c r="S797" s="71"/>
      <c r="T797" s="71"/>
      <c r="U797" s="71"/>
      <c r="V797" s="71"/>
      <c r="W797" s="71"/>
      <c r="X797" s="71"/>
    </row>
    <row r="798" spans="1:26" x14ac:dyDescent="0.15">
      <c r="N798" s="241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</row>
    <row r="799" spans="1:26" ht="19.5" thickBot="1" x14ac:dyDescent="0.25">
      <c r="A799" s="2" t="s">
        <v>16</v>
      </c>
      <c r="B799" s="2"/>
      <c r="C799" s="1"/>
      <c r="D799" s="1"/>
      <c r="E799" s="1"/>
      <c r="F799" s="84"/>
      <c r="G799" s="2"/>
      <c r="H799" s="1" t="s">
        <v>156</v>
      </c>
      <c r="I799" s="1"/>
      <c r="J799" s="1"/>
      <c r="K799" s="84" t="s">
        <v>13</v>
      </c>
      <c r="L799" s="84"/>
      <c r="N799" s="2" t="s">
        <v>17</v>
      </c>
      <c r="O799" s="71"/>
      <c r="P799" s="71"/>
      <c r="Q799" s="71"/>
      <c r="R799" s="71"/>
      <c r="T799" s="71"/>
      <c r="U799" s="1" t="s">
        <v>156</v>
      </c>
      <c r="V799" s="71"/>
      <c r="W799" s="71"/>
      <c r="X799" s="84" t="s">
        <v>13</v>
      </c>
      <c r="Y799" s="84"/>
    </row>
    <row r="800" spans="1:26" ht="14.25" thickBot="1" x14ac:dyDescent="0.2">
      <c r="A800" s="5" t="s">
        <v>0</v>
      </c>
      <c r="B800" s="328" t="s">
        <v>120</v>
      </c>
      <c r="C800" s="329"/>
      <c r="D800" s="329"/>
      <c r="E800" s="329"/>
      <c r="F800" s="330"/>
      <c r="G800" s="331" t="s">
        <v>14</v>
      </c>
      <c r="H800" s="332"/>
      <c r="I800" s="332"/>
      <c r="J800" s="332"/>
      <c r="K800" s="333"/>
      <c r="L800" s="320" t="s">
        <v>30</v>
      </c>
      <c r="N800" s="5" t="s">
        <v>0</v>
      </c>
      <c r="O800" s="328" t="s">
        <v>202</v>
      </c>
      <c r="P800" s="329"/>
      <c r="Q800" s="329"/>
      <c r="R800" s="329"/>
      <c r="S800" s="330"/>
      <c r="T800" s="331" t="s">
        <v>203</v>
      </c>
      <c r="U800" s="332"/>
      <c r="V800" s="332"/>
      <c r="W800" s="332"/>
      <c r="X800" s="333"/>
      <c r="Y800" s="312" t="s">
        <v>30</v>
      </c>
    </row>
    <row r="801" spans="1:26" ht="14.25" thickBot="1" x14ac:dyDescent="0.2">
      <c r="A801" s="5" t="s">
        <v>1</v>
      </c>
      <c r="B801" s="3" t="s">
        <v>22</v>
      </c>
      <c r="C801" s="28" t="s">
        <v>23</v>
      </c>
      <c r="D801" s="4" t="s">
        <v>24</v>
      </c>
      <c r="E801" s="15" t="s">
        <v>25</v>
      </c>
      <c r="F801" s="19" t="s">
        <v>2</v>
      </c>
      <c r="G801" s="3" t="s">
        <v>22</v>
      </c>
      <c r="H801" s="28" t="s">
        <v>23</v>
      </c>
      <c r="I801" s="4" t="s">
        <v>24</v>
      </c>
      <c r="J801" s="15" t="s">
        <v>25</v>
      </c>
      <c r="K801" s="19" t="s">
        <v>2</v>
      </c>
      <c r="L801" s="321"/>
      <c r="N801" s="5" t="s">
        <v>1</v>
      </c>
      <c r="O801" s="3" t="s">
        <v>22</v>
      </c>
      <c r="P801" s="28" t="s">
        <v>23</v>
      </c>
      <c r="Q801" s="4" t="s">
        <v>24</v>
      </c>
      <c r="R801" s="15" t="s">
        <v>25</v>
      </c>
      <c r="S801" s="19" t="s">
        <v>2</v>
      </c>
      <c r="T801" s="3" t="s">
        <v>22</v>
      </c>
      <c r="U801" s="28" t="s">
        <v>23</v>
      </c>
      <c r="V801" s="4" t="s">
        <v>24</v>
      </c>
      <c r="W801" s="15" t="s">
        <v>25</v>
      </c>
      <c r="X801" s="19" t="s">
        <v>2</v>
      </c>
      <c r="Y801" s="313"/>
    </row>
    <row r="802" spans="1:26" x14ac:dyDescent="0.15">
      <c r="A802" s="78" t="s">
        <v>10</v>
      </c>
      <c r="B802" s="79">
        <f>B796</f>
        <v>7</v>
      </c>
      <c r="C802" s="80">
        <f>C796</f>
        <v>8</v>
      </c>
      <c r="D802" s="80">
        <f>D796</f>
        <v>6</v>
      </c>
      <c r="E802" s="81">
        <f>E796</f>
        <v>5</v>
      </c>
      <c r="F802" s="82">
        <f>SUM(B802:E802)</f>
        <v>26</v>
      </c>
      <c r="G802" s="79">
        <f>G796</f>
        <v>4</v>
      </c>
      <c r="H802" s="80">
        <f>H796</f>
        <v>7</v>
      </c>
      <c r="I802" s="80">
        <f>I796</f>
        <v>5</v>
      </c>
      <c r="J802" s="81">
        <f>J796</f>
        <v>8</v>
      </c>
      <c r="K802" s="82">
        <f>SUM(G802:J802)</f>
        <v>24</v>
      </c>
      <c r="L802" s="98">
        <f>F802+K802</f>
        <v>50</v>
      </c>
      <c r="N802" s="78" t="s">
        <v>10</v>
      </c>
      <c r="O802" s="79">
        <f>O796</f>
        <v>62</v>
      </c>
      <c r="P802" s="80">
        <f>P796</f>
        <v>108</v>
      </c>
      <c r="Q802" s="80">
        <f>Q796</f>
        <v>65</v>
      </c>
      <c r="R802" s="81">
        <f>R796</f>
        <v>107</v>
      </c>
      <c r="S802" s="82">
        <f>SUM(O802:R802)</f>
        <v>342</v>
      </c>
      <c r="T802" s="79">
        <f>T796</f>
        <v>90</v>
      </c>
      <c r="U802" s="80">
        <f>U796</f>
        <v>61</v>
      </c>
      <c r="V802" s="80">
        <f>V796</f>
        <v>83</v>
      </c>
      <c r="W802" s="81">
        <f>W796</f>
        <v>105</v>
      </c>
      <c r="X802" s="82">
        <f>SUM(T802:W802)</f>
        <v>339</v>
      </c>
      <c r="Y802" s="98">
        <f>S802+X802</f>
        <v>681</v>
      </c>
    </row>
    <row r="803" spans="1:26" x14ac:dyDescent="0.15">
      <c r="A803" s="47" t="s">
        <v>3</v>
      </c>
      <c r="B803" s="51"/>
      <c r="C803" s="52"/>
      <c r="D803" s="53"/>
      <c r="E803" s="54"/>
      <c r="F803" s="61">
        <f>SUM(B803:E803)</f>
        <v>0</v>
      </c>
      <c r="G803" s="51"/>
      <c r="H803" s="52"/>
      <c r="I803" s="53"/>
      <c r="J803" s="54"/>
      <c r="K803" s="61">
        <f>SUM(G803:J803)</f>
        <v>0</v>
      </c>
      <c r="L803" s="99">
        <f t="shared" ref="L803:L834" si="702">F803+K803</f>
        <v>0</v>
      </c>
      <c r="N803" s="12" t="s">
        <v>11</v>
      </c>
      <c r="O803" s="16"/>
      <c r="P803" s="29"/>
      <c r="Q803" s="17"/>
      <c r="R803" s="20"/>
      <c r="S803" s="45">
        <f t="shared" ref="S803:S804" si="703">SUM(O803:R803)</f>
        <v>0</v>
      </c>
      <c r="T803" s="16"/>
      <c r="U803" s="29"/>
      <c r="V803" s="17"/>
      <c r="W803" s="20"/>
      <c r="X803" s="45">
        <f t="shared" ref="X803:X806" si="704">SUM(T803:W803)</f>
        <v>0</v>
      </c>
      <c r="Y803" s="100">
        <f t="shared" ref="Y803:Y834" si="705">S803+X803</f>
        <v>0</v>
      </c>
      <c r="Z803" s="56"/>
    </row>
    <row r="804" spans="1:26" x14ac:dyDescent="0.15">
      <c r="A804" s="12" t="s">
        <v>4</v>
      </c>
      <c r="B804" s="6"/>
      <c r="C804" s="18"/>
      <c r="D804" s="7"/>
      <c r="E804" s="8"/>
      <c r="F804" s="9">
        <f>SUM(B804:E804)</f>
        <v>0</v>
      </c>
      <c r="G804" s="6"/>
      <c r="H804" s="18"/>
      <c r="I804" s="7"/>
      <c r="J804" s="8"/>
      <c r="K804" s="9">
        <f>SUM(G804:J804)</f>
        <v>0</v>
      </c>
      <c r="L804" s="100">
        <f t="shared" si="702"/>
        <v>0</v>
      </c>
      <c r="N804" s="12" t="s">
        <v>1160</v>
      </c>
      <c r="O804" s="16"/>
      <c r="P804" s="29"/>
      <c r="Q804" s="17"/>
      <c r="R804" s="20"/>
      <c r="S804" s="45">
        <f t="shared" si="703"/>
        <v>0</v>
      </c>
      <c r="T804" s="16"/>
      <c r="U804" s="29"/>
      <c r="V804" s="17"/>
      <c r="W804" s="20"/>
      <c r="X804" s="45">
        <f t="shared" si="704"/>
        <v>0</v>
      </c>
      <c r="Y804" s="100">
        <f t="shared" si="705"/>
        <v>0</v>
      </c>
      <c r="Z804" s="56"/>
    </row>
    <row r="805" spans="1:26" x14ac:dyDescent="0.15">
      <c r="A805" s="12" t="s">
        <v>5</v>
      </c>
      <c r="B805" s="6"/>
      <c r="C805" s="18"/>
      <c r="D805" s="7"/>
      <c r="E805" s="8"/>
      <c r="F805" s="9">
        <f>SUM(B805:E805)</f>
        <v>0</v>
      </c>
      <c r="G805" s="6"/>
      <c r="H805" s="18"/>
      <c r="I805" s="7"/>
      <c r="J805" s="8"/>
      <c r="K805" s="9">
        <f>SUM(G805:J805)</f>
        <v>0</v>
      </c>
      <c r="L805" s="100">
        <f t="shared" si="702"/>
        <v>0</v>
      </c>
      <c r="N805" s="90" t="s">
        <v>1187</v>
      </c>
      <c r="O805" s="91"/>
      <c r="P805" s="92"/>
      <c r="Q805" s="93"/>
      <c r="R805" s="94"/>
      <c r="S805" s="95">
        <f>SUM(O805:R805)</f>
        <v>0</v>
      </c>
      <c r="T805" s="91">
        <v>50</v>
      </c>
      <c r="U805" s="92">
        <v>110</v>
      </c>
      <c r="V805" s="93">
        <v>80</v>
      </c>
      <c r="W805" s="94">
        <v>70</v>
      </c>
      <c r="X805" s="95">
        <f t="shared" si="704"/>
        <v>310</v>
      </c>
      <c r="Y805" s="106">
        <f t="shared" si="705"/>
        <v>310</v>
      </c>
      <c r="Z805" s="159">
        <v>46296</v>
      </c>
    </row>
    <row r="806" spans="1:26" ht="14.25" thickBot="1" x14ac:dyDescent="0.2">
      <c r="A806" s="12" t="s">
        <v>6</v>
      </c>
      <c r="B806" s="6"/>
      <c r="C806" s="18"/>
      <c r="D806" s="7"/>
      <c r="E806" s="8"/>
      <c r="F806" s="10">
        <f>SUM(B806:E806)</f>
        <v>0</v>
      </c>
      <c r="G806" s="6"/>
      <c r="H806" s="18"/>
      <c r="I806" s="7"/>
      <c r="J806" s="8"/>
      <c r="K806" s="10">
        <f>SUM(G806:J806)</f>
        <v>0</v>
      </c>
      <c r="L806" s="101">
        <f t="shared" si="702"/>
        <v>0</v>
      </c>
      <c r="N806" s="12" t="s">
        <v>5</v>
      </c>
      <c r="O806" s="16"/>
      <c r="P806" s="29"/>
      <c r="Q806" s="17"/>
      <c r="R806" s="20"/>
      <c r="S806" s="45">
        <f t="shared" ref="S806" si="706">SUM(O806:R806)</f>
        <v>0</v>
      </c>
      <c r="T806" s="16"/>
      <c r="U806" s="29"/>
      <c r="V806" s="17"/>
      <c r="W806" s="20"/>
      <c r="X806" s="45">
        <f t="shared" si="704"/>
        <v>0</v>
      </c>
      <c r="Y806" s="100">
        <f t="shared" si="705"/>
        <v>0</v>
      </c>
    </row>
    <row r="807" spans="1:26" ht="14.25" thickBot="1" x14ac:dyDescent="0.2">
      <c r="A807" s="14" t="s">
        <v>7</v>
      </c>
      <c r="B807" s="62">
        <f t="shared" ref="B807:K807" si="707">SUM(B802:B806)</f>
        <v>7</v>
      </c>
      <c r="C807" s="63">
        <f t="shared" si="707"/>
        <v>8</v>
      </c>
      <c r="D807" s="64">
        <f t="shared" si="707"/>
        <v>6</v>
      </c>
      <c r="E807" s="65">
        <f t="shared" si="707"/>
        <v>5</v>
      </c>
      <c r="F807" s="66">
        <f t="shared" si="707"/>
        <v>26</v>
      </c>
      <c r="G807" s="62">
        <f t="shared" si="707"/>
        <v>4</v>
      </c>
      <c r="H807" s="63">
        <f t="shared" si="707"/>
        <v>7</v>
      </c>
      <c r="I807" s="64">
        <f t="shared" si="707"/>
        <v>5</v>
      </c>
      <c r="J807" s="65">
        <f t="shared" si="707"/>
        <v>8</v>
      </c>
      <c r="K807" s="66">
        <f t="shared" si="707"/>
        <v>24</v>
      </c>
      <c r="L807" s="102">
        <f t="shared" si="702"/>
        <v>50</v>
      </c>
      <c r="N807" s="13" t="s">
        <v>7</v>
      </c>
      <c r="O807" s="25">
        <f t="shared" ref="O807:X807" si="708">SUM(O802:O806)</f>
        <v>62</v>
      </c>
      <c r="P807" s="31">
        <f t="shared" si="708"/>
        <v>108</v>
      </c>
      <c r="Q807" s="26">
        <f t="shared" si="708"/>
        <v>65</v>
      </c>
      <c r="R807" s="67">
        <f t="shared" si="708"/>
        <v>107</v>
      </c>
      <c r="S807" s="68">
        <f t="shared" si="708"/>
        <v>342</v>
      </c>
      <c r="T807" s="25">
        <f t="shared" si="708"/>
        <v>140</v>
      </c>
      <c r="U807" s="31">
        <f t="shared" si="708"/>
        <v>171</v>
      </c>
      <c r="V807" s="26">
        <f t="shared" si="708"/>
        <v>163</v>
      </c>
      <c r="W807" s="67">
        <f t="shared" si="708"/>
        <v>175</v>
      </c>
      <c r="X807" s="68">
        <f t="shared" si="708"/>
        <v>649</v>
      </c>
      <c r="Y807" s="102">
        <f t="shared" si="705"/>
        <v>991</v>
      </c>
    </row>
    <row r="808" spans="1:26" x14ac:dyDescent="0.15">
      <c r="A808" s="47"/>
      <c r="B808" s="41"/>
      <c r="C808" s="42"/>
      <c r="D808" s="43"/>
      <c r="E808" s="44"/>
      <c r="F808" s="70">
        <f t="shared" ref="F808:F833" si="709">SUM(B808:E808)</f>
        <v>0</v>
      </c>
      <c r="G808" s="41"/>
      <c r="H808" s="42"/>
      <c r="I808" s="43"/>
      <c r="J808" s="44"/>
      <c r="K808" s="70">
        <f t="shared" ref="K808:K832" si="710">SUM(G808:J808)</f>
        <v>0</v>
      </c>
      <c r="L808" s="103">
        <f t="shared" si="702"/>
        <v>0</v>
      </c>
      <c r="N808" s="33"/>
      <c r="O808" s="16"/>
      <c r="P808" s="29"/>
      <c r="Q808" s="17"/>
      <c r="R808" s="32"/>
      <c r="S808" s="9">
        <f t="shared" ref="S808:S813" si="711">SUM(O808:R808)</f>
        <v>0</v>
      </c>
      <c r="T808" s="16"/>
      <c r="U808" s="29"/>
      <c r="V808" s="17"/>
      <c r="W808" s="32"/>
      <c r="X808" s="9">
        <f t="shared" ref="X808:X813" si="712">SUM(T808:W808)</f>
        <v>0</v>
      </c>
      <c r="Y808" s="104">
        <f t="shared" si="705"/>
        <v>0</v>
      </c>
    </row>
    <row r="809" spans="1:26" x14ac:dyDescent="0.15">
      <c r="A809" s="47"/>
      <c r="B809" s="16"/>
      <c r="C809" s="29"/>
      <c r="D809" s="17"/>
      <c r="E809" s="20"/>
      <c r="F809" s="45">
        <f t="shared" si="709"/>
        <v>0</v>
      </c>
      <c r="G809" s="16"/>
      <c r="H809" s="29"/>
      <c r="I809" s="17"/>
      <c r="J809" s="20"/>
      <c r="K809" s="45">
        <f t="shared" si="710"/>
        <v>0</v>
      </c>
      <c r="L809" s="104">
        <f t="shared" si="702"/>
        <v>0</v>
      </c>
      <c r="N809" s="33"/>
      <c r="O809" s="16"/>
      <c r="P809" s="29"/>
      <c r="Q809" s="17"/>
      <c r="R809" s="32"/>
      <c r="S809" s="9">
        <f t="shared" si="711"/>
        <v>0</v>
      </c>
      <c r="T809" s="16"/>
      <c r="U809" s="29"/>
      <c r="V809" s="17"/>
      <c r="W809" s="32"/>
      <c r="X809" s="9">
        <f t="shared" si="712"/>
        <v>0</v>
      </c>
      <c r="Y809" s="104">
        <f t="shared" si="705"/>
        <v>0</v>
      </c>
    </row>
    <row r="810" spans="1:26" x14ac:dyDescent="0.15">
      <c r="A810" s="47"/>
      <c r="B810" s="16"/>
      <c r="C810" s="29"/>
      <c r="D810" s="17"/>
      <c r="E810" s="20"/>
      <c r="F810" s="45">
        <f t="shared" si="709"/>
        <v>0</v>
      </c>
      <c r="G810" s="16"/>
      <c r="H810" s="29"/>
      <c r="I810" s="17"/>
      <c r="J810" s="20"/>
      <c r="K810" s="45">
        <f t="shared" si="710"/>
        <v>0</v>
      </c>
      <c r="L810" s="104">
        <f t="shared" si="702"/>
        <v>0</v>
      </c>
      <c r="N810" s="33"/>
      <c r="O810" s="16"/>
      <c r="P810" s="29"/>
      <c r="Q810" s="17"/>
      <c r="R810" s="32"/>
      <c r="S810" s="9">
        <f t="shared" si="711"/>
        <v>0</v>
      </c>
      <c r="T810" s="16"/>
      <c r="U810" s="29"/>
      <c r="V810" s="17"/>
      <c r="W810" s="32"/>
      <c r="X810" s="9">
        <f t="shared" si="712"/>
        <v>0</v>
      </c>
      <c r="Y810" s="104">
        <f t="shared" si="705"/>
        <v>0</v>
      </c>
    </row>
    <row r="811" spans="1:26" x14ac:dyDescent="0.15">
      <c r="A811" s="47"/>
      <c r="B811" s="16"/>
      <c r="C811" s="29"/>
      <c r="D811" s="17"/>
      <c r="E811" s="20"/>
      <c r="F811" s="45">
        <f t="shared" si="709"/>
        <v>0</v>
      </c>
      <c r="G811" s="16"/>
      <c r="H811" s="29"/>
      <c r="I811" s="17"/>
      <c r="J811" s="20"/>
      <c r="K811" s="45">
        <f t="shared" si="710"/>
        <v>0</v>
      </c>
      <c r="L811" s="104">
        <f t="shared" si="702"/>
        <v>0</v>
      </c>
      <c r="N811" s="33"/>
      <c r="O811" s="16"/>
      <c r="P811" s="29"/>
      <c r="Q811" s="17"/>
      <c r="R811" s="32"/>
      <c r="S811" s="9">
        <f t="shared" si="711"/>
        <v>0</v>
      </c>
      <c r="T811" s="16"/>
      <c r="U811" s="29"/>
      <c r="V811" s="17"/>
      <c r="W811" s="32"/>
      <c r="X811" s="9">
        <f t="shared" si="712"/>
        <v>0</v>
      </c>
      <c r="Y811" s="104">
        <f t="shared" si="705"/>
        <v>0</v>
      </c>
    </row>
    <row r="812" spans="1:26" x14ac:dyDescent="0.15">
      <c r="A812" s="47"/>
      <c r="B812" s="16"/>
      <c r="C812" s="29"/>
      <c r="D812" s="17"/>
      <c r="E812" s="20"/>
      <c r="F812" s="45">
        <f t="shared" si="709"/>
        <v>0</v>
      </c>
      <c r="G812" s="16"/>
      <c r="H812" s="29"/>
      <c r="I812" s="17"/>
      <c r="J812" s="20"/>
      <c r="K812" s="45">
        <f t="shared" si="710"/>
        <v>0</v>
      </c>
      <c r="L812" s="104">
        <f t="shared" si="702"/>
        <v>0</v>
      </c>
      <c r="N812" s="33"/>
      <c r="O812" s="16"/>
      <c r="P812" s="29"/>
      <c r="Q812" s="17"/>
      <c r="R812" s="32"/>
      <c r="S812" s="9">
        <f t="shared" si="711"/>
        <v>0</v>
      </c>
      <c r="T812" s="16"/>
      <c r="U812" s="29"/>
      <c r="V812" s="17"/>
      <c r="W812" s="32"/>
      <c r="X812" s="9">
        <f t="shared" si="712"/>
        <v>0</v>
      </c>
      <c r="Y812" s="104">
        <f t="shared" si="705"/>
        <v>0</v>
      </c>
    </row>
    <row r="813" spans="1:26" x14ac:dyDescent="0.15">
      <c r="A813" s="47"/>
      <c r="B813" s="16"/>
      <c r="C813" s="29"/>
      <c r="D813" s="17"/>
      <c r="E813" s="20"/>
      <c r="F813" s="45">
        <f t="shared" si="709"/>
        <v>0</v>
      </c>
      <c r="G813" s="16"/>
      <c r="H813" s="29"/>
      <c r="I813" s="17"/>
      <c r="J813" s="20"/>
      <c r="K813" s="45">
        <f t="shared" si="710"/>
        <v>0</v>
      </c>
      <c r="L813" s="104">
        <f t="shared" si="702"/>
        <v>0</v>
      </c>
      <c r="N813" s="33"/>
      <c r="O813" s="16"/>
      <c r="P813" s="29"/>
      <c r="Q813" s="17"/>
      <c r="R813" s="32"/>
      <c r="S813" s="9">
        <f t="shared" si="711"/>
        <v>0</v>
      </c>
      <c r="T813" s="16"/>
      <c r="U813" s="29"/>
      <c r="V813" s="17"/>
      <c r="W813" s="32"/>
      <c r="X813" s="9">
        <f t="shared" si="712"/>
        <v>0</v>
      </c>
      <c r="Y813" s="104">
        <f t="shared" si="705"/>
        <v>0</v>
      </c>
    </row>
    <row r="814" spans="1:26" x14ac:dyDescent="0.15">
      <c r="A814" s="47"/>
      <c r="B814" s="16"/>
      <c r="C814" s="29"/>
      <c r="D814" s="17"/>
      <c r="E814" s="20"/>
      <c r="F814" s="45">
        <f t="shared" si="709"/>
        <v>0</v>
      </c>
      <c r="G814" s="16"/>
      <c r="H814" s="29"/>
      <c r="I814" s="17"/>
      <c r="J814" s="20"/>
      <c r="K814" s="45">
        <f t="shared" si="710"/>
        <v>0</v>
      </c>
      <c r="L814" s="104">
        <f t="shared" si="702"/>
        <v>0</v>
      </c>
      <c r="N814" s="33"/>
      <c r="O814" s="16"/>
      <c r="P814" s="29"/>
      <c r="Q814" s="17"/>
      <c r="R814" s="32"/>
      <c r="S814" s="9">
        <f>SUM(O814:R814)</f>
        <v>0</v>
      </c>
      <c r="T814" s="16"/>
      <c r="U814" s="29"/>
      <c r="V814" s="17"/>
      <c r="W814" s="32"/>
      <c r="X814" s="9">
        <f>SUM(T814:W814)</f>
        <v>0</v>
      </c>
      <c r="Y814" s="104">
        <f t="shared" si="705"/>
        <v>0</v>
      </c>
    </row>
    <row r="815" spans="1:26" x14ac:dyDescent="0.15">
      <c r="A815" s="47"/>
      <c r="B815" s="16"/>
      <c r="C815" s="29"/>
      <c r="D815" s="17"/>
      <c r="E815" s="20"/>
      <c r="F815" s="45">
        <f t="shared" si="709"/>
        <v>0</v>
      </c>
      <c r="G815" s="16"/>
      <c r="H815" s="29"/>
      <c r="I815" s="17"/>
      <c r="J815" s="20"/>
      <c r="K815" s="45">
        <f t="shared" si="710"/>
        <v>0</v>
      </c>
      <c r="L815" s="104">
        <f t="shared" si="702"/>
        <v>0</v>
      </c>
      <c r="N815" s="33"/>
      <c r="O815" s="16"/>
      <c r="P815" s="29"/>
      <c r="Q815" s="17"/>
      <c r="R815" s="32"/>
      <c r="S815" s="9">
        <f t="shared" ref="S815:S819" si="713">SUM(O815:R815)</f>
        <v>0</v>
      </c>
      <c r="T815" s="16"/>
      <c r="U815" s="29"/>
      <c r="V815" s="17"/>
      <c r="W815" s="32"/>
      <c r="X815" s="9">
        <f t="shared" ref="X815:X819" si="714">SUM(T815:W815)</f>
        <v>0</v>
      </c>
      <c r="Y815" s="104">
        <f t="shared" si="705"/>
        <v>0</v>
      </c>
    </row>
    <row r="816" spans="1:26" x14ac:dyDescent="0.15">
      <c r="A816" s="47"/>
      <c r="B816" s="16"/>
      <c r="C816" s="29"/>
      <c r="D816" s="17"/>
      <c r="E816" s="20"/>
      <c r="F816" s="45">
        <f t="shared" si="709"/>
        <v>0</v>
      </c>
      <c r="G816" s="16"/>
      <c r="H816" s="29"/>
      <c r="I816" s="17"/>
      <c r="J816" s="20"/>
      <c r="K816" s="45">
        <f t="shared" si="710"/>
        <v>0</v>
      </c>
      <c r="L816" s="104">
        <f t="shared" si="702"/>
        <v>0</v>
      </c>
      <c r="N816" s="33"/>
      <c r="O816" s="16"/>
      <c r="P816" s="29"/>
      <c r="Q816" s="17"/>
      <c r="R816" s="32"/>
      <c r="S816" s="9">
        <f t="shared" si="713"/>
        <v>0</v>
      </c>
      <c r="T816" s="16"/>
      <c r="U816" s="29"/>
      <c r="V816" s="17"/>
      <c r="W816" s="32"/>
      <c r="X816" s="9">
        <f t="shared" si="714"/>
        <v>0</v>
      </c>
      <c r="Y816" s="104">
        <f t="shared" si="705"/>
        <v>0</v>
      </c>
    </row>
    <row r="817" spans="1:25" x14ac:dyDescent="0.15">
      <c r="A817" s="33"/>
      <c r="B817" s="16"/>
      <c r="C817" s="29"/>
      <c r="D817" s="17"/>
      <c r="E817" s="20"/>
      <c r="F817" s="45">
        <f t="shared" si="709"/>
        <v>0</v>
      </c>
      <c r="G817" s="16"/>
      <c r="H817" s="29"/>
      <c r="I817" s="17"/>
      <c r="J817" s="20"/>
      <c r="K817" s="45">
        <f t="shared" si="710"/>
        <v>0</v>
      </c>
      <c r="L817" s="104">
        <f t="shared" si="702"/>
        <v>0</v>
      </c>
      <c r="N817" s="33"/>
      <c r="O817" s="16"/>
      <c r="P817" s="29"/>
      <c r="Q817" s="17"/>
      <c r="R817" s="32"/>
      <c r="S817" s="9">
        <f t="shared" si="713"/>
        <v>0</v>
      </c>
      <c r="T817" s="16"/>
      <c r="U817" s="29"/>
      <c r="V817" s="17"/>
      <c r="W817" s="32"/>
      <c r="X817" s="9">
        <f t="shared" si="714"/>
        <v>0</v>
      </c>
      <c r="Y817" s="104">
        <f t="shared" si="705"/>
        <v>0</v>
      </c>
    </row>
    <row r="818" spans="1:25" x14ac:dyDescent="0.15">
      <c r="A818" s="47"/>
      <c r="B818" s="16"/>
      <c r="C818" s="29"/>
      <c r="D818" s="17"/>
      <c r="E818" s="20"/>
      <c r="F818" s="45">
        <f t="shared" si="709"/>
        <v>0</v>
      </c>
      <c r="G818" s="16"/>
      <c r="H818" s="29"/>
      <c r="I818" s="17"/>
      <c r="J818" s="20"/>
      <c r="K818" s="45">
        <f t="shared" si="710"/>
        <v>0</v>
      </c>
      <c r="L818" s="104">
        <f t="shared" si="702"/>
        <v>0</v>
      </c>
      <c r="N818" s="33"/>
      <c r="O818" s="16"/>
      <c r="P818" s="29"/>
      <c r="Q818" s="17"/>
      <c r="R818" s="32"/>
      <c r="S818" s="9">
        <f t="shared" si="713"/>
        <v>0</v>
      </c>
      <c r="T818" s="16"/>
      <c r="U818" s="29"/>
      <c r="V818" s="17"/>
      <c r="W818" s="32"/>
      <c r="X818" s="9">
        <f t="shared" si="714"/>
        <v>0</v>
      </c>
      <c r="Y818" s="104">
        <f t="shared" si="705"/>
        <v>0</v>
      </c>
    </row>
    <row r="819" spans="1:25" x14ac:dyDescent="0.15">
      <c r="A819" s="47"/>
      <c r="B819" s="16"/>
      <c r="C819" s="29"/>
      <c r="D819" s="17"/>
      <c r="E819" s="20"/>
      <c r="F819" s="45">
        <f t="shared" si="709"/>
        <v>0</v>
      </c>
      <c r="G819" s="16"/>
      <c r="H819" s="29"/>
      <c r="I819" s="17"/>
      <c r="J819" s="20"/>
      <c r="K819" s="45">
        <f t="shared" si="710"/>
        <v>0</v>
      </c>
      <c r="L819" s="104">
        <f t="shared" si="702"/>
        <v>0</v>
      </c>
      <c r="N819" s="72"/>
      <c r="O819" s="16"/>
      <c r="P819" s="29"/>
      <c r="Q819" s="17"/>
      <c r="R819" s="32"/>
      <c r="S819" s="9">
        <f t="shared" si="713"/>
        <v>0</v>
      </c>
      <c r="T819" s="16"/>
      <c r="U819" s="29"/>
      <c r="V819" s="17"/>
      <c r="W819" s="32"/>
      <c r="X819" s="9">
        <f t="shared" si="714"/>
        <v>0</v>
      </c>
      <c r="Y819" s="104">
        <f t="shared" si="705"/>
        <v>0</v>
      </c>
    </row>
    <row r="820" spans="1:25" x14ac:dyDescent="0.15">
      <c r="A820" s="47"/>
      <c r="B820" s="16"/>
      <c r="C820" s="29"/>
      <c r="D820" s="17"/>
      <c r="E820" s="20"/>
      <c r="F820" s="45">
        <f t="shared" si="709"/>
        <v>0</v>
      </c>
      <c r="G820" s="16"/>
      <c r="H820" s="29"/>
      <c r="I820" s="17"/>
      <c r="J820" s="20"/>
      <c r="K820" s="45">
        <f t="shared" si="710"/>
        <v>0</v>
      </c>
      <c r="L820" s="104">
        <f t="shared" si="702"/>
        <v>0</v>
      </c>
      <c r="N820" s="33"/>
      <c r="O820" s="16"/>
      <c r="P820" s="29"/>
      <c r="Q820" s="17"/>
      <c r="R820" s="32"/>
      <c r="S820" s="9">
        <f>SUM(O820:R820)</f>
        <v>0</v>
      </c>
      <c r="T820" s="16"/>
      <c r="U820" s="29"/>
      <c r="V820" s="17"/>
      <c r="W820" s="32"/>
      <c r="X820" s="9">
        <f>SUM(T820:W820)</f>
        <v>0</v>
      </c>
      <c r="Y820" s="104">
        <f t="shared" si="705"/>
        <v>0</v>
      </c>
    </row>
    <row r="821" spans="1:25" x14ac:dyDescent="0.15">
      <c r="A821" s="47"/>
      <c r="B821" s="16"/>
      <c r="C821" s="29"/>
      <c r="D821" s="17"/>
      <c r="E821" s="20"/>
      <c r="F821" s="45">
        <f t="shared" si="709"/>
        <v>0</v>
      </c>
      <c r="G821" s="16"/>
      <c r="H821" s="29"/>
      <c r="I821" s="17"/>
      <c r="J821" s="20"/>
      <c r="K821" s="45">
        <f t="shared" si="710"/>
        <v>0</v>
      </c>
      <c r="L821" s="104">
        <f t="shared" si="702"/>
        <v>0</v>
      </c>
      <c r="N821" s="72"/>
      <c r="O821" s="16"/>
      <c r="P821" s="29"/>
      <c r="Q821" s="17"/>
      <c r="R821" s="32"/>
      <c r="S821" s="9">
        <f>SUM(O821:R821)</f>
        <v>0</v>
      </c>
      <c r="T821" s="16"/>
      <c r="U821" s="29"/>
      <c r="V821" s="17"/>
      <c r="W821" s="32"/>
      <c r="X821" s="9">
        <f>SUM(T821:W821)</f>
        <v>0</v>
      </c>
      <c r="Y821" s="104">
        <f t="shared" si="705"/>
        <v>0</v>
      </c>
    </row>
    <row r="822" spans="1:25" x14ac:dyDescent="0.15">
      <c r="A822" s="33"/>
      <c r="B822" s="16"/>
      <c r="C822" s="29"/>
      <c r="D822" s="17"/>
      <c r="E822" s="20"/>
      <c r="F822" s="45">
        <f t="shared" si="709"/>
        <v>0</v>
      </c>
      <c r="G822" s="16"/>
      <c r="H822" s="29"/>
      <c r="I822" s="17"/>
      <c r="J822" s="20"/>
      <c r="K822" s="45">
        <f t="shared" si="710"/>
        <v>0</v>
      </c>
      <c r="L822" s="104">
        <f t="shared" si="702"/>
        <v>0</v>
      </c>
      <c r="N822" s="72"/>
      <c r="O822" s="16"/>
      <c r="P822" s="29"/>
      <c r="Q822" s="17"/>
      <c r="R822" s="32"/>
      <c r="S822" s="9">
        <f t="shared" ref="S822:S833" si="715">SUM(O822:R822)</f>
        <v>0</v>
      </c>
      <c r="T822" s="16"/>
      <c r="U822" s="29"/>
      <c r="V822" s="17"/>
      <c r="W822" s="32"/>
      <c r="X822" s="9">
        <f t="shared" ref="X822:X833" si="716">SUM(T822:W822)</f>
        <v>0</v>
      </c>
      <c r="Y822" s="104">
        <f t="shared" si="705"/>
        <v>0</v>
      </c>
    </row>
    <row r="823" spans="1:25" x14ac:dyDescent="0.15">
      <c r="A823" s="47"/>
      <c r="B823" s="16"/>
      <c r="C823" s="29"/>
      <c r="D823" s="17"/>
      <c r="E823" s="20"/>
      <c r="F823" s="45">
        <f t="shared" si="709"/>
        <v>0</v>
      </c>
      <c r="G823" s="16"/>
      <c r="H823" s="29"/>
      <c r="I823" s="17"/>
      <c r="J823" s="20"/>
      <c r="K823" s="45">
        <f t="shared" si="710"/>
        <v>0</v>
      </c>
      <c r="L823" s="104">
        <f t="shared" si="702"/>
        <v>0</v>
      </c>
      <c r="N823" s="72"/>
      <c r="O823" s="16"/>
      <c r="P823" s="29"/>
      <c r="Q823" s="17"/>
      <c r="R823" s="32"/>
      <c r="S823" s="9">
        <f t="shared" si="715"/>
        <v>0</v>
      </c>
      <c r="T823" s="16"/>
      <c r="U823" s="29"/>
      <c r="V823" s="17"/>
      <c r="W823" s="32"/>
      <c r="X823" s="9">
        <f t="shared" si="716"/>
        <v>0</v>
      </c>
      <c r="Y823" s="104">
        <f t="shared" si="705"/>
        <v>0</v>
      </c>
    </row>
    <row r="824" spans="1:25" x14ac:dyDescent="0.15">
      <c r="A824" s="47"/>
      <c r="B824" s="16"/>
      <c r="C824" s="29"/>
      <c r="D824" s="17"/>
      <c r="E824" s="20"/>
      <c r="F824" s="45">
        <f t="shared" si="709"/>
        <v>0</v>
      </c>
      <c r="G824" s="16"/>
      <c r="H824" s="29"/>
      <c r="I824" s="17"/>
      <c r="J824" s="20"/>
      <c r="K824" s="45">
        <f t="shared" si="710"/>
        <v>0</v>
      </c>
      <c r="L824" s="104">
        <f t="shared" si="702"/>
        <v>0</v>
      </c>
      <c r="N824" s="72"/>
      <c r="O824" s="16"/>
      <c r="P824" s="29"/>
      <c r="Q824" s="17"/>
      <c r="R824" s="32"/>
      <c r="S824" s="9">
        <f t="shared" si="715"/>
        <v>0</v>
      </c>
      <c r="T824" s="16"/>
      <c r="U824" s="29"/>
      <c r="V824" s="17"/>
      <c r="W824" s="32"/>
      <c r="X824" s="9">
        <f t="shared" si="716"/>
        <v>0</v>
      </c>
      <c r="Y824" s="104">
        <f t="shared" si="705"/>
        <v>0</v>
      </c>
    </row>
    <row r="825" spans="1:25" x14ac:dyDescent="0.15">
      <c r="A825" s="47"/>
      <c r="B825" s="16"/>
      <c r="C825" s="29"/>
      <c r="D825" s="17"/>
      <c r="E825" s="20"/>
      <c r="F825" s="45">
        <f t="shared" si="709"/>
        <v>0</v>
      </c>
      <c r="G825" s="16"/>
      <c r="H825" s="29"/>
      <c r="I825" s="17"/>
      <c r="J825" s="20"/>
      <c r="K825" s="45">
        <f t="shared" si="710"/>
        <v>0</v>
      </c>
      <c r="L825" s="104">
        <f t="shared" si="702"/>
        <v>0</v>
      </c>
      <c r="N825" s="72"/>
      <c r="O825" s="16"/>
      <c r="P825" s="29"/>
      <c r="Q825" s="17"/>
      <c r="R825" s="32"/>
      <c r="S825" s="9">
        <f t="shared" si="715"/>
        <v>0</v>
      </c>
      <c r="T825" s="16"/>
      <c r="U825" s="29"/>
      <c r="V825" s="17"/>
      <c r="W825" s="32"/>
      <c r="X825" s="9">
        <f t="shared" si="716"/>
        <v>0</v>
      </c>
      <c r="Y825" s="104">
        <f t="shared" si="705"/>
        <v>0</v>
      </c>
    </row>
    <row r="826" spans="1:25" x14ac:dyDescent="0.15">
      <c r="A826" s="47"/>
      <c r="B826" s="16"/>
      <c r="C826" s="29"/>
      <c r="D826" s="17"/>
      <c r="E826" s="20"/>
      <c r="F826" s="45">
        <f t="shared" si="709"/>
        <v>0</v>
      </c>
      <c r="G826" s="16"/>
      <c r="H826" s="29"/>
      <c r="I826" s="17"/>
      <c r="J826" s="20"/>
      <c r="K826" s="45">
        <f t="shared" si="710"/>
        <v>0</v>
      </c>
      <c r="L826" s="104">
        <f t="shared" si="702"/>
        <v>0</v>
      </c>
      <c r="N826" s="72"/>
      <c r="O826" s="16"/>
      <c r="P826" s="29"/>
      <c r="Q826" s="17"/>
      <c r="R826" s="32"/>
      <c r="S826" s="9">
        <f t="shared" si="715"/>
        <v>0</v>
      </c>
      <c r="T826" s="16"/>
      <c r="U826" s="29"/>
      <c r="V826" s="17"/>
      <c r="W826" s="32"/>
      <c r="X826" s="9">
        <f t="shared" si="716"/>
        <v>0</v>
      </c>
      <c r="Y826" s="104">
        <f t="shared" si="705"/>
        <v>0</v>
      </c>
    </row>
    <row r="827" spans="1:25" x14ac:dyDescent="0.15">
      <c r="A827" s="47"/>
      <c r="B827" s="16"/>
      <c r="C827" s="29"/>
      <c r="D827" s="17"/>
      <c r="E827" s="20"/>
      <c r="F827" s="45">
        <f t="shared" si="709"/>
        <v>0</v>
      </c>
      <c r="G827" s="16"/>
      <c r="H827" s="29"/>
      <c r="I827" s="17"/>
      <c r="J827" s="20"/>
      <c r="K827" s="45">
        <f t="shared" si="710"/>
        <v>0</v>
      </c>
      <c r="L827" s="104">
        <f t="shared" si="702"/>
        <v>0</v>
      </c>
      <c r="N827" s="72"/>
      <c r="O827" s="16"/>
      <c r="P827" s="29"/>
      <c r="Q827" s="17"/>
      <c r="R827" s="32"/>
      <c r="S827" s="9">
        <f t="shared" si="715"/>
        <v>0</v>
      </c>
      <c r="T827" s="16"/>
      <c r="U827" s="29"/>
      <c r="V827" s="17"/>
      <c r="W827" s="32"/>
      <c r="X827" s="9">
        <f t="shared" si="716"/>
        <v>0</v>
      </c>
      <c r="Y827" s="104">
        <f t="shared" si="705"/>
        <v>0</v>
      </c>
    </row>
    <row r="828" spans="1:25" x14ac:dyDescent="0.15">
      <c r="A828" s="47"/>
      <c r="B828" s="16"/>
      <c r="C828" s="29"/>
      <c r="D828" s="17"/>
      <c r="E828" s="20"/>
      <c r="F828" s="45">
        <f t="shared" si="709"/>
        <v>0</v>
      </c>
      <c r="G828" s="16"/>
      <c r="H828" s="29"/>
      <c r="I828" s="17"/>
      <c r="J828" s="20"/>
      <c r="K828" s="45">
        <f t="shared" si="710"/>
        <v>0</v>
      </c>
      <c r="L828" s="104">
        <f t="shared" si="702"/>
        <v>0</v>
      </c>
      <c r="N828" s="72"/>
      <c r="O828" s="16"/>
      <c r="P828" s="29"/>
      <c r="Q828" s="17"/>
      <c r="R828" s="32"/>
      <c r="S828" s="9">
        <f t="shared" si="715"/>
        <v>0</v>
      </c>
      <c r="T828" s="16"/>
      <c r="U828" s="29"/>
      <c r="V828" s="17"/>
      <c r="W828" s="32"/>
      <c r="X828" s="9">
        <f t="shared" si="716"/>
        <v>0</v>
      </c>
      <c r="Y828" s="104">
        <f t="shared" si="705"/>
        <v>0</v>
      </c>
    </row>
    <row r="829" spans="1:25" x14ac:dyDescent="0.15">
      <c r="A829" s="47"/>
      <c r="B829" s="16"/>
      <c r="C829" s="29"/>
      <c r="D829" s="17"/>
      <c r="E829" s="20"/>
      <c r="F829" s="45">
        <f t="shared" si="709"/>
        <v>0</v>
      </c>
      <c r="G829" s="16"/>
      <c r="H829" s="29"/>
      <c r="I829" s="17"/>
      <c r="J829" s="20"/>
      <c r="K829" s="45">
        <f t="shared" si="710"/>
        <v>0</v>
      </c>
      <c r="L829" s="104">
        <f t="shared" si="702"/>
        <v>0</v>
      </c>
      <c r="N829" s="72"/>
      <c r="O829" s="16"/>
      <c r="P829" s="29"/>
      <c r="Q829" s="17"/>
      <c r="R829" s="32"/>
      <c r="S829" s="9">
        <f t="shared" si="715"/>
        <v>0</v>
      </c>
      <c r="T829" s="16"/>
      <c r="U829" s="29"/>
      <c r="V829" s="17"/>
      <c r="W829" s="32"/>
      <c r="X829" s="9">
        <f t="shared" si="716"/>
        <v>0</v>
      </c>
      <c r="Y829" s="104">
        <f t="shared" si="705"/>
        <v>0</v>
      </c>
    </row>
    <row r="830" spans="1:25" x14ac:dyDescent="0.15">
      <c r="A830" s="47"/>
      <c r="B830" s="16"/>
      <c r="C830" s="29"/>
      <c r="D830" s="17"/>
      <c r="E830" s="20"/>
      <c r="F830" s="45">
        <f t="shared" si="709"/>
        <v>0</v>
      </c>
      <c r="G830" s="16"/>
      <c r="H830" s="29"/>
      <c r="I830" s="17"/>
      <c r="J830" s="20"/>
      <c r="K830" s="45">
        <f t="shared" si="710"/>
        <v>0</v>
      </c>
      <c r="L830" s="104">
        <f t="shared" si="702"/>
        <v>0</v>
      </c>
      <c r="N830" s="72"/>
      <c r="O830" s="16"/>
      <c r="P830" s="29"/>
      <c r="Q830" s="17"/>
      <c r="R830" s="32"/>
      <c r="S830" s="9">
        <f t="shared" si="715"/>
        <v>0</v>
      </c>
      <c r="T830" s="16"/>
      <c r="U830" s="29"/>
      <c r="V830" s="17"/>
      <c r="W830" s="32"/>
      <c r="X830" s="9">
        <f t="shared" si="716"/>
        <v>0</v>
      </c>
      <c r="Y830" s="104">
        <f t="shared" si="705"/>
        <v>0</v>
      </c>
    </row>
    <row r="831" spans="1:25" x14ac:dyDescent="0.15">
      <c r="A831" s="47"/>
      <c r="B831" s="16"/>
      <c r="C831" s="29"/>
      <c r="D831" s="17"/>
      <c r="E831" s="20"/>
      <c r="F831" s="45">
        <f t="shared" si="709"/>
        <v>0</v>
      </c>
      <c r="G831" s="16"/>
      <c r="H831" s="29"/>
      <c r="I831" s="17"/>
      <c r="J831" s="20"/>
      <c r="K831" s="45">
        <f t="shared" si="710"/>
        <v>0</v>
      </c>
      <c r="L831" s="104">
        <f t="shared" si="702"/>
        <v>0</v>
      </c>
      <c r="N831" s="72"/>
      <c r="O831" s="16"/>
      <c r="P831" s="29"/>
      <c r="Q831" s="17"/>
      <c r="R831" s="32"/>
      <c r="S831" s="9">
        <f t="shared" si="715"/>
        <v>0</v>
      </c>
      <c r="T831" s="16"/>
      <c r="U831" s="29"/>
      <c r="V831" s="17"/>
      <c r="W831" s="32"/>
      <c r="X831" s="9">
        <f t="shared" si="716"/>
        <v>0</v>
      </c>
      <c r="Y831" s="104">
        <f t="shared" si="705"/>
        <v>0</v>
      </c>
    </row>
    <row r="832" spans="1:25" ht="14.25" thickBot="1" x14ac:dyDescent="0.2">
      <c r="A832" s="47"/>
      <c r="B832" s="37"/>
      <c r="C832" s="38"/>
      <c r="D832" s="39"/>
      <c r="E832" s="40"/>
      <c r="F832" s="45">
        <f t="shared" si="709"/>
        <v>0</v>
      </c>
      <c r="G832" s="37"/>
      <c r="H832" s="38"/>
      <c r="I832" s="39"/>
      <c r="J832" s="40"/>
      <c r="K832" s="45">
        <f t="shared" si="710"/>
        <v>0</v>
      </c>
      <c r="L832" s="104">
        <f t="shared" si="702"/>
        <v>0</v>
      </c>
      <c r="N832" s="150"/>
      <c r="O832" s="37"/>
      <c r="P832" s="38"/>
      <c r="Q832" s="39"/>
      <c r="R832" s="129"/>
      <c r="S832" s="10">
        <f t="shared" si="715"/>
        <v>0</v>
      </c>
      <c r="T832" s="37"/>
      <c r="U832" s="38"/>
      <c r="V832" s="39"/>
      <c r="W832" s="129"/>
      <c r="X832" s="10">
        <f t="shared" si="716"/>
        <v>0</v>
      </c>
      <c r="Y832" s="101">
        <f t="shared" si="705"/>
        <v>0</v>
      </c>
    </row>
    <row r="833" spans="1:25" ht="14.25" thickBot="1" x14ac:dyDescent="0.2">
      <c r="A833" s="13" t="s">
        <v>8</v>
      </c>
      <c r="B833" s="22">
        <f>SUM(B808:B832)</f>
        <v>0</v>
      </c>
      <c r="C833" s="30">
        <f>SUM(C808:C832)</f>
        <v>0</v>
      </c>
      <c r="D833" s="23">
        <f>SUM(D808:D832)</f>
        <v>0</v>
      </c>
      <c r="E833" s="24">
        <f>SUM(E808:E832)</f>
        <v>0</v>
      </c>
      <c r="F833" s="21">
        <f t="shared" si="709"/>
        <v>0</v>
      </c>
      <c r="G833" s="22">
        <f>SUM(G808:G832)</f>
        <v>0</v>
      </c>
      <c r="H833" s="30">
        <f>SUM(H808:H832)</f>
        <v>0</v>
      </c>
      <c r="I833" s="23">
        <f>SUM(I808:I832)</f>
        <v>0</v>
      </c>
      <c r="J833" s="24">
        <f>SUM(J808:J832)</f>
        <v>0</v>
      </c>
      <c r="K833" s="21">
        <f>SUM(G833:J833)</f>
        <v>0</v>
      </c>
      <c r="L833" s="105">
        <f t="shared" si="702"/>
        <v>0</v>
      </c>
      <c r="N833" s="49" t="s">
        <v>8</v>
      </c>
      <c r="O833" s="22">
        <f>SUM(O808:O832)</f>
        <v>0</v>
      </c>
      <c r="P833" s="30">
        <f>SUM(P808:P832)</f>
        <v>0</v>
      </c>
      <c r="Q833" s="23">
        <f>SUM(Q808:Q832)</f>
        <v>0</v>
      </c>
      <c r="R833" s="24">
        <f>SUM(R808:R832)</f>
        <v>0</v>
      </c>
      <c r="S833" s="48">
        <f t="shared" si="715"/>
        <v>0</v>
      </c>
      <c r="T833" s="22">
        <f>SUM(T808:T832)</f>
        <v>0</v>
      </c>
      <c r="U833" s="30">
        <f>SUM(U808:U832)</f>
        <v>0</v>
      </c>
      <c r="V833" s="23">
        <f>SUM(V808:V832)</f>
        <v>0</v>
      </c>
      <c r="W833" s="24">
        <f>SUM(W808:W832)</f>
        <v>0</v>
      </c>
      <c r="X833" s="48">
        <f t="shared" si="716"/>
        <v>0</v>
      </c>
      <c r="Y833" s="122">
        <f t="shared" si="705"/>
        <v>0</v>
      </c>
    </row>
    <row r="834" spans="1:25" ht="14.25" thickBot="1" x14ac:dyDescent="0.2">
      <c r="A834" s="14" t="s">
        <v>9</v>
      </c>
      <c r="B834" s="25">
        <f t="shared" ref="B834:K834" si="717">B807-B833</f>
        <v>7</v>
      </c>
      <c r="C834" s="31">
        <f t="shared" si="717"/>
        <v>8</v>
      </c>
      <c r="D834" s="26">
        <f t="shared" si="717"/>
        <v>6</v>
      </c>
      <c r="E834" s="27">
        <f t="shared" si="717"/>
        <v>5</v>
      </c>
      <c r="F834" s="83">
        <f t="shared" si="717"/>
        <v>26</v>
      </c>
      <c r="G834" s="25">
        <f t="shared" si="717"/>
        <v>4</v>
      </c>
      <c r="H834" s="31">
        <f t="shared" si="717"/>
        <v>7</v>
      </c>
      <c r="I834" s="26">
        <f t="shared" si="717"/>
        <v>5</v>
      </c>
      <c r="J834" s="27">
        <f t="shared" si="717"/>
        <v>8</v>
      </c>
      <c r="K834" s="83">
        <f t="shared" si="717"/>
        <v>24</v>
      </c>
      <c r="L834" s="102">
        <f t="shared" si="702"/>
        <v>50</v>
      </c>
      <c r="N834" s="13" t="s">
        <v>9</v>
      </c>
      <c r="O834" s="25">
        <f t="shared" ref="O834:X834" si="718">O807-O833</f>
        <v>62</v>
      </c>
      <c r="P834" s="31">
        <f t="shared" si="718"/>
        <v>108</v>
      </c>
      <c r="Q834" s="26">
        <f t="shared" si="718"/>
        <v>65</v>
      </c>
      <c r="R834" s="27">
        <f t="shared" si="718"/>
        <v>107</v>
      </c>
      <c r="S834" s="36">
        <f t="shared" si="718"/>
        <v>342</v>
      </c>
      <c r="T834" s="25">
        <f t="shared" si="718"/>
        <v>140</v>
      </c>
      <c r="U834" s="31">
        <f t="shared" si="718"/>
        <v>171</v>
      </c>
      <c r="V834" s="26">
        <f t="shared" si="718"/>
        <v>163</v>
      </c>
      <c r="W834" s="27">
        <f t="shared" si="718"/>
        <v>175</v>
      </c>
      <c r="X834" s="36">
        <f t="shared" si="718"/>
        <v>649</v>
      </c>
      <c r="Y834" s="102">
        <f t="shared" si="705"/>
        <v>991</v>
      </c>
    </row>
    <row r="835" spans="1:25" x14ac:dyDescent="0.15">
      <c r="N835" s="189"/>
      <c r="O835" s="71"/>
      <c r="P835" s="71"/>
      <c r="Q835" s="71"/>
      <c r="R835" s="71"/>
      <c r="S835" s="71"/>
      <c r="T835" s="71"/>
      <c r="U835" s="71"/>
      <c r="V835" s="71"/>
      <c r="W835" s="71"/>
      <c r="X835" s="71"/>
    </row>
    <row r="836" spans="1:25" x14ac:dyDescent="0.15">
      <c r="N836" s="241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</row>
  </sheetData>
  <mergeCells count="131">
    <mergeCell ref="B762:F762"/>
    <mergeCell ref="G762:K762"/>
    <mergeCell ref="L762:L763"/>
    <mergeCell ref="B800:F800"/>
    <mergeCell ref="G800:K800"/>
    <mergeCell ref="L800:L801"/>
    <mergeCell ref="O686:S686"/>
    <mergeCell ref="T686:X686"/>
    <mergeCell ref="Y686:Y687"/>
    <mergeCell ref="B686:F686"/>
    <mergeCell ref="G686:K686"/>
    <mergeCell ref="L686:L687"/>
    <mergeCell ref="O724:S724"/>
    <mergeCell ref="T724:X724"/>
    <mergeCell ref="Y724:Y725"/>
    <mergeCell ref="B724:F724"/>
    <mergeCell ref="G724:K724"/>
    <mergeCell ref="L724:L725"/>
    <mergeCell ref="O762:S762"/>
    <mergeCell ref="T762:X762"/>
    <mergeCell ref="Y762:Y763"/>
    <mergeCell ref="O800:S800"/>
    <mergeCell ref="T800:X800"/>
    <mergeCell ref="O610:S610"/>
    <mergeCell ref="T610:X610"/>
    <mergeCell ref="Y610:Y611"/>
    <mergeCell ref="B610:F610"/>
    <mergeCell ref="G610:K610"/>
    <mergeCell ref="L610:L611"/>
    <mergeCell ref="O496:S496"/>
    <mergeCell ref="T496:X496"/>
    <mergeCell ref="Y496:Y497"/>
    <mergeCell ref="B496:F496"/>
    <mergeCell ref="G496:K496"/>
    <mergeCell ref="L496:L497"/>
    <mergeCell ref="O572:S572"/>
    <mergeCell ref="T572:X572"/>
    <mergeCell ref="Y572:Y573"/>
    <mergeCell ref="B572:F572"/>
    <mergeCell ref="G572:K572"/>
    <mergeCell ref="L572:L573"/>
    <mergeCell ref="T268:X268"/>
    <mergeCell ref="O116:S116"/>
    <mergeCell ref="T116:X116"/>
    <mergeCell ref="Y116:Y117"/>
    <mergeCell ref="B116:F116"/>
    <mergeCell ref="G116:K116"/>
    <mergeCell ref="L116:L117"/>
    <mergeCell ref="O154:S154"/>
    <mergeCell ref="T154:X154"/>
    <mergeCell ref="Y154:Y155"/>
    <mergeCell ref="B154:F154"/>
    <mergeCell ref="G154:K154"/>
    <mergeCell ref="L154:L155"/>
    <mergeCell ref="O192:S192"/>
    <mergeCell ref="T192:X192"/>
    <mergeCell ref="Y230:Y231"/>
    <mergeCell ref="T230:X230"/>
    <mergeCell ref="O230:S230"/>
    <mergeCell ref="G230:K230"/>
    <mergeCell ref="L230:L231"/>
    <mergeCell ref="Y192:Y193"/>
    <mergeCell ref="B192:F192"/>
    <mergeCell ref="G192:K192"/>
    <mergeCell ref="L192:L193"/>
    <mergeCell ref="Y2:Y3"/>
    <mergeCell ref="Y40:Y41"/>
    <mergeCell ref="T2:X2"/>
    <mergeCell ref="T40:X40"/>
    <mergeCell ref="O78:S78"/>
    <mergeCell ref="T78:X78"/>
    <mergeCell ref="Y78:Y79"/>
    <mergeCell ref="B2:F2"/>
    <mergeCell ref="O2:S2"/>
    <mergeCell ref="B40:F40"/>
    <mergeCell ref="O40:S40"/>
    <mergeCell ref="G2:K2"/>
    <mergeCell ref="G40:K40"/>
    <mergeCell ref="L2:L3"/>
    <mergeCell ref="L40:L41"/>
    <mergeCell ref="B78:F78"/>
    <mergeCell ref="G78:K78"/>
    <mergeCell ref="L78:L79"/>
    <mergeCell ref="Y268:Y269"/>
    <mergeCell ref="L344:L345"/>
    <mergeCell ref="B230:F230"/>
    <mergeCell ref="Y382:Y383"/>
    <mergeCell ref="B382:F382"/>
    <mergeCell ref="G382:K382"/>
    <mergeCell ref="L382:L383"/>
    <mergeCell ref="O382:S382"/>
    <mergeCell ref="T382:X382"/>
    <mergeCell ref="B306:F306"/>
    <mergeCell ref="G306:K306"/>
    <mergeCell ref="L306:L307"/>
    <mergeCell ref="O306:S306"/>
    <mergeCell ref="T306:X306"/>
    <mergeCell ref="O344:S344"/>
    <mergeCell ref="T344:X344"/>
    <mergeCell ref="B344:F344"/>
    <mergeCell ref="G344:K344"/>
    <mergeCell ref="Y344:Y345"/>
    <mergeCell ref="Y306:Y307"/>
    <mergeCell ref="B268:F268"/>
    <mergeCell ref="G268:K268"/>
    <mergeCell ref="L268:L269"/>
    <mergeCell ref="O268:S268"/>
    <mergeCell ref="O420:S420"/>
    <mergeCell ref="T420:X420"/>
    <mergeCell ref="Y420:Y421"/>
    <mergeCell ref="B420:F420"/>
    <mergeCell ref="G420:K420"/>
    <mergeCell ref="L420:L421"/>
    <mergeCell ref="O648:S648"/>
    <mergeCell ref="T648:X648"/>
    <mergeCell ref="Y648:Y649"/>
    <mergeCell ref="B648:F648"/>
    <mergeCell ref="G648:K648"/>
    <mergeCell ref="L648:L649"/>
    <mergeCell ref="O458:S458"/>
    <mergeCell ref="T458:X458"/>
    <mergeCell ref="Y458:Y459"/>
    <mergeCell ref="B458:F458"/>
    <mergeCell ref="G458:K458"/>
    <mergeCell ref="L458:L459"/>
    <mergeCell ref="O534:S534"/>
    <mergeCell ref="T534:X534"/>
    <mergeCell ref="Y534:Y535"/>
    <mergeCell ref="B534:F534"/>
    <mergeCell ref="G534:K534"/>
    <mergeCell ref="L534:L535"/>
  </mergeCells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5714-8372-4E64-A83B-14EE09BAD54D}">
  <sheetPr>
    <tabColor theme="7"/>
  </sheetPr>
  <dimension ref="A1:AC948"/>
  <sheetViews>
    <sheetView topLeftCell="A693" zoomScaleNormal="100" workbookViewId="0">
      <selection activeCell="M709" sqref="M709"/>
    </sheetView>
  </sheetViews>
  <sheetFormatPr defaultRowHeight="13.5" x14ac:dyDescent="0.15"/>
  <cols>
    <col min="1" max="1" width="25.25" customWidth="1"/>
    <col min="2" max="12" width="7" customWidth="1"/>
    <col min="13" max="13" width="11.5" style="57" customWidth="1"/>
    <col min="14" max="14" width="48.5" customWidth="1"/>
    <col min="15" max="15" width="9.375" customWidth="1"/>
    <col min="16" max="25" width="7.75" customWidth="1"/>
    <col min="26" max="26" width="9.25" style="57" bestFit="1" customWidth="1"/>
    <col min="27" max="28" width="9.25" bestFit="1" customWidth="1"/>
  </cols>
  <sheetData>
    <row r="1" spans="1:29" ht="19.5" thickBot="1" x14ac:dyDescent="0.25">
      <c r="A1" s="2" t="s">
        <v>18</v>
      </c>
      <c r="B1" s="2"/>
      <c r="C1" s="1"/>
      <c r="D1" s="1"/>
      <c r="E1" s="1"/>
      <c r="F1" s="84"/>
      <c r="G1" s="2"/>
      <c r="H1" s="1" t="s">
        <v>157</v>
      </c>
      <c r="I1" s="1"/>
      <c r="J1" s="1"/>
      <c r="K1" s="84" t="s">
        <v>13</v>
      </c>
      <c r="L1" s="84"/>
      <c r="N1" s="2" t="s">
        <v>19</v>
      </c>
      <c r="O1" s="2"/>
      <c r="P1" s="1"/>
      <c r="Q1" s="1"/>
      <c r="R1" s="1"/>
      <c r="S1" s="84"/>
      <c r="T1" s="1" t="s">
        <v>157</v>
      </c>
      <c r="U1" s="1"/>
      <c r="V1" s="1"/>
      <c r="W1" s="1"/>
      <c r="X1" s="84" t="s">
        <v>13</v>
      </c>
      <c r="Y1" s="84"/>
    </row>
    <row r="2" spans="1:29" ht="14.25" thickBot="1" x14ac:dyDescent="0.2">
      <c r="A2" s="5" t="s">
        <v>0</v>
      </c>
      <c r="B2" s="322" t="s">
        <v>32</v>
      </c>
      <c r="C2" s="323"/>
      <c r="D2" s="323"/>
      <c r="E2" s="323"/>
      <c r="F2" s="324"/>
      <c r="G2" s="325" t="s">
        <v>31</v>
      </c>
      <c r="H2" s="326"/>
      <c r="I2" s="326"/>
      <c r="J2" s="326"/>
      <c r="K2" s="327"/>
      <c r="L2" s="320" t="s">
        <v>30</v>
      </c>
      <c r="N2" s="5" t="s">
        <v>0</v>
      </c>
      <c r="O2" s="322" t="s">
        <v>200</v>
      </c>
      <c r="P2" s="323"/>
      <c r="Q2" s="323"/>
      <c r="R2" s="323"/>
      <c r="S2" s="324"/>
      <c r="T2" s="325" t="s">
        <v>201</v>
      </c>
      <c r="U2" s="326"/>
      <c r="V2" s="326"/>
      <c r="W2" s="326"/>
      <c r="X2" s="327"/>
      <c r="Y2" s="320" t="s">
        <v>30</v>
      </c>
    </row>
    <row r="3" spans="1:29" ht="14.25" thickBot="1" x14ac:dyDescent="0.2">
      <c r="A3" s="5" t="s">
        <v>1</v>
      </c>
      <c r="B3" s="3" t="s">
        <v>22</v>
      </c>
      <c r="C3" s="28" t="s">
        <v>23</v>
      </c>
      <c r="D3" s="4" t="s">
        <v>24</v>
      </c>
      <c r="E3" s="15" t="s">
        <v>25</v>
      </c>
      <c r="F3" s="19" t="s">
        <v>2</v>
      </c>
      <c r="G3" s="3" t="s">
        <v>22</v>
      </c>
      <c r="H3" s="28" t="s">
        <v>23</v>
      </c>
      <c r="I3" s="4" t="s">
        <v>24</v>
      </c>
      <c r="J3" s="15" t="s">
        <v>25</v>
      </c>
      <c r="K3" s="19" t="s">
        <v>2</v>
      </c>
      <c r="L3" s="321"/>
      <c r="N3" s="5" t="s">
        <v>1</v>
      </c>
      <c r="O3" s="3" t="s">
        <v>22</v>
      </c>
      <c r="P3" s="28" t="s">
        <v>23</v>
      </c>
      <c r="Q3" s="4" t="s">
        <v>24</v>
      </c>
      <c r="R3" s="15" t="s">
        <v>25</v>
      </c>
      <c r="S3" s="19" t="s">
        <v>2</v>
      </c>
      <c r="T3" s="3" t="s">
        <v>22</v>
      </c>
      <c r="U3" s="28" t="s">
        <v>23</v>
      </c>
      <c r="V3" s="4" t="s">
        <v>24</v>
      </c>
      <c r="W3" s="15" t="s">
        <v>25</v>
      </c>
      <c r="X3" s="19" t="s">
        <v>2</v>
      </c>
      <c r="Y3" s="321"/>
    </row>
    <row r="4" spans="1:29" x14ac:dyDescent="0.15">
      <c r="A4" s="75" t="s">
        <v>12</v>
      </c>
      <c r="B4" s="73">
        <v>5</v>
      </c>
      <c r="C4" s="74">
        <v>5</v>
      </c>
      <c r="D4" s="74">
        <v>5</v>
      </c>
      <c r="E4" s="76">
        <v>5</v>
      </c>
      <c r="F4" s="115">
        <f>SUM(B4:E4)</f>
        <v>20</v>
      </c>
      <c r="G4" s="73">
        <v>5</v>
      </c>
      <c r="H4" s="74">
        <v>5</v>
      </c>
      <c r="I4" s="74">
        <v>5</v>
      </c>
      <c r="J4" s="76">
        <v>5</v>
      </c>
      <c r="K4" s="115">
        <f>SUM(G4:J4)</f>
        <v>20</v>
      </c>
      <c r="L4" s="113">
        <f>F4+K4</f>
        <v>40</v>
      </c>
      <c r="M4" s="56">
        <v>45604</v>
      </c>
      <c r="N4" s="75" t="s">
        <v>15</v>
      </c>
      <c r="O4" s="73">
        <v>30</v>
      </c>
      <c r="P4" s="74">
        <v>40</v>
      </c>
      <c r="Q4" s="74">
        <v>40</v>
      </c>
      <c r="R4" s="76">
        <v>30</v>
      </c>
      <c r="S4" s="112">
        <f>SUM(O4:R4)</f>
        <v>140</v>
      </c>
      <c r="T4" s="73">
        <v>30</v>
      </c>
      <c r="U4" s="74">
        <v>40</v>
      </c>
      <c r="V4" s="74">
        <v>40</v>
      </c>
      <c r="W4" s="76">
        <v>30</v>
      </c>
      <c r="X4" s="112">
        <f>SUM(T4:W4)</f>
        <v>140</v>
      </c>
      <c r="Y4" s="113">
        <f>S4+X4</f>
        <v>280</v>
      </c>
      <c r="Z4" s="56" t="s">
        <v>38</v>
      </c>
      <c r="AA4" s="50"/>
      <c r="AB4" s="35"/>
    </row>
    <row r="5" spans="1:29" x14ac:dyDescent="0.15">
      <c r="A5" s="47" t="s">
        <v>3</v>
      </c>
      <c r="B5" s="51">
        <v>3</v>
      </c>
      <c r="C5" s="52">
        <v>3</v>
      </c>
      <c r="D5" s="53">
        <v>3</v>
      </c>
      <c r="E5" s="54">
        <v>3</v>
      </c>
      <c r="F5" s="61">
        <f>SUM(B5:E5)</f>
        <v>12</v>
      </c>
      <c r="G5" s="51">
        <v>3</v>
      </c>
      <c r="H5" s="52">
        <v>3</v>
      </c>
      <c r="I5" s="53">
        <v>3</v>
      </c>
      <c r="J5" s="54">
        <v>3</v>
      </c>
      <c r="K5" s="61">
        <f>SUM(G5:J5)</f>
        <v>12</v>
      </c>
      <c r="L5" s="99">
        <f t="shared" ref="L5:L36" si="0">F5+K5</f>
        <v>24</v>
      </c>
      <c r="M5" s="56">
        <v>45629</v>
      </c>
      <c r="N5" s="47" t="s">
        <v>11</v>
      </c>
      <c r="O5" s="41"/>
      <c r="P5" s="42"/>
      <c r="Q5" s="43"/>
      <c r="R5" s="44"/>
      <c r="S5" s="70">
        <f>SUM(O5:R5)</f>
        <v>0</v>
      </c>
      <c r="T5" s="41"/>
      <c r="U5" s="42"/>
      <c r="V5" s="43"/>
      <c r="W5" s="44"/>
      <c r="X5" s="70">
        <f>SUM(T5:W5)</f>
        <v>0</v>
      </c>
      <c r="Y5" s="99">
        <f t="shared" ref="Y5:Y36" si="1">S5+X5</f>
        <v>0</v>
      </c>
      <c r="Z5" s="157"/>
      <c r="AA5" s="35"/>
    </row>
    <row r="6" spans="1:29" x14ac:dyDescent="0.15">
      <c r="A6" s="12" t="s">
        <v>66</v>
      </c>
      <c r="B6" s="6"/>
      <c r="C6" s="18"/>
      <c r="D6" s="7">
        <v>1</v>
      </c>
      <c r="E6" s="8"/>
      <c r="F6" s="9">
        <f>SUM(B6:E6)</f>
        <v>1</v>
      </c>
      <c r="G6" s="6"/>
      <c r="H6" s="18">
        <v>1</v>
      </c>
      <c r="I6" s="7">
        <v>1</v>
      </c>
      <c r="J6" s="8"/>
      <c r="K6" s="9">
        <f>SUM(G6:J6)</f>
        <v>2</v>
      </c>
      <c r="L6" s="100">
        <f t="shared" si="0"/>
        <v>3</v>
      </c>
      <c r="M6" s="56">
        <v>45650</v>
      </c>
      <c r="N6" s="12" t="s">
        <v>3</v>
      </c>
      <c r="O6" s="16"/>
      <c r="P6" s="29"/>
      <c r="Q6" s="17"/>
      <c r="R6" s="20"/>
      <c r="S6" s="45">
        <f>SUM(O6:R6)</f>
        <v>0</v>
      </c>
      <c r="T6" s="16"/>
      <c r="U6" s="29"/>
      <c r="V6" s="17"/>
      <c r="W6" s="20"/>
      <c r="X6" s="45">
        <f>SUM(T6:W6)</f>
        <v>0</v>
      </c>
      <c r="Y6" s="100">
        <f t="shared" si="1"/>
        <v>0</v>
      </c>
    </row>
    <row r="7" spans="1:29" x14ac:dyDescent="0.15">
      <c r="A7" s="12" t="s">
        <v>66</v>
      </c>
      <c r="B7" s="6">
        <v>2</v>
      </c>
      <c r="C7" s="18"/>
      <c r="D7" s="7"/>
      <c r="E7" s="8">
        <v>1</v>
      </c>
      <c r="F7" s="9">
        <f>SUM(B7:E7)</f>
        <v>3</v>
      </c>
      <c r="G7" s="6"/>
      <c r="H7" s="18"/>
      <c r="I7" s="7"/>
      <c r="J7" s="8"/>
      <c r="K7" s="9">
        <f>SUM(G7:J7)</f>
        <v>0</v>
      </c>
      <c r="L7" s="100">
        <f t="shared" si="0"/>
        <v>3</v>
      </c>
      <c r="M7" s="56">
        <v>45665</v>
      </c>
      <c r="N7" s="12" t="s">
        <v>4</v>
      </c>
      <c r="O7" s="16"/>
      <c r="P7" s="29"/>
      <c r="Q7" s="17"/>
      <c r="R7" s="20"/>
      <c r="S7" s="45">
        <f>SUM(O7:R7)</f>
        <v>0</v>
      </c>
      <c r="T7" s="16"/>
      <c r="U7" s="29"/>
      <c r="V7" s="17"/>
      <c r="W7" s="20"/>
      <c r="X7" s="45">
        <f>SUM(T7:W7)</f>
        <v>0</v>
      </c>
      <c r="Y7" s="100">
        <f t="shared" si="1"/>
        <v>0</v>
      </c>
    </row>
    <row r="8" spans="1:29" ht="14.25" thickBot="1" x14ac:dyDescent="0.2">
      <c r="A8" s="12" t="s">
        <v>66</v>
      </c>
      <c r="B8" s="6"/>
      <c r="C8" s="18"/>
      <c r="D8" s="7"/>
      <c r="E8" s="8">
        <v>1</v>
      </c>
      <c r="F8" s="10">
        <f>SUM(B8:E8)</f>
        <v>1</v>
      </c>
      <c r="G8" s="6"/>
      <c r="H8" s="18"/>
      <c r="I8" s="7"/>
      <c r="J8" s="8"/>
      <c r="K8" s="10">
        <f>SUM(G8:J8)</f>
        <v>0</v>
      </c>
      <c r="L8" s="101">
        <f t="shared" si="0"/>
        <v>1</v>
      </c>
      <c r="M8" s="56">
        <v>45667</v>
      </c>
      <c r="N8" s="12" t="s">
        <v>5</v>
      </c>
      <c r="O8" s="37"/>
      <c r="P8" s="38"/>
      <c r="Q8" s="39"/>
      <c r="R8" s="40"/>
      <c r="S8" s="46">
        <f>SUM(O8:R8)</f>
        <v>0</v>
      </c>
      <c r="T8" s="37"/>
      <c r="U8" s="38"/>
      <c r="V8" s="39"/>
      <c r="W8" s="40"/>
      <c r="X8" s="46">
        <f>SUM(T8:W8)</f>
        <v>0</v>
      </c>
      <c r="Y8" s="101">
        <f t="shared" si="1"/>
        <v>0</v>
      </c>
    </row>
    <row r="9" spans="1:29" ht="14.25" thickBot="1" x14ac:dyDescent="0.2">
      <c r="A9" s="14" t="s">
        <v>7</v>
      </c>
      <c r="B9" s="25">
        <f t="shared" ref="B9:F9" si="2">SUM(B4:B8)</f>
        <v>10</v>
      </c>
      <c r="C9" s="31">
        <f t="shared" si="2"/>
        <v>8</v>
      </c>
      <c r="D9" s="26">
        <f t="shared" si="2"/>
        <v>9</v>
      </c>
      <c r="E9" s="67">
        <f t="shared" si="2"/>
        <v>10</v>
      </c>
      <c r="F9" s="66">
        <f t="shared" si="2"/>
        <v>37</v>
      </c>
      <c r="G9" s="25">
        <f t="shared" ref="G9:K9" si="3">SUM(G4:G8)</f>
        <v>8</v>
      </c>
      <c r="H9" s="31">
        <f t="shared" si="3"/>
        <v>9</v>
      </c>
      <c r="I9" s="26">
        <f t="shared" si="3"/>
        <v>9</v>
      </c>
      <c r="J9" s="67">
        <f t="shared" si="3"/>
        <v>8</v>
      </c>
      <c r="K9" s="66">
        <f t="shared" si="3"/>
        <v>34</v>
      </c>
      <c r="L9" s="102">
        <f t="shared" si="0"/>
        <v>71</v>
      </c>
      <c r="N9" s="13" t="s">
        <v>7</v>
      </c>
      <c r="O9" s="25">
        <f t="shared" ref="O9:S9" si="4">SUM(O4:O8)</f>
        <v>30</v>
      </c>
      <c r="P9" s="31">
        <f t="shared" si="4"/>
        <v>40</v>
      </c>
      <c r="Q9" s="26">
        <f t="shared" si="4"/>
        <v>40</v>
      </c>
      <c r="R9" s="67">
        <f t="shared" si="4"/>
        <v>30</v>
      </c>
      <c r="S9" s="68">
        <f t="shared" si="4"/>
        <v>140</v>
      </c>
      <c r="T9" s="25">
        <f t="shared" ref="T9:X9" si="5">SUM(T4:T8)</f>
        <v>30</v>
      </c>
      <c r="U9" s="31">
        <f t="shared" si="5"/>
        <v>40</v>
      </c>
      <c r="V9" s="26">
        <f t="shared" si="5"/>
        <v>40</v>
      </c>
      <c r="W9" s="67">
        <f t="shared" si="5"/>
        <v>30</v>
      </c>
      <c r="X9" s="68">
        <f t="shared" si="5"/>
        <v>140</v>
      </c>
      <c r="Y9" s="102">
        <f t="shared" si="1"/>
        <v>280</v>
      </c>
    </row>
    <row r="10" spans="1:29" x14ac:dyDescent="0.15">
      <c r="A10" s="47" t="s">
        <v>43</v>
      </c>
      <c r="B10" s="41"/>
      <c r="C10" s="42"/>
      <c r="D10" s="43">
        <v>1</v>
      </c>
      <c r="E10" s="44"/>
      <c r="F10" s="61">
        <f t="shared" ref="F10:F34" si="6">SUM(B10:E10)</f>
        <v>1</v>
      </c>
      <c r="G10" s="41"/>
      <c r="H10" s="42"/>
      <c r="I10" s="43">
        <v>1</v>
      </c>
      <c r="J10" s="44"/>
      <c r="K10" s="61">
        <f t="shared" ref="K10:K34" si="7">SUM(G10:J10)</f>
        <v>1</v>
      </c>
      <c r="L10" s="103">
        <f t="shared" si="0"/>
        <v>2</v>
      </c>
      <c r="M10" s="58">
        <v>45607</v>
      </c>
      <c r="N10" s="33" t="s">
        <v>39</v>
      </c>
      <c r="O10" s="16">
        <v>5</v>
      </c>
      <c r="P10" s="29">
        <v>5</v>
      </c>
      <c r="Q10" s="17">
        <v>5</v>
      </c>
      <c r="R10" s="32">
        <v>5</v>
      </c>
      <c r="S10" s="9">
        <f t="shared" ref="S10" si="8">SUM(O10:R10)</f>
        <v>20</v>
      </c>
      <c r="T10" s="16">
        <v>5</v>
      </c>
      <c r="U10" s="29">
        <v>5</v>
      </c>
      <c r="V10" s="17">
        <v>5</v>
      </c>
      <c r="W10" s="32">
        <v>5</v>
      </c>
      <c r="X10" s="9">
        <f t="shared" ref="X10" si="9">SUM(T10:W10)</f>
        <v>20</v>
      </c>
      <c r="Y10" s="103">
        <f t="shared" si="1"/>
        <v>40</v>
      </c>
      <c r="Z10" s="56">
        <v>45604</v>
      </c>
      <c r="AA10" s="34"/>
    </row>
    <row r="11" spans="1:29" x14ac:dyDescent="0.15">
      <c r="A11" s="47" t="s">
        <v>44</v>
      </c>
      <c r="B11" s="16">
        <v>1</v>
      </c>
      <c r="C11" s="29"/>
      <c r="D11" s="17"/>
      <c r="E11" s="20"/>
      <c r="F11" s="9">
        <f t="shared" si="6"/>
        <v>1</v>
      </c>
      <c r="G11" s="16"/>
      <c r="H11" s="29"/>
      <c r="I11" s="17"/>
      <c r="J11" s="20"/>
      <c r="K11" s="9">
        <f t="shared" si="7"/>
        <v>0</v>
      </c>
      <c r="L11" s="104">
        <f t="shared" si="0"/>
        <v>1</v>
      </c>
      <c r="M11" s="58">
        <v>45607</v>
      </c>
      <c r="N11" s="33" t="s">
        <v>39</v>
      </c>
      <c r="O11" s="16">
        <v>3</v>
      </c>
      <c r="P11" s="29">
        <v>3</v>
      </c>
      <c r="Q11" s="17">
        <v>3</v>
      </c>
      <c r="R11" s="32">
        <v>3</v>
      </c>
      <c r="S11" s="9">
        <f>SUM(O11:R11)</f>
        <v>12</v>
      </c>
      <c r="T11" s="16">
        <v>3</v>
      </c>
      <c r="U11" s="29">
        <v>3</v>
      </c>
      <c r="V11" s="17">
        <v>3</v>
      </c>
      <c r="W11" s="32">
        <v>3</v>
      </c>
      <c r="X11" s="9">
        <f>SUM(T11:W11)</f>
        <v>12</v>
      </c>
      <c r="Y11" s="104">
        <f t="shared" si="1"/>
        <v>24</v>
      </c>
      <c r="Z11" s="56">
        <v>45629</v>
      </c>
      <c r="AA11" s="34"/>
    </row>
    <row r="12" spans="1:29" x14ac:dyDescent="0.15">
      <c r="A12" s="33" t="s">
        <v>48</v>
      </c>
      <c r="B12" s="16">
        <v>2</v>
      </c>
      <c r="C12" s="29">
        <v>2</v>
      </c>
      <c r="D12" s="17">
        <v>2</v>
      </c>
      <c r="E12" s="32">
        <v>2</v>
      </c>
      <c r="F12" s="9">
        <f>SUM(B12:E12)</f>
        <v>8</v>
      </c>
      <c r="G12" s="16">
        <v>2</v>
      </c>
      <c r="H12" s="29">
        <v>2</v>
      </c>
      <c r="I12" s="17">
        <v>2</v>
      </c>
      <c r="J12" s="32">
        <v>2</v>
      </c>
      <c r="K12" s="9">
        <f>SUM(G12:J12)</f>
        <v>8</v>
      </c>
      <c r="L12" s="104">
        <f t="shared" si="0"/>
        <v>16</v>
      </c>
      <c r="M12" s="56">
        <v>45630</v>
      </c>
      <c r="N12" s="33" t="s">
        <v>49</v>
      </c>
      <c r="O12" s="16"/>
      <c r="P12" s="29"/>
      <c r="Q12" s="17">
        <v>4</v>
      </c>
      <c r="R12" s="32">
        <v>4</v>
      </c>
      <c r="S12" s="9">
        <f>SUM(O12:R12)</f>
        <v>8</v>
      </c>
      <c r="T12" s="16"/>
      <c r="U12" s="29"/>
      <c r="V12" s="17"/>
      <c r="W12" s="32"/>
      <c r="X12" s="9">
        <f>SUM(T12:W12)</f>
        <v>0</v>
      </c>
      <c r="Y12" s="104">
        <f t="shared" si="1"/>
        <v>8</v>
      </c>
      <c r="Z12" s="56">
        <v>45632</v>
      </c>
      <c r="AA12" s="34"/>
    </row>
    <row r="13" spans="1:29" x14ac:dyDescent="0.15">
      <c r="A13" s="47" t="s">
        <v>51</v>
      </c>
      <c r="B13" s="16"/>
      <c r="C13" s="29"/>
      <c r="D13" s="17"/>
      <c r="E13" s="20"/>
      <c r="F13" s="9">
        <f t="shared" si="6"/>
        <v>0</v>
      </c>
      <c r="G13" s="16"/>
      <c r="H13" s="29">
        <v>1</v>
      </c>
      <c r="I13" s="17"/>
      <c r="J13" s="20"/>
      <c r="K13" s="9">
        <f t="shared" si="7"/>
        <v>1</v>
      </c>
      <c r="L13" s="104">
        <f t="shared" si="0"/>
        <v>1</v>
      </c>
      <c r="M13" s="56">
        <v>45631</v>
      </c>
      <c r="N13" s="33" t="s">
        <v>50</v>
      </c>
      <c r="O13" s="16"/>
      <c r="P13" s="29"/>
      <c r="Q13" s="17"/>
      <c r="R13" s="32"/>
      <c r="S13" s="9">
        <f>SUM(O13:R13)</f>
        <v>0</v>
      </c>
      <c r="T13" s="16"/>
      <c r="U13" s="29">
        <v>4</v>
      </c>
      <c r="V13" s="17"/>
      <c r="W13" s="32"/>
      <c r="X13" s="9">
        <f>SUM(T13:W13)</f>
        <v>4</v>
      </c>
      <c r="Y13" s="104">
        <f t="shared" si="1"/>
        <v>4</v>
      </c>
      <c r="Z13" s="56">
        <v>45632</v>
      </c>
      <c r="AA13" s="34"/>
      <c r="AB13" s="35"/>
      <c r="AC13" s="35"/>
    </row>
    <row r="14" spans="1:29" x14ac:dyDescent="0.15">
      <c r="A14" s="33" t="s">
        <v>52</v>
      </c>
      <c r="B14" s="16"/>
      <c r="C14" s="29"/>
      <c r="D14" s="17"/>
      <c r="E14" s="20"/>
      <c r="F14" s="9">
        <f t="shared" si="6"/>
        <v>0</v>
      </c>
      <c r="G14" s="16"/>
      <c r="H14" s="29">
        <v>1</v>
      </c>
      <c r="I14" s="17"/>
      <c r="J14" s="20"/>
      <c r="K14" s="9">
        <f t="shared" si="7"/>
        <v>1</v>
      </c>
      <c r="L14" s="104">
        <f t="shared" si="0"/>
        <v>1</v>
      </c>
      <c r="M14" s="56">
        <v>45635</v>
      </c>
      <c r="N14" s="33" t="s">
        <v>53</v>
      </c>
      <c r="O14" s="16">
        <v>5</v>
      </c>
      <c r="P14" s="29">
        <v>5</v>
      </c>
      <c r="Q14" s="17">
        <v>1</v>
      </c>
      <c r="R14" s="32">
        <v>2</v>
      </c>
      <c r="S14" s="9">
        <f t="shared" ref="S14:S35" si="10">SUM(O14:R14)</f>
        <v>13</v>
      </c>
      <c r="T14" s="16"/>
      <c r="U14" s="29">
        <v>1</v>
      </c>
      <c r="V14" s="17"/>
      <c r="W14" s="32"/>
      <c r="X14" s="9">
        <f t="shared" ref="X14:X35" si="11">SUM(T14:W14)</f>
        <v>1</v>
      </c>
      <c r="Y14" s="104">
        <f t="shared" si="1"/>
        <v>14</v>
      </c>
      <c r="Z14" s="56">
        <v>45637</v>
      </c>
      <c r="AA14" s="34"/>
    </row>
    <row r="15" spans="1:29" x14ac:dyDescent="0.15">
      <c r="A15" s="33" t="s">
        <v>61</v>
      </c>
      <c r="B15" s="16"/>
      <c r="C15" s="29"/>
      <c r="D15" s="17"/>
      <c r="E15" s="20"/>
      <c r="F15" s="9">
        <f t="shared" si="6"/>
        <v>0</v>
      </c>
      <c r="G15" s="16"/>
      <c r="H15" s="29"/>
      <c r="I15" s="17"/>
      <c r="J15" s="20">
        <v>1</v>
      </c>
      <c r="K15" s="9">
        <f t="shared" si="7"/>
        <v>1</v>
      </c>
      <c r="L15" s="104">
        <f t="shared" si="0"/>
        <v>1</v>
      </c>
      <c r="M15" s="56">
        <v>45646</v>
      </c>
      <c r="N15" s="33" t="s">
        <v>54</v>
      </c>
      <c r="O15" s="16"/>
      <c r="P15" s="29">
        <v>1</v>
      </c>
      <c r="Q15" s="17"/>
      <c r="R15" s="32"/>
      <c r="S15" s="9">
        <f>SUM(O15:R15)</f>
        <v>1</v>
      </c>
      <c r="T15" s="16"/>
      <c r="U15" s="29">
        <v>1</v>
      </c>
      <c r="V15" s="17">
        <v>2</v>
      </c>
      <c r="W15" s="32">
        <v>2</v>
      </c>
      <c r="X15" s="9">
        <f>SUM(T15:W15)</f>
        <v>5</v>
      </c>
      <c r="Y15" s="104">
        <f t="shared" si="1"/>
        <v>6</v>
      </c>
      <c r="Z15" s="56">
        <v>45638</v>
      </c>
      <c r="AA15" s="34"/>
    </row>
    <row r="16" spans="1:29" x14ac:dyDescent="0.15">
      <c r="A16" s="47" t="s">
        <v>51</v>
      </c>
      <c r="B16" s="16"/>
      <c r="C16" s="29"/>
      <c r="D16" s="17"/>
      <c r="E16" s="20"/>
      <c r="F16" s="9">
        <f t="shared" si="6"/>
        <v>0</v>
      </c>
      <c r="G16" s="16"/>
      <c r="H16" s="29"/>
      <c r="I16" s="17"/>
      <c r="J16" s="20">
        <v>1</v>
      </c>
      <c r="K16" s="9">
        <f t="shared" si="7"/>
        <v>1</v>
      </c>
      <c r="L16" s="104">
        <f t="shared" si="0"/>
        <v>1</v>
      </c>
      <c r="M16" s="56">
        <v>45645</v>
      </c>
      <c r="N16" s="33" t="s">
        <v>55</v>
      </c>
      <c r="O16" s="16"/>
      <c r="P16" s="29"/>
      <c r="Q16" s="17"/>
      <c r="R16" s="32"/>
      <c r="S16" s="9">
        <f>SUM(O16:R16)</f>
        <v>0</v>
      </c>
      <c r="T16" s="16"/>
      <c r="U16" s="29">
        <v>3</v>
      </c>
      <c r="V16" s="17">
        <v>3</v>
      </c>
      <c r="W16" s="32">
        <v>1</v>
      </c>
      <c r="X16" s="9">
        <f>SUM(T16:W16)</f>
        <v>7</v>
      </c>
      <c r="Y16" s="104">
        <f t="shared" si="1"/>
        <v>7</v>
      </c>
      <c r="Z16" s="56">
        <v>45639</v>
      </c>
      <c r="AA16" s="34"/>
      <c r="AB16" s="35"/>
    </row>
    <row r="17" spans="1:29" x14ac:dyDescent="0.15">
      <c r="A17" s="47" t="s">
        <v>51</v>
      </c>
      <c r="B17" s="16">
        <v>1</v>
      </c>
      <c r="C17" s="29">
        <v>1</v>
      </c>
      <c r="D17" s="17"/>
      <c r="E17" s="20"/>
      <c r="F17" s="9">
        <f t="shared" si="6"/>
        <v>2</v>
      </c>
      <c r="G17" s="16"/>
      <c r="H17" s="29"/>
      <c r="I17" s="17"/>
      <c r="J17" s="20"/>
      <c r="K17" s="9">
        <f t="shared" si="7"/>
        <v>0</v>
      </c>
      <c r="L17" s="104">
        <f t="shared" si="0"/>
        <v>2</v>
      </c>
      <c r="M17" s="58">
        <v>45649</v>
      </c>
      <c r="N17" s="33" t="s">
        <v>56</v>
      </c>
      <c r="O17" s="16"/>
      <c r="P17" s="29">
        <v>4</v>
      </c>
      <c r="Q17" s="17"/>
      <c r="R17" s="32"/>
      <c r="S17" s="9">
        <f t="shared" si="10"/>
        <v>4</v>
      </c>
      <c r="T17" s="16"/>
      <c r="U17" s="29"/>
      <c r="V17" s="17"/>
      <c r="W17" s="32"/>
      <c r="X17" s="9">
        <f t="shared" si="11"/>
        <v>0</v>
      </c>
      <c r="Y17" s="104">
        <f t="shared" si="1"/>
        <v>4</v>
      </c>
      <c r="Z17" s="56">
        <v>45639</v>
      </c>
      <c r="AA17" s="34"/>
    </row>
    <row r="18" spans="1:29" x14ac:dyDescent="0.15">
      <c r="A18" s="33" t="s">
        <v>65</v>
      </c>
      <c r="B18" s="16"/>
      <c r="C18" s="29">
        <v>1</v>
      </c>
      <c r="D18" s="17"/>
      <c r="E18" s="20"/>
      <c r="F18" s="9">
        <f t="shared" si="6"/>
        <v>1</v>
      </c>
      <c r="G18" s="16"/>
      <c r="H18" s="29"/>
      <c r="I18" s="17"/>
      <c r="J18" s="20"/>
      <c r="K18" s="9">
        <f t="shared" si="7"/>
        <v>0</v>
      </c>
      <c r="L18" s="104">
        <f t="shared" si="0"/>
        <v>1</v>
      </c>
      <c r="M18" s="56">
        <v>45652</v>
      </c>
      <c r="N18" s="33" t="s">
        <v>57</v>
      </c>
      <c r="O18" s="16"/>
      <c r="P18" s="29"/>
      <c r="Q18" s="17">
        <v>1</v>
      </c>
      <c r="R18" s="32">
        <v>1</v>
      </c>
      <c r="S18" s="9">
        <f>SUM(O18:R18)</f>
        <v>2</v>
      </c>
      <c r="T18" s="16"/>
      <c r="U18" s="29"/>
      <c r="V18" s="17"/>
      <c r="W18" s="32">
        <v>1</v>
      </c>
      <c r="X18" s="9">
        <f>SUM(T18:W18)</f>
        <v>1</v>
      </c>
      <c r="Y18" s="104">
        <f t="shared" si="1"/>
        <v>3</v>
      </c>
      <c r="Z18" s="56">
        <v>45642</v>
      </c>
      <c r="AA18" s="34"/>
      <c r="AB18" s="35"/>
    </row>
    <row r="19" spans="1:29" x14ac:dyDescent="0.15">
      <c r="A19" s="47" t="s">
        <v>51</v>
      </c>
      <c r="B19" s="16"/>
      <c r="C19" s="29"/>
      <c r="D19" s="17">
        <v>1</v>
      </c>
      <c r="E19" s="20"/>
      <c r="F19" s="9">
        <f t="shared" si="6"/>
        <v>1</v>
      </c>
      <c r="G19" s="16"/>
      <c r="H19" s="29"/>
      <c r="I19" s="17"/>
      <c r="J19" s="20"/>
      <c r="K19" s="9">
        <f t="shared" si="7"/>
        <v>0</v>
      </c>
      <c r="L19" s="104">
        <f t="shared" si="0"/>
        <v>1</v>
      </c>
      <c r="M19" s="56">
        <v>45652</v>
      </c>
      <c r="N19" s="33" t="s">
        <v>58</v>
      </c>
      <c r="O19" s="16"/>
      <c r="P19" s="29">
        <v>1</v>
      </c>
      <c r="Q19" s="17">
        <v>2</v>
      </c>
      <c r="R19" s="32"/>
      <c r="S19" s="9">
        <f t="shared" si="10"/>
        <v>3</v>
      </c>
      <c r="T19" s="16"/>
      <c r="U19" s="29"/>
      <c r="V19" s="17"/>
      <c r="W19" s="32"/>
      <c r="X19" s="9">
        <f t="shared" si="11"/>
        <v>0</v>
      </c>
      <c r="Y19" s="104">
        <f t="shared" si="1"/>
        <v>3</v>
      </c>
      <c r="Z19" s="56">
        <v>45644</v>
      </c>
      <c r="AA19" s="34"/>
      <c r="AB19" s="35"/>
    </row>
    <row r="20" spans="1:29" x14ac:dyDescent="0.15">
      <c r="A20" s="33" t="s">
        <v>65</v>
      </c>
      <c r="B20" s="16"/>
      <c r="C20" s="29"/>
      <c r="D20" s="17"/>
      <c r="E20" s="20"/>
      <c r="F20" s="9">
        <f t="shared" si="6"/>
        <v>0</v>
      </c>
      <c r="G20" s="16">
        <v>1</v>
      </c>
      <c r="H20" s="29"/>
      <c r="I20" s="17"/>
      <c r="J20" s="20"/>
      <c r="K20" s="9">
        <f t="shared" si="7"/>
        <v>1</v>
      </c>
      <c r="L20" s="104">
        <f t="shared" si="0"/>
        <v>1</v>
      </c>
      <c r="M20" s="56">
        <v>45664</v>
      </c>
      <c r="N20" s="33" t="s">
        <v>59</v>
      </c>
      <c r="O20" s="16"/>
      <c r="P20" s="29">
        <v>1</v>
      </c>
      <c r="Q20" s="17"/>
      <c r="R20" s="32"/>
      <c r="S20" s="9">
        <f t="shared" si="10"/>
        <v>1</v>
      </c>
      <c r="T20" s="16"/>
      <c r="U20" s="29"/>
      <c r="V20" s="17"/>
      <c r="W20" s="32"/>
      <c r="X20" s="9">
        <f t="shared" si="11"/>
        <v>0</v>
      </c>
      <c r="Y20" s="104">
        <f t="shared" si="1"/>
        <v>1</v>
      </c>
      <c r="Z20" s="56">
        <v>45645</v>
      </c>
      <c r="AA20" s="34"/>
    </row>
    <row r="21" spans="1:29" x14ac:dyDescent="0.15">
      <c r="A21" s="47" t="s">
        <v>51</v>
      </c>
      <c r="B21" s="16">
        <v>1</v>
      </c>
      <c r="C21" s="29"/>
      <c r="D21" s="17"/>
      <c r="E21" s="20">
        <v>1</v>
      </c>
      <c r="F21" s="9">
        <f t="shared" si="6"/>
        <v>2</v>
      </c>
      <c r="G21" s="16"/>
      <c r="H21" s="29"/>
      <c r="I21" s="17"/>
      <c r="J21" s="20">
        <v>1</v>
      </c>
      <c r="K21" s="9">
        <f t="shared" si="7"/>
        <v>1</v>
      </c>
      <c r="L21" s="104">
        <f t="shared" si="0"/>
        <v>3</v>
      </c>
      <c r="M21" s="56">
        <v>45663</v>
      </c>
      <c r="N21" s="33" t="s">
        <v>64</v>
      </c>
      <c r="O21" s="16"/>
      <c r="P21" s="29"/>
      <c r="Q21" s="17"/>
      <c r="R21" s="32"/>
      <c r="S21" s="9">
        <f t="shared" si="10"/>
        <v>0</v>
      </c>
      <c r="T21" s="16"/>
      <c r="U21" s="29"/>
      <c r="V21" s="17"/>
      <c r="W21" s="32">
        <v>1</v>
      </c>
      <c r="X21" s="9">
        <f t="shared" si="11"/>
        <v>1</v>
      </c>
      <c r="Y21" s="104">
        <f t="shared" si="1"/>
        <v>1</v>
      </c>
      <c r="Z21" s="56">
        <v>45651</v>
      </c>
      <c r="AA21" s="34"/>
      <c r="AB21" s="35"/>
      <c r="AC21" s="35"/>
    </row>
    <row r="22" spans="1:29" x14ac:dyDescent="0.15">
      <c r="A22" s="47"/>
      <c r="B22" s="16"/>
      <c r="C22" s="29"/>
      <c r="D22" s="17"/>
      <c r="E22" s="20"/>
      <c r="F22" s="9">
        <f t="shared" ref="F22" si="12">SUM(B22:E22)</f>
        <v>0</v>
      </c>
      <c r="G22" s="16"/>
      <c r="H22" s="29"/>
      <c r="I22" s="17"/>
      <c r="J22" s="20"/>
      <c r="K22" s="9">
        <f t="shared" ref="K22" si="13">SUM(G22:J22)</f>
        <v>0</v>
      </c>
      <c r="L22" s="104">
        <f t="shared" ref="L22" si="14">F22+K22</f>
        <v>0</v>
      </c>
      <c r="M22" s="56"/>
      <c r="N22" s="33"/>
      <c r="O22" s="16"/>
      <c r="P22" s="29"/>
      <c r="Q22" s="17"/>
      <c r="R22" s="32"/>
      <c r="S22" s="9">
        <f>SUM(O22:R22)</f>
        <v>0</v>
      </c>
      <c r="T22" s="16"/>
      <c r="U22" s="29"/>
      <c r="V22" s="17"/>
      <c r="W22" s="32"/>
      <c r="X22" s="9">
        <f>SUM(T22:W22)</f>
        <v>0</v>
      </c>
      <c r="Y22" s="104">
        <f t="shared" si="1"/>
        <v>0</v>
      </c>
      <c r="Z22" s="56"/>
      <c r="AA22" s="34"/>
      <c r="AB22" s="35"/>
      <c r="AC22" s="35"/>
    </row>
    <row r="23" spans="1:29" x14ac:dyDescent="0.15">
      <c r="A23" s="47"/>
      <c r="B23" s="16"/>
      <c r="C23" s="29"/>
      <c r="D23" s="17"/>
      <c r="E23" s="20"/>
      <c r="F23" s="9">
        <f t="shared" si="6"/>
        <v>0</v>
      </c>
      <c r="G23" s="16"/>
      <c r="H23" s="29"/>
      <c r="I23" s="17"/>
      <c r="J23" s="20"/>
      <c r="K23" s="9">
        <f t="shared" si="7"/>
        <v>0</v>
      </c>
      <c r="L23" s="104">
        <f t="shared" si="0"/>
        <v>0</v>
      </c>
      <c r="M23" s="56"/>
      <c r="N23" s="33"/>
      <c r="O23" s="16"/>
      <c r="P23" s="29"/>
      <c r="Q23" s="17"/>
      <c r="R23" s="32"/>
      <c r="S23" s="9">
        <f t="shared" si="10"/>
        <v>0</v>
      </c>
      <c r="T23" s="16"/>
      <c r="U23" s="29"/>
      <c r="V23" s="17"/>
      <c r="W23" s="32"/>
      <c r="X23" s="9">
        <f t="shared" si="11"/>
        <v>0</v>
      </c>
      <c r="Y23" s="104">
        <f t="shared" si="1"/>
        <v>0</v>
      </c>
      <c r="Z23" s="56"/>
      <c r="AA23" s="34"/>
    </row>
    <row r="24" spans="1:29" x14ac:dyDescent="0.15">
      <c r="A24" s="47"/>
      <c r="B24" s="16"/>
      <c r="C24" s="29"/>
      <c r="D24" s="17"/>
      <c r="E24" s="20"/>
      <c r="F24" s="9">
        <f t="shared" si="6"/>
        <v>0</v>
      </c>
      <c r="G24" s="16"/>
      <c r="H24" s="29"/>
      <c r="I24" s="17"/>
      <c r="J24" s="20"/>
      <c r="K24" s="9">
        <f t="shared" si="7"/>
        <v>0</v>
      </c>
      <c r="L24" s="104">
        <f t="shared" si="0"/>
        <v>0</v>
      </c>
      <c r="M24" s="56"/>
      <c r="N24" s="33"/>
      <c r="O24" s="16"/>
      <c r="P24" s="29"/>
      <c r="Q24" s="17"/>
      <c r="R24" s="32"/>
      <c r="S24" s="9">
        <f t="shared" si="10"/>
        <v>0</v>
      </c>
      <c r="T24" s="16"/>
      <c r="U24" s="29"/>
      <c r="V24" s="17"/>
      <c r="W24" s="32"/>
      <c r="X24" s="9">
        <f t="shared" si="11"/>
        <v>0</v>
      </c>
      <c r="Y24" s="104">
        <f t="shared" si="1"/>
        <v>0</v>
      </c>
      <c r="Z24" s="56"/>
      <c r="AA24" s="34"/>
    </row>
    <row r="25" spans="1:29" x14ac:dyDescent="0.15">
      <c r="A25" s="47"/>
      <c r="B25" s="16"/>
      <c r="C25" s="29"/>
      <c r="D25" s="17"/>
      <c r="E25" s="20"/>
      <c r="F25" s="9">
        <f t="shared" si="6"/>
        <v>0</v>
      </c>
      <c r="G25" s="16"/>
      <c r="H25" s="29"/>
      <c r="I25" s="17"/>
      <c r="J25" s="20"/>
      <c r="K25" s="9">
        <f t="shared" si="7"/>
        <v>0</v>
      </c>
      <c r="L25" s="104">
        <f t="shared" si="0"/>
        <v>0</v>
      </c>
      <c r="M25" s="58"/>
      <c r="N25" s="33"/>
      <c r="O25" s="16"/>
      <c r="P25" s="29"/>
      <c r="Q25" s="17"/>
      <c r="R25" s="32"/>
      <c r="S25" s="9">
        <f t="shared" si="10"/>
        <v>0</v>
      </c>
      <c r="T25" s="16"/>
      <c r="U25" s="29"/>
      <c r="V25" s="17"/>
      <c r="W25" s="32"/>
      <c r="X25" s="9">
        <f t="shared" si="11"/>
        <v>0</v>
      </c>
      <c r="Y25" s="104">
        <f t="shared" si="1"/>
        <v>0</v>
      </c>
      <c r="Z25" s="56"/>
      <c r="AA25" s="34"/>
    </row>
    <row r="26" spans="1:29" x14ac:dyDescent="0.15">
      <c r="A26" s="47"/>
      <c r="B26" s="16"/>
      <c r="C26" s="29"/>
      <c r="D26" s="17"/>
      <c r="E26" s="20"/>
      <c r="F26" s="9">
        <f t="shared" si="6"/>
        <v>0</v>
      </c>
      <c r="G26" s="16"/>
      <c r="H26" s="29"/>
      <c r="I26" s="17"/>
      <c r="J26" s="20"/>
      <c r="K26" s="9">
        <f t="shared" si="7"/>
        <v>0</v>
      </c>
      <c r="L26" s="104">
        <f t="shared" si="0"/>
        <v>0</v>
      </c>
      <c r="M26" s="58"/>
      <c r="N26" s="33"/>
      <c r="O26" s="16"/>
      <c r="P26" s="29"/>
      <c r="Q26" s="17"/>
      <c r="R26" s="32"/>
      <c r="S26" s="9">
        <f>SUM(O26:R26)</f>
        <v>0</v>
      </c>
      <c r="T26" s="16"/>
      <c r="U26" s="29"/>
      <c r="V26" s="17"/>
      <c r="W26" s="32"/>
      <c r="X26" s="9">
        <f>SUM(T26:W26)</f>
        <v>0</v>
      </c>
      <c r="Y26" s="104">
        <f t="shared" si="1"/>
        <v>0</v>
      </c>
      <c r="Z26" s="56"/>
      <c r="AA26" s="34"/>
    </row>
    <row r="27" spans="1:29" x14ac:dyDescent="0.15">
      <c r="A27" s="47"/>
      <c r="B27" s="16"/>
      <c r="C27" s="29"/>
      <c r="D27" s="17"/>
      <c r="E27" s="20"/>
      <c r="F27" s="9">
        <f t="shared" si="6"/>
        <v>0</v>
      </c>
      <c r="G27" s="16"/>
      <c r="H27" s="29"/>
      <c r="I27" s="17"/>
      <c r="J27" s="20"/>
      <c r="K27" s="9">
        <f t="shared" si="7"/>
        <v>0</v>
      </c>
      <c r="L27" s="104">
        <f t="shared" si="0"/>
        <v>0</v>
      </c>
      <c r="M27" s="58"/>
      <c r="N27" s="33"/>
      <c r="O27" s="16"/>
      <c r="P27" s="29"/>
      <c r="Q27" s="17"/>
      <c r="R27" s="32"/>
      <c r="S27" s="9">
        <f t="shared" ref="S27:S33" si="15">SUM(O27:R27)</f>
        <v>0</v>
      </c>
      <c r="T27" s="16"/>
      <c r="U27" s="29"/>
      <c r="V27" s="17"/>
      <c r="W27" s="32"/>
      <c r="X27" s="9">
        <f t="shared" ref="X27:X34" si="16">SUM(T27:W27)</f>
        <v>0</v>
      </c>
      <c r="Y27" s="104">
        <f t="shared" si="1"/>
        <v>0</v>
      </c>
      <c r="Z27" s="56"/>
      <c r="AA27" s="34"/>
    </row>
    <row r="28" spans="1:29" x14ac:dyDescent="0.15">
      <c r="A28" s="47"/>
      <c r="B28" s="16"/>
      <c r="C28" s="29"/>
      <c r="D28" s="17"/>
      <c r="E28" s="20"/>
      <c r="F28" s="9">
        <f t="shared" si="6"/>
        <v>0</v>
      </c>
      <c r="G28" s="16"/>
      <c r="H28" s="29"/>
      <c r="I28" s="17"/>
      <c r="J28" s="20"/>
      <c r="K28" s="9">
        <f t="shared" si="7"/>
        <v>0</v>
      </c>
      <c r="L28" s="104">
        <f t="shared" si="0"/>
        <v>0</v>
      </c>
      <c r="M28" s="58"/>
      <c r="N28" s="33"/>
      <c r="O28" s="16"/>
      <c r="P28" s="29"/>
      <c r="Q28" s="17"/>
      <c r="R28" s="32"/>
      <c r="S28" s="9">
        <f t="shared" si="15"/>
        <v>0</v>
      </c>
      <c r="T28" s="16"/>
      <c r="U28" s="29"/>
      <c r="V28" s="17"/>
      <c r="W28" s="32"/>
      <c r="X28" s="9">
        <f t="shared" si="16"/>
        <v>0</v>
      </c>
      <c r="Y28" s="104">
        <f t="shared" si="1"/>
        <v>0</v>
      </c>
      <c r="Z28" s="56"/>
      <c r="AA28" s="34"/>
    </row>
    <row r="29" spans="1:29" x14ac:dyDescent="0.15">
      <c r="A29" s="47"/>
      <c r="B29" s="16"/>
      <c r="C29" s="29"/>
      <c r="D29" s="17"/>
      <c r="E29" s="20"/>
      <c r="F29" s="9">
        <f t="shared" si="6"/>
        <v>0</v>
      </c>
      <c r="G29" s="16"/>
      <c r="H29" s="29"/>
      <c r="I29" s="17"/>
      <c r="J29" s="20"/>
      <c r="K29" s="9">
        <f t="shared" si="7"/>
        <v>0</v>
      </c>
      <c r="L29" s="104">
        <f t="shared" si="0"/>
        <v>0</v>
      </c>
      <c r="M29" s="58"/>
      <c r="N29" s="33"/>
      <c r="O29" s="16"/>
      <c r="P29" s="29"/>
      <c r="Q29" s="17"/>
      <c r="R29" s="32"/>
      <c r="S29" s="9">
        <f t="shared" si="15"/>
        <v>0</v>
      </c>
      <c r="T29" s="16"/>
      <c r="U29" s="29"/>
      <c r="V29" s="17"/>
      <c r="W29" s="32"/>
      <c r="X29" s="9">
        <f t="shared" si="16"/>
        <v>0</v>
      </c>
      <c r="Y29" s="104">
        <f t="shared" si="1"/>
        <v>0</v>
      </c>
      <c r="Z29" s="56"/>
      <c r="AA29" s="34"/>
    </row>
    <row r="30" spans="1:29" x14ac:dyDescent="0.15">
      <c r="A30" s="47"/>
      <c r="B30" s="16"/>
      <c r="C30" s="29"/>
      <c r="D30" s="17"/>
      <c r="E30" s="20"/>
      <c r="F30" s="9">
        <f t="shared" si="6"/>
        <v>0</v>
      </c>
      <c r="G30" s="16"/>
      <c r="H30" s="29"/>
      <c r="I30" s="17"/>
      <c r="J30" s="20"/>
      <c r="K30" s="9">
        <f t="shared" si="7"/>
        <v>0</v>
      </c>
      <c r="L30" s="104">
        <f t="shared" si="0"/>
        <v>0</v>
      </c>
      <c r="M30" s="58"/>
      <c r="N30" s="33"/>
      <c r="O30" s="16"/>
      <c r="P30" s="29"/>
      <c r="Q30" s="17"/>
      <c r="R30" s="32"/>
      <c r="S30" s="9">
        <f t="shared" si="15"/>
        <v>0</v>
      </c>
      <c r="T30" s="16"/>
      <c r="U30" s="29"/>
      <c r="V30" s="17"/>
      <c r="W30" s="32"/>
      <c r="X30" s="9">
        <f t="shared" si="16"/>
        <v>0</v>
      </c>
      <c r="Y30" s="104">
        <f t="shared" si="1"/>
        <v>0</v>
      </c>
    </row>
    <row r="31" spans="1:29" x14ac:dyDescent="0.15">
      <c r="A31" s="47"/>
      <c r="B31" s="16"/>
      <c r="C31" s="29"/>
      <c r="D31" s="17"/>
      <c r="E31" s="20"/>
      <c r="F31" s="9">
        <f t="shared" si="6"/>
        <v>0</v>
      </c>
      <c r="G31" s="16"/>
      <c r="H31" s="29"/>
      <c r="I31" s="17"/>
      <c r="J31" s="20"/>
      <c r="K31" s="9">
        <f t="shared" si="7"/>
        <v>0</v>
      </c>
      <c r="L31" s="104">
        <f t="shared" si="0"/>
        <v>0</v>
      </c>
      <c r="M31" s="58"/>
      <c r="N31" s="33"/>
      <c r="O31" s="16"/>
      <c r="P31" s="29"/>
      <c r="Q31" s="17"/>
      <c r="R31" s="32"/>
      <c r="S31" s="9">
        <f t="shared" si="15"/>
        <v>0</v>
      </c>
      <c r="T31" s="16"/>
      <c r="U31" s="29"/>
      <c r="V31" s="17"/>
      <c r="W31" s="32"/>
      <c r="X31" s="9">
        <f t="shared" si="16"/>
        <v>0</v>
      </c>
      <c r="Y31" s="104">
        <f t="shared" si="1"/>
        <v>0</v>
      </c>
    </row>
    <row r="32" spans="1:29" x14ac:dyDescent="0.15">
      <c r="A32" s="47"/>
      <c r="B32" s="16"/>
      <c r="C32" s="29"/>
      <c r="D32" s="17"/>
      <c r="E32" s="20"/>
      <c r="F32" s="9">
        <f t="shared" si="6"/>
        <v>0</v>
      </c>
      <c r="G32" s="16"/>
      <c r="H32" s="29"/>
      <c r="I32" s="17"/>
      <c r="J32" s="20"/>
      <c r="K32" s="9">
        <f t="shared" si="7"/>
        <v>0</v>
      </c>
      <c r="L32" s="104">
        <f t="shared" si="0"/>
        <v>0</v>
      </c>
      <c r="M32" s="58"/>
      <c r="N32" s="33"/>
      <c r="O32" s="16"/>
      <c r="P32" s="29"/>
      <c r="Q32" s="17"/>
      <c r="R32" s="32"/>
      <c r="S32" s="9">
        <f t="shared" ref="S32" si="17">SUM(O32:R32)</f>
        <v>0</v>
      </c>
      <c r="T32" s="16"/>
      <c r="U32" s="29"/>
      <c r="V32" s="17"/>
      <c r="W32" s="32"/>
      <c r="X32" s="9">
        <f t="shared" si="16"/>
        <v>0</v>
      </c>
      <c r="Y32" s="104">
        <f t="shared" si="1"/>
        <v>0</v>
      </c>
    </row>
    <row r="33" spans="1:27" x14ac:dyDescent="0.15">
      <c r="A33" s="47"/>
      <c r="B33" s="16"/>
      <c r="C33" s="29"/>
      <c r="D33" s="17"/>
      <c r="E33" s="20"/>
      <c r="F33" s="9">
        <f t="shared" si="6"/>
        <v>0</v>
      </c>
      <c r="G33" s="16"/>
      <c r="H33" s="29"/>
      <c r="I33" s="17"/>
      <c r="J33" s="20"/>
      <c r="K33" s="9">
        <f t="shared" si="7"/>
        <v>0</v>
      </c>
      <c r="L33" s="104">
        <f t="shared" si="0"/>
        <v>0</v>
      </c>
      <c r="M33" s="58"/>
      <c r="N33" s="33"/>
      <c r="O33" s="16"/>
      <c r="P33" s="29"/>
      <c r="Q33" s="17"/>
      <c r="R33" s="32"/>
      <c r="S33" s="9">
        <f t="shared" si="15"/>
        <v>0</v>
      </c>
      <c r="T33" s="16"/>
      <c r="U33" s="29"/>
      <c r="V33" s="17"/>
      <c r="W33" s="32"/>
      <c r="X33" s="9">
        <f t="shared" si="16"/>
        <v>0</v>
      </c>
      <c r="Y33" s="104">
        <f t="shared" si="1"/>
        <v>0</v>
      </c>
      <c r="AA33" s="35"/>
    </row>
    <row r="34" spans="1:27" ht="14.25" thickBot="1" x14ac:dyDescent="0.2">
      <c r="A34" s="47"/>
      <c r="B34" s="37"/>
      <c r="C34" s="38"/>
      <c r="D34" s="39"/>
      <c r="E34" s="40"/>
      <c r="F34" s="9">
        <f t="shared" si="6"/>
        <v>0</v>
      </c>
      <c r="G34" s="37"/>
      <c r="H34" s="38"/>
      <c r="I34" s="39"/>
      <c r="J34" s="40"/>
      <c r="K34" s="9">
        <f t="shared" si="7"/>
        <v>0</v>
      </c>
      <c r="L34" s="104">
        <f t="shared" si="0"/>
        <v>0</v>
      </c>
      <c r="M34" s="58"/>
      <c r="N34" s="128" t="s">
        <v>26</v>
      </c>
      <c r="O34" s="37"/>
      <c r="P34" s="38"/>
      <c r="Q34" s="39"/>
      <c r="R34" s="129"/>
      <c r="S34" s="10">
        <f t="shared" ref="S34" si="18">SUM(O34:R34)</f>
        <v>0</v>
      </c>
      <c r="T34" s="37"/>
      <c r="U34" s="38"/>
      <c r="V34" s="39"/>
      <c r="W34" s="129"/>
      <c r="X34" s="10">
        <f t="shared" si="16"/>
        <v>0</v>
      </c>
      <c r="Y34" s="104">
        <f t="shared" si="1"/>
        <v>0</v>
      </c>
      <c r="Z34" s="157" t="s">
        <v>27</v>
      </c>
      <c r="AA34" s="50"/>
    </row>
    <row r="35" spans="1:27" ht="14.25" thickBot="1" x14ac:dyDescent="0.2">
      <c r="A35" s="13" t="s">
        <v>8</v>
      </c>
      <c r="B35" s="22">
        <f>SUM(B10:B34)</f>
        <v>5</v>
      </c>
      <c r="C35" s="30">
        <f>SUM(C10:C34)</f>
        <v>4</v>
      </c>
      <c r="D35" s="23">
        <f>SUM(D10:D34)</f>
        <v>4</v>
      </c>
      <c r="E35" s="24">
        <f>SUM(E10:E34)</f>
        <v>3</v>
      </c>
      <c r="F35" s="21">
        <f>SUM(B35:E35)</f>
        <v>16</v>
      </c>
      <c r="G35" s="22">
        <f>SUM(G10:G34)</f>
        <v>3</v>
      </c>
      <c r="H35" s="30">
        <f>SUM(H10:H34)</f>
        <v>4</v>
      </c>
      <c r="I35" s="23">
        <f>SUM(I10:I34)</f>
        <v>3</v>
      </c>
      <c r="J35" s="24">
        <f>SUM(J10:J34)</f>
        <v>5</v>
      </c>
      <c r="K35" s="21">
        <f>SUM(G35:J35)</f>
        <v>15</v>
      </c>
      <c r="L35" s="105">
        <f t="shared" si="0"/>
        <v>31</v>
      </c>
      <c r="N35" s="49" t="s">
        <v>8</v>
      </c>
      <c r="O35" s="22">
        <f>SUM(O10:O34)</f>
        <v>13</v>
      </c>
      <c r="P35" s="30">
        <f>SUM(P10:P34)</f>
        <v>20</v>
      </c>
      <c r="Q35" s="23">
        <f>SUM(Q10:Q34)</f>
        <v>16</v>
      </c>
      <c r="R35" s="24">
        <f>SUM(R10:R34)</f>
        <v>15</v>
      </c>
      <c r="S35" s="48">
        <f t="shared" si="10"/>
        <v>64</v>
      </c>
      <c r="T35" s="22">
        <f>SUM(T10:T34)</f>
        <v>8</v>
      </c>
      <c r="U35" s="30">
        <f>SUM(U10:U34)</f>
        <v>17</v>
      </c>
      <c r="V35" s="23">
        <f>SUM(V10:V34)</f>
        <v>13</v>
      </c>
      <c r="W35" s="24">
        <f>SUM(W10:W34)</f>
        <v>13</v>
      </c>
      <c r="X35" s="48">
        <f t="shared" si="11"/>
        <v>51</v>
      </c>
      <c r="Y35" s="105">
        <f t="shared" si="1"/>
        <v>115</v>
      </c>
    </row>
    <row r="36" spans="1:27" ht="14.25" thickBot="1" x14ac:dyDescent="0.2">
      <c r="A36" s="14" t="s">
        <v>9</v>
      </c>
      <c r="B36" s="25">
        <f t="shared" ref="B36:F36" si="19">B9-B35</f>
        <v>5</v>
      </c>
      <c r="C36" s="31">
        <f t="shared" si="19"/>
        <v>4</v>
      </c>
      <c r="D36" s="26">
        <f t="shared" si="19"/>
        <v>5</v>
      </c>
      <c r="E36" s="27">
        <f t="shared" si="19"/>
        <v>7</v>
      </c>
      <c r="F36" s="77">
        <f t="shared" si="19"/>
        <v>21</v>
      </c>
      <c r="G36" s="25">
        <f t="shared" ref="G36:K36" si="20">G9-G35</f>
        <v>5</v>
      </c>
      <c r="H36" s="31">
        <f t="shared" si="20"/>
        <v>5</v>
      </c>
      <c r="I36" s="26">
        <f t="shared" si="20"/>
        <v>6</v>
      </c>
      <c r="J36" s="27">
        <f t="shared" si="20"/>
        <v>3</v>
      </c>
      <c r="K36" s="77">
        <f t="shared" si="20"/>
        <v>19</v>
      </c>
      <c r="L36" s="102">
        <f t="shared" si="0"/>
        <v>40</v>
      </c>
      <c r="N36" s="13" t="s">
        <v>9</v>
      </c>
      <c r="O36" s="25">
        <f t="shared" ref="O36:S36" si="21">O9-O35</f>
        <v>17</v>
      </c>
      <c r="P36" s="31">
        <f t="shared" si="21"/>
        <v>20</v>
      </c>
      <c r="Q36" s="26">
        <f t="shared" si="21"/>
        <v>24</v>
      </c>
      <c r="R36" s="27">
        <f t="shared" si="21"/>
        <v>15</v>
      </c>
      <c r="S36" s="36">
        <f t="shared" si="21"/>
        <v>76</v>
      </c>
      <c r="T36" s="25">
        <f t="shared" ref="T36:X36" si="22">T9-T35</f>
        <v>22</v>
      </c>
      <c r="U36" s="31">
        <f t="shared" si="22"/>
        <v>23</v>
      </c>
      <c r="V36" s="26">
        <f t="shared" si="22"/>
        <v>27</v>
      </c>
      <c r="W36" s="27">
        <f t="shared" si="22"/>
        <v>17</v>
      </c>
      <c r="X36" s="36">
        <f t="shared" si="22"/>
        <v>89</v>
      </c>
      <c r="Y36" s="102">
        <f t="shared" si="1"/>
        <v>165</v>
      </c>
    </row>
    <row r="37" spans="1:27" x14ac:dyDescent="0.15">
      <c r="O37" s="55">
        <f>O35/$S$35*100</f>
        <v>20.3125</v>
      </c>
      <c r="P37" s="55">
        <f t="shared" ref="P37:S37" si="23">P35/$S$35*100</f>
        <v>31.25</v>
      </c>
      <c r="Q37" s="55">
        <f t="shared" si="23"/>
        <v>25</v>
      </c>
      <c r="R37" s="55">
        <f t="shared" si="23"/>
        <v>23.4375</v>
      </c>
      <c r="S37" s="55">
        <f t="shared" si="23"/>
        <v>100</v>
      </c>
      <c r="T37" s="55">
        <f>T35/$X$35*100</f>
        <v>15.686274509803921</v>
      </c>
      <c r="U37" s="55">
        <f t="shared" ref="U37:X37" si="24">U35/$X$35*100</f>
        <v>33.333333333333329</v>
      </c>
      <c r="V37" s="55">
        <f t="shared" si="24"/>
        <v>25.490196078431371</v>
      </c>
      <c r="W37" s="55">
        <f t="shared" si="24"/>
        <v>25.490196078431371</v>
      </c>
      <c r="X37" s="55">
        <f t="shared" si="24"/>
        <v>100</v>
      </c>
    </row>
    <row r="38" spans="1:27" x14ac:dyDescent="0.15">
      <c r="O38" s="55"/>
      <c r="P38" s="55"/>
      <c r="Q38" s="55"/>
      <c r="R38" s="55"/>
      <c r="S38" s="55"/>
      <c r="T38" s="55"/>
      <c r="U38" s="55"/>
      <c r="V38" s="55"/>
      <c r="W38" s="55"/>
      <c r="X38" s="55"/>
    </row>
    <row r="39" spans="1:27" ht="19.5" thickBot="1" x14ac:dyDescent="0.25">
      <c r="A39" s="2" t="s">
        <v>18</v>
      </c>
      <c r="B39" s="2"/>
      <c r="C39" s="1"/>
      <c r="D39" s="1"/>
      <c r="E39" s="1"/>
      <c r="F39" s="84"/>
      <c r="G39" s="2"/>
      <c r="H39" s="1" t="s">
        <v>157</v>
      </c>
      <c r="I39" s="1"/>
      <c r="J39" s="1"/>
      <c r="K39" s="84" t="s">
        <v>13</v>
      </c>
      <c r="L39" s="84"/>
      <c r="N39" s="2" t="s">
        <v>19</v>
      </c>
      <c r="O39" s="71"/>
      <c r="P39" s="71"/>
      <c r="Q39" s="71"/>
      <c r="R39" s="71"/>
      <c r="S39" s="84"/>
      <c r="T39" s="1" t="s">
        <v>157</v>
      </c>
      <c r="U39" s="71"/>
      <c r="V39" s="71"/>
      <c r="W39" s="71"/>
      <c r="X39" s="84" t="s">
        <v>13</v>
      </c>
      <c r="Y39" s="84"/>
    </row>
    <row r="40" spans="1:27" ht="14.25" thickBot="1" x14ac:dyDescent="0.2">
      <c r="A40" s="5" t="s">
        <v>0</v>
      </c>
      <c r="B40" s="322" t="s">
        <v>32</v>
      </c>
      <c r="C40" s="323"/>
      <c r="D40" s="323"/>
      <c r="E40" s="323"/>
      <c r="F40" s="324"/>
      <c r="G40" s="325" t="s">
        <v>31</v>
      </c>
      <c r="H40" s="326"/>
      <c r="I40" s="326"/>
      <c r="J40" s="326"/>
      <c r="K40" s="327"/>
      <c r="L40" s="320" t="s">
        <v>30</v>
      </c>
      <c r="N40" s="5" t="s">
        <v>0</v>
      </c>
      <c r="O40" s="322" t="s">
        <v>200</v>
      </c>
      <c r="P40" s="323"/>
      <c r="Q40" s="323"/>
      <c r="R40" s="323"/>
      <c r="S40" s="324"/>
      <c r="T40" s="325" t="s">
        <v>201</v>
      </c>
      <c r="U40" s="326"/>
      <c r="V40" s="326"/>
      <c r="W40" s="326"/>
      <c r="X40" s="327"/>
      <c r="Y40" s="320" t="s">
        <v>30</v>
      </c>
    </row>
    <row r="41" spans="1:27" ht="14.25" thickBot="1" x14ac:dyDescent="0.2">
      <c r="A41" s="5" t="s">
        <v>1</v>
      </c>
      <c r="B41" s="3" t="s">
        <v>22</v>
      </c>
      <c r="C41" s="28" t="s">
        <v>23</v>
      </c>
      <c r="D41" s="4" t="s">
        <v>24</v>
      </c>
      <c r="E41" s="15" t="s">
        <v>25</v>
      </c>
      <c r="F41" s="19" t="s">
        <v>2</v>
      </c>
      <c r="G41" s="3" t="s">
        <v>22</v>
      </c>
      <c r="H41" s="28" t="s">
        <v>23</v>
      </c>
      <c r="I41" s="4" t="s">
        <v>24</v>
      </c>
      <c r="J41" s="15" t="s">
        <v>25</v>
      </c>
      <c r="K41" s="19" t="s">
        <v>2</v>
      </c>
      <c r="L41" s="321"/>
      <c r="N41" s="5" t="s">
        <v>1</v>
      </c>
      <c r="O41" s="3" t="s">
        <v>22</v>
      </c>
      <c r="P41" s="28" t="s">
        <v>23</v>
      </c>
      <c r="Q41" s="4" t="s">
        <v>24</v>
      </c>
      <c r="R41" s="15" t="s">
        <v>25</v>
      </c>
      <c r="S41" s="19" t="s">
        <v>2</v>
      </c>
      <c r="T41" s="3" t="s">
        <v>22</v>
      </c>
      <c r="U41" s="28" t="s">
        <v>23</v>
      </c>
      <c r="V41" s="4" t="s">
        <v>24</v>
      </c>
      <c r="W41" s="15" t="s">
        <v>25</v>
      </c>
      <c r="X41" s="19" t="s">
        <v>2</v>
      </c>
      <c r="Y41" s="321"/>
    </row>
    <row r="42" spans="1:27" x14ac:dyDescent="0.15">
      <c r="A42" s="78" t="s">
        <v>10</v>
      </c>
      <c r="B42" s="79">
        <f>B36</f>
        <v>5</v>
      </c>
      <c r="C42" s="80">
        <f>C36</f>
        <v>4</v>
      </c>
      <c r="D42" s="80">
        <f>D36</f>
        <v>5</v>
      </c>
      <c r="E42" s="81">
        <f>E36</f>
        <v>7</v>
      </c>
      <c r="F42" s="82">
        <f>SUM(B42:E42)</f>
        <v>21</v>
      </c>
      <c r="G42" s="79">
        <f>G36</f>
        <v>5</v>
      </c>
      <c r="H42" s="80">
        <f>H36</f>
        <v>5</v>
      </c>
      <c r="I42" s="80">
        <f>I36</f>
        <v>6</v>
      </c>
      <c r="J42" s="81">
        <f>J36</f>
        <v>3</v>
      </c>
      <c r="K42" s="82">
        <f>SUM(G42:J42)</f>
        <v>19</v>
      </c>
      <c r="L42" s="98">
        <f>F42+K42</f>
        <v>40</v>
      </c>
      <c r="N42" s="78" t="s">
        <v>10</v>
      </c>
      <c r="O42" s="79">
        <f>O36</f>
        <v>17</v>
      </c>
      <c r="P42" s="80">
        <f>P36</f>
        <v>20</v>
      </c>
      <c r="Q42" s="80">
        <f>Q36</f>
        <v>24</v>
      </c>
      <c r="R42" s="81">
        <f>R36</f>
        <v>15</v>
      </c>
      <c r="S42" s="82">
        <f>SUM(O42:R42)</f>
        <v>76</v>
      </c>
      <c r="T42" s="79">
        <f>T36</f>
        <v>22</v>
      </c>
      <c r="U42" s="80">
        <f>U36</f>
        <v>23</v>
      </c>
      <c r="V42" s="80">
        <f>V36</f>
        <v>27</v>
      </c>
      <c r="W42" s="81">
        <f>W36</f>
        <v>17</v>
      </c>
      <c r="X42" s="82">
        <f>SUM(T42:W42)</f>
        <v>89</v>
      </c>
      <c r="Y42" s="98">
        <f>S42+X42</f>
        <v>165</v>
      </c>
    </row>
    <row r="43" spans="1:27" x14ac:dyDescent="0.15">
      <c r="A43" s="47" t="s">
        <v>3</v>
      </c>
      <c r="B43" s="51"/>
      <c r="C43" s="52">
        <v>5</v>
      </c>
      <c r="D43" s="53"/>
      <c r="E43" s="54"/>
      <c r="F43" s="61">
        <f>SUM(B43:E43)</f>
        <v>5</v>
      </c>
      <c r="G43" s="51"/>
      <c r="H43" s="52"/>
      <c r="I43" s="53"/>
      <c r="J43" s="54"/>
      <c r="K43" s="61">
        <f>SUM(G43:J43)</f>
        <v>0</v>
      </c>
      <c r="L43" s="99">
        <f t="shared" ref="L43:L74" si="25">F43+K43</f>
        <v>5</v>
      </c>
      <c r="M43" s="56">
        <v>45678</v>
      </c>
      <c r="N43" s="47" t="s">
        <v>11</v>
      </c>
      <c r="O43" s="41"/>
      <c r="P43" s="42"/>
      <c r="Q43" s="43"/>
      <c r="R43" s="44"/>
      <c r="S43" s="70">
        <f>SUM(O43:R43)</f>
        <v>0</v>
      </c>
      <c r="T43" s="41"/>
      <c r="U43" s="42"/>
      <c r="V43" s="43"/>
      <c r="W43" s="44"/>
      <c r="X43" s="70">
        <f>SUM(T43:W43)</f>
        <v>0</v>
      </c>
      <c r="Y43" s="99">
        <f t="shared" ref="Y43:Y74" si="26">S43+X43</f>
        <v>0</v>
      </c>
    </row>
    <row r="44" spans="1:27" x14ac:dyDescent="0.15">
      <c r="A44" s="12" t="s">
        <v>4</v>
      </c>
      <c r="B44" s="6">
        <v>2</v>
      </c>
      <c r="C44" s="18"/>
      <c r="D44" s="7"/>
      <c r="E44" s="8"/>
      <c r="F44" s="9">
        <f>SUM(B44:E44)</f>
        <v>2</v>
      </c>
      <c r="G44" s="6"/>
      <c r="H44" s="18"/>
      <c r="I44" s="7"/>
      <c r="J44" s="8"/>
      <c r="K44" s="9">
        <f>SUM(G44:J44)</f>
        <v>0</v>
      </c>
      <c r="L44" s="100">
        <f t="shared" si="25"/>
        <v>2</v>
      </c>
      <c r="M44" s="56">
        <v>45680</v>
      </c>
      <c r="N44" s="12" t="s">
        <v>3</v>
      </c>
      <c r="O44" s="16">
        <v>40</v>
      </c>
      <c r="P44" s="29">
        <v>50</v>
      </c>
      <c r="Q44" s="17">
        <v>40</v>
      </c>
      <c r="R44" s="20">
        <v>30</v>
      </c>
      <c r="S44" s="45">
        <f>SUM(O44:R44)</f>
        <v>160</v>
      </c>
      <c r="T44" s="16">
        <v>40</v>
      </c>
      <c r="U44" s="29">
        <v>50</v>
      </c>
      <c r="V44" s="17">
        <v>40</v>
      </c>
      <c r="W44" s="20">
        <v>30</v>
      </c>
      <c r="X44" s="45">
        <f>SUM(T44:W44)</f>
        <v>160</v>
      </c>
      <c r="Y44" s="100">
        <f t="shared" si="26"/>
        <v>320</v>
      </c>
      <c r="Z44" s="56" t="s">
        <v>84</v>
      </c>
      <c r="AA44" s="50"/>
    </row>
    <row r="45" spans="1:27" x14ac:dyDescent="0.15">
      <c r="A45" s="12" t="s">
        <v>5</v>
      </c>
      <c r="B45" s="6"/>
      <c r="C45" s="18"/>
      <c r="D45" s="7">
        <v>2</v>
      </c>
      <c r="E45" s="8"/>
      <c r="F45" s="9">
        <f>SUM(B45:E45)</f>
        <v>2</v>
      </c>
      <c r="G45" s="6"/>
      <c r="H45" s="18"/>
      <c r="I45" s="7"/>
      <c r="J45" s="8"/>
      <c r="K45" s="9">
        <f>SUM(G45:J45)</f>
        <v>0</v>
      </c>
      <c r="L45" s="100">
        <f t="shared" si="25"/>
        <v>2</v>
      </c>
      <c r="M45" s="56">
        <v>45681</v>
      </c>
      <c r="N45" s="47" t="s">
        <v>47</v>
      </c>
      <c r="O45" s="41">
        <v>2</v>
      </c>
      <c r="P45" s="42">
        <v>2</v>
      </c>
      <c r="Q45" s="43"/>
      <c r="R45" s="44"/>
      <c r="S45" s="70">
        <f t="shared" ref="S45" si="27">SUM(O45:R45)</f>
        <v>4</v>
      </c>
      <c r="T45" s="16">
        <v>2</v>
      </c>
      <c r="U45" s="29">
        <v>1</v>
      </c>
      <c r="V45" s="17"/>
      <c r="W45" s="20"/>
      <c r="X45" s="45">
        <f>SUM(T45:W45)</f>
        <v>3</v>
      </c>
      <c r="Y45" s="100">
        <f t="shared" si="26"/>
        <v>7</v>
      </c>
      <c r="Z45" s="157"/>
    </row>
    <row r="46" spans="1:27" ht="14.25" thickBot="1" x14ac:dyDescent="0.2">
      <c r="A46" s="12" t="s">
        <v>66</v>
      </c>
      <c r="B46" s="6"/>
      <c r="C46" s="18"/>
      <c r="D46" s="7"/>
      <c r="E46" s="8"/>
      <c r="F46" s="10">
        <f>SUM(B46:E46)</f>
        <v>0</v>
      </c>
      <c r="G46" s="6"/>
      <c r="H46" s="18">
        <v>1</v>
      </c>
      <c r="I46" s="7"/>
      <c r="J46" s="8"/>
      <c r="K46" s="10">
        <f>SUM(G46:J46)</f>
        <v>1</v>
      </c>
      <c r="L46" s="101">
        <f t="shared" si="25"/>
        <v>1</v>
      </c>
      <c r="M46" s="56">
        <v>45687</v>
      </c>
      <c r="N46" s="12" t="s">
        <v>5</v>
      </c>
      <c r="O46" s="37"/>
      <c r="P46" s="38"/>
      <c r="Q46" s="39"/>
      <c r="R46" s="40"/>
      <c r="S46" s="46">
        <f>SUM(O46:R46)</f>
        <v>0</v>
      </c>
      <c r="T46" s="37"/>
      <c r="U46" s="38"/>
      <c r="V46" s="39"/>
      <c r="W46" s="40"/>
      <c r="X46" s="46">
        <f>SUM(T46:W46)</f>
        <v>0</v>
      </c>
      <c r="Y46" s="101">
        <f t="shared" si="26"/>
        <v>0</v>
      </c>
    </row>
    <row r="47" spans="1:27" ht="14.25" thickBot="1" x14ac:dyDescent="0.2">
      <c r="A47" s="14" t="s">
        <v>7</v>
      </c>
      <c r="B47" s="62">
        <f t="shared" ref="B47:F47" si="28">SUM(B42:B46)</f>
        <v>7</v>
      </c>
      <c r="C47" s="63">
        <f t="shared" si="28"/>
        <v>9</v>
      </c>
      <c r="D47" s="64">
        <f t="shared" si="28"/>
        <v>7</v>
      </c>
      <c r="E47" s="65">
        <f t="shared" si="28"/>
        <v>7</v>
      </c>
      <c r="F47" s="66">
        <f t="shared" si="28"/>
        <v>30</v>
      </c>
      <c r="G47" s="62">
        <f t="shared" ref="G47:K47" si="29">SUM(G42:G46)</f>
        <v>5</v>
      </c>
      <c r="H47" s="63">
        <f t="shared" si="29"/>
        <v>6</v>
      </c>
      <c r="I47" s="64">
        <f t="shared" si="29"/>
        <v>6</v>
      </c>
      <c r="J47" s="65">
        <f t="shared" si="29"/>
        <v>3</v>
      </c>
      <c r="K47" s="66">
        <f t="shared" si="29"/>
        <v>20</v>
      </c>
      <c r="L47" s="102">
        <f t="shared" si="25"/>
        <v>50</v>
      </c>
      <c r="N47" s="13" t="s">
        <v>7</v>
      </c>
      <c r="O47" s="25">
        <f t="shared" ref="O47:S47" si="30">SUM(O42:O46)</f>
        <v>59</v>
      </c>
      <c r="P47" s="31">
        <f t="shared" si="30"/>
        <v>72</v>
      </c>
      <c r="Q47" s="26">
        <f t="shared" si="30"/>
        <v>64</v>
      </c>
      <c r="R47" s="67">
        <f t="shared" si="30"/>
        <v>45</v>
      </c>
      <c r="S47" s="68">
        <f t="shared" si="30"/>
        <v>240</v>
      </c>
      <c r="T47" s="25">
        <f t="shared" ref="T47:X47" si="31">SUM(T42:T46)</f>
        <v>64</v>
      </c>
      <c r="U47" s="31">
        <f t="shared" si="31"/>
        <v>74</v>
      </c>
      <c r="V47" s="26">
        <f t="shared" si="31"/>
        <v>67</v>
      </c>
      <c r="W47" s="67">
        <f t="shared" si="31"/>
        <v>47</v>
      </c>
      <c r="X47" s="68">
        <f t="shared" si="31"/>
        <v>252</v>
      </c>
      <c r="Y47" s="102">
        <f t="shared" si="26"/>
        <v>492</v>
      </c>
    </row>
    <row r="48" spans="1:27" x14ac:dyDescent="0.15">
      <c r="A48" s="33" t="s">
        <v>86</v>
      </c>
      <c r="B48" s="16"/>
      <c r="C48" s="29"/>
      <c r="D48" s="17"/>
      <c r="E48" s="20"/>
      <c r="F48" s="9">
        <f t="shared" ref="F48" si="32">SUM(B48:E48)</f>
        <v>0</v>
      </c>
      <c r="G48" s="16"/>
      <c r="H48" s="29">
        <v>1</v>
      </c>
      <c r="I48" s="17"/>
      <c r="J48" s="20"/>
      <c r="K48" s="9">
        <f t="shared" ref="K48" si="33">SUM(G48:J48)</f>
        <v>1</v>
      </c>
      <c r="L48" s="104">
        <f t="shared" si="25"/>
        <v>1</v>
      </c>
      <c r="M48" s="56">
        <v>45671</v>
      </c>
      <c r="N48" s="132" t="s">
        <v>87</v>
      </c>
      <c r="O48" s="16">
        <v>4</v>
      </c>
      <c r="P48" s="29">
        <v>5</v>
      </c>
      <c r="Q48" s="17">
        <v>7</v>
      </c>
      <c r="R48" s="32">
        <v>4</v>
      </c>
      <c r="S48" s="9">
        <f t="shared" ref="S48:S60" si="34">SUM(O48:R48)</f>
        <v>20</v>
      </c>
      <c r="T48" s="16">
        <v>3</v>
      </c>
      <c r="U48" s="29">
        <v>9</v>
      </c>
      <c r="V48" s="17">
        <v>4</v>
      </c>
      <c r="W48" s="32">
        <v>6</v>
      </c>
      <c r="X48" s="9">
        <f t="shared" ref="X48:X60" si="35">SUM(T48:W48)</f>
        <v>22</v>
      </c>
      <c r="Y48" s="103">
        <f t="shared" si="26"/>
        <v>42</v>
      </c>
      <c r="Z48" s="56">
        <v>45671</v>
      </c>
      <c r="AA48" s="34"/>
    </row>
    <row r="49" spans="1:29" x14ac:dyDescent="0.15">
      <c r="A49" s="47" t="s">
        <v>51</v>
      </c>
      <c r="B49" s="16"/>
      <c r="C49" s="29">
        <v>1</v>
      </c>
      <c r="D49" s="17"/>
      <c r="E49" s="20"/>
      <c r="F49" s="45">
        <f t="shared" ref="F49:F72" si="36">SUM(B49:E49)</f>
        <v>1</v>
      </c>
      <c r="G49" s="16"/>
      <c r="H49" s="29"/>
      <c r="I49" s="17"/>
      <c r="J49" s="20"/>
      <c r="K49" s="45">
        <f t="shared" ref="K49:K72" si="37">SUM(G49:J49)</f>
        <v>0</v>
      </c>
      <c r="L49" s="104">
        <f t="shared" si="25"/>
        <v>1</v>
      </c>
      <c r="M49" s="56">
        <v>45671</v>
      </c>
      <c r="N49" s="137" t="s">
        <v>93</v>
      </c>
      <c r="O49" s="16">
        <v>2</v>
      </c>
      <c r="P49" s="29"/>
      <c r="Q49" s="17"/>
      <c r="R49" s="32"/>
      <c r="S49" s="9">
        <f t="shared" si="34"/>
        <v>2</v>
      </c>
      <c r="T49" s="16"/>
      <c r="U49" s="29"/>
      <c r="V49" s="17"/>
      <c r="W49" s="32"/>
      <c r="X49" s="9">
        <f t="shared" si="35"/>
        <v>0</v>
      </c>
      <c r="Y49" s="104">
        <f t="shared" si="26"/>
        <v>2</v>
      </c>
      <c r="Z49" s="56">
        <v>45677</v>
      </c>
      <c r="AA49" s="34"/>
      <c r="AB49" s="35"/>
    </row>
    <row r="50" spans="1:29" x14ac:dyDescent="0.15">
      <c r="A50" s="47" t="s">
        <v>51</v>
      </c>
      <c r="B50" s="16"/>
      <c r="C50" s="29"/>
      <c r="D50" s="17">
        <v>1</v>
      </c>
      <c r="E50" s="20"/>
      <c r="F50" s="45">
        <f t="shared" si="36"/>
        <v>1</v>
      </c>
      <c r="G50" s="16"/>
      <c r="H50" s="29"/>
      <c r="I50" s="17"/>
      <c r="J50" s="20"/>
      <c r="K50" s="45">
        <f t="shared" si="37"/>
        <v>0</v>
      </c>
      <c r="L50" s="104">
        <f t="shared" si="25"/>
        <v>1</v>
      </c>
      <c r="M50" s="56">
        <v>45674</v>
      </c>
      <c r="N50" s="33" t="s">
        <v>96</v>
      </c>
      <c r="O50" s="16"/>
      <c r="P50" s="29"/>
      <c r="Q50" s="17">
        <v>1</v>
      </c>
      <c r="R50" s="32"/>
      <c r="S50" s="9">
        <f t="shared" si="34"/>
        <v>1</v>
      </c>
      <c r="T50" s="16"/>
      <c r="U50" s="29"/>
      <c r="V50" s="17"/>
      <c r="W50" s="32"/>
      <c r="X50" s="9">
        <f t="shared" si="35"/>
        <v>0</v>
      </c>
      <c r="Y50" s="104">
        <f t="shared" si="26"/>
        <v>1</v>
      </c>
      <c r="Z50" s="56">
        <v>45679</v>
      </c>
      <c r="AA50" s="34"/>
      <c r="AB50" s="35"/>
    </row>
    <row r="51" spans="1:29" x14ac:dyDescent="0.15">
      <c r="A51" s="47" t="s">
        <v>94</v>
      </c>
      <c r="B51" s="16"/>
      <c r="C51" s="29">
        <v>1</v>
      </c>
      <c r="D51" s="17">
        <v>1</v>
      </c>
      <c r="E51" s="20">
        <v>1</v>
      </c>
      <c r="F51" s="45">
        <f t="shared" si="36"/>
        <v>3</v>
      </c>
      <c r="G51" s="16"/>
      <c r="H51" s="29"/>
      <c r="I51" s="17"/>
      <c r="J51" s="20"/>
      <c r="K51" s="45">
        <f t="shared" si="37"/>
        <v>0</v>
      </c>
      <c r="L51" s="104">
        <f t="shared" si="25"/>
        <v>3</v>
      </c>
      <c r="M51" s="56">
        <v>45677</v>
      </c>
      <c r="N51" s="137" t="s">
        <v>97</v>
      </c>
      <c r="O51" s="16">
        <v>2</v>
      </c>
      <c r="P51" s="29">
        <v>5</v>
      </c>
      <c r="Q51" s="17"/>
      <c r="R51" s="32">
        <v>5</v>
      </c>
      <c r="S51" s="9">
        <f t="shared" si="34"/>
        <v>12</v>
      </c>
      <c r="T51" s="16"/>
      <c r="U51" s="29"/>
      <c r="V51" s="17"/>
      <c r="W51" s="32"/>
      <c r="X51" s="9">
        <f t="shared" si="35"/>
        <v>0</v>
      </c>
      <c r="Y51" s="104">
        <f t="shared" si="26"/>
        <v>12</v>
      </c>
      <c r="Z51" s="56">
        <v>45679</v>
      </c>
      <c r="AA51" s="34"/>
    </row>
    <row r="52" spans="1:29" x14ac:dyDescent="0.15">
      <c r="A52" s="47" t="s">
        <v>51</v>
      </c>
      <c r="B52" s="16"/>
      <c r="C52" s="29">
        <v>1</v>
      </c>
      <c r="D52" s="17"/>
      <c r="E52" s="20"/>
      <c r="F52" s="45">
        <f t="shared" si="36"/>
        <v>1</v>
      </c>
      <c r="G52" s="16"/>
      <c r="H52" s="29"/>
      <c r="I52" s="17"/>
      <c r="J52" s="20"/>
      <c r="K52" s="45">
        <f t="shared" si="37"/>
        <v>0</v>
      </c>
      <c r="L52" s="104">
        <f t="shared" si="25"/>
        <v>1</v>
      </c>
      <c r="M52" s="56">
        <v>45675</v>
      </c>
      <c r="N52" s="33" t="s">
        <v>39</v>
      </c>
      <c r="O52" s="16"/>
      <c r="P52" s="29">
        <v>5</v>
      </c>
      <c r="Q52" s="17"/>
      <c r="R52" s="32"/>
      <c r="S52" s="9">
        <f>SUM(O52:R52)</f>
        <v>5</v>
      </c>
      <c r="T52" s="16"/>
      <c r="U52" s="29"/>
      <c r="V52" s="17"/>
      <c r="W52" s="32"/>
      <c r="X52" s="9">
        <f>SUM(T52:W52)</f>
        <v>0</v>
      </c>
      <c r="Y52" s="104">
        <f t="shared" si="26"/>
        <v>5</v>
      </c>
      <c r="Z52" s="56">
        <v>45678</v>
      </c>
      <c r="AA52" s="34"/>
      <c r="AB52" s="35"/>
    </row>
    <row r="53" spans="1:29" x14ac:dyDescent="0.15">
      <c r="A53" s="47" t="s">
        <v>51</v>
      </c>
      <c r="B53" s="16"/>
      <c r="C53" s="29">
        <v>1</v>
      </c>
      <c r="D53" s="17"/>
      <c r="E53" s="20"/>
      <c r="F53" s="45">
        <f t="shared" si="36"/>
        <v>1</v>
      </c>
      <c r="G53" s="16"/>
      <c r="H53" s="29"/>
      <c r="I53" s="17"/>
      <c r="J53" s="20"/>
      <c r="K53" s="45">
        <f t="shared" si="37"/>
        <v>0</v>
      </c>
      <c r="L53" s="104">
        <f t="shared" si="25"/>
        <v>1</v>
      </c>
      <c r="M53" s="56">
        <v>45677</v>
      </c>
      <c r="N53" s="137" t="s">
        <v>103</v>
      </c>
      <c r="O53" s="16"/>
      <c r="P53" s="29"/>
      <c r="Q53" s="17"/>
      <c r="R53" s="32"/>
      <c r="S53" s="9">
        <f t="shared" si="34"/>
        <v>0</v>
      </c>
      <c r="T53" s="16">
        <v>2</v>
      </c>
      <c r="U53" s="29"/>
      <c r="V53" s="17"/>
      <c r="W53" s="32"/>
      <c r="X53" s="9">
        <f t="shared" si="35"/>
        <v>2</v>
      </c>
      <c r="Y53" s="104">
        <f t="shared" si="26"/>
        <v>2</v>
      </c>
      <c r="Z53" s="56">
        <v>45680</v>
      </c>
      <c r="AA53" s="34"/>
    </row>
    <row r="54" spans="1:29" x14ac:dyDescent="0.15">
      <c r="A54" s="33" t="s">
        <v>104</v>
      </c>
      <c r="B54" s="16"/>
      <c r="C54" s="29"/>
      <c r="D54" s="17">
        <v>1</v>
      </c>
      <c r="E54" s="20"/>
      <c r="F54" s="45">
        <f t="shared" si="36"/>
        <v>1</v>
      </c>
      <c r="G54" s="16"/>
      <c r="H54" s="29"/>
      <c r="I54" s="17"/>
      <c r="J54" s="20"/>
      <c r="K54" s="45">
        <f t="shared" si="37"/>
        <v>0</v>
      </c>
      <c r="L54" s="104">
        <f t="shared" si="25"/>
        <v>1</v>
      </c>
      <c r="M54" s="56">
        <v>45681</v>
      </c>
      <c r="N54" s="33" t="s">
        <v>39</v>
      </c>
      <c r="O54" s="16"/>
      <c r="P54" s="29"/>
      <c r="Q54" s="17">
        <v>1</v>
      </c>
      <c r="R54" s="32"/>
      <c r="S54" s="9">
        <f>SUM(O54:R54)</f>
        <v>1</v>
      </c>
      <c r="T54" s="16"/>
      <c r="U54" s="29"/>
      <c r="V54" s="17"/>
      <c r="W54" s="32"/>
      <c r="X54" s="9">
        <f>SUM(T54:W54)</f>
        <v>0</v>
      </c>
      <c r="Y54" s="104">
        <f t="shared" ref="Y54:Y57" si="38">S54+X54</f>
        <v>1</v>
      </c>
      <c r="Z54" s="56">
        <v>45680</v>
      </c>
      <c r="AA54" s="34"/>
      <c r="AB54" s="35"/>
      <c r="AC54" s="35"/>
    </row>
    <row r="55" spans="1:29" x14ac:dyDescent="0.15">
      <c r="A55" s="47" t="s">
        <v>51</v>
      </c>
      <c r="B55" s="16"/>
      <c r="C55" s="29">
        <v>1</v>
      </c>
      <c r="D55" s="17"/>
      <c r="E55" s="20"/>
      <c r="F55" s="45">
        <f t="shared" si="36"/>
        <v>1</v>
      </c>
      <c r="G55" s="16"/>
      <c r="H55" s="29"/>
      <c r="I55" s="17"/>
      <c r="J55" s="20"/>
      <c r="K55" s="45">
        <f t="shared" si="37"/>
        <v>0</v>
      </c>
      <c r="L55" s="104">
        <f t="shared" si="25"/>
        <v>1</v>
      </c>
      <c r="M55" s="56">
        <v>45679</v>
      </c>
      <c r="N55" s="137" t="s">
        <v>112</v>
      </c>
      <c r="O55" s="16"/>
      <c r="P55" s="29"/>
      <c r="Q55" s="17"/>
      <c r="R55" s="32">
        <v>3</v>
      </c>
      <c r="S55" s="9">
        <f t="shared" ref="S55:S57" si="39">SUM(O55:R55)</f>
        <v>3</v>
      </c>
      <c r="T55" s="16"/>
      <c r="U55" s="29"/>
      <c r="V55" s="17"/>
      <c r="W55" s="32"/>
      <c r="X55" s="9">
        <f t="shared" ref="X55:X57" si="40">SUM(T55:W55)</f>
        <v>0</v>
      </c>
      <c r="Y55" s="104">
        <f t="shared" si="38"/>
        <v>3</v>
      </c>
      <c r="Z55" s="56">
        <v>45686</v>
      </c>
      <c r="AA55" s="34"/>
    </row>
    <row r="56" spans="1:29" x14ac:dyDescent="0.15">
      <c r="A56" s="47" t="s">
        <v>110</v>
      </c>
      <c r="B56" s="16">
        <v>1</v>
      </c>
      <c r="C56" s="29"/>
      <c r="D56" s="17"/>
      <c r="E56" s="20"/>
      <c r="F56" s="45">
        <f t="shared" si="36"/>
        <v>1</v>
      </c>
      <c r="G56" s="16">
        <v>1</v>
      </c>
      <c r="H56" s="29"/>
      <c r="I56" s="17"/>
      <c r="J56" s="20"/>
      <c r="K56" s="45">
        <f t="shared" si="37"/>
        <v>1</v>
      </c>
      <c r="L56" s="104">
        <f t="shared" si="25"/>
        <v>2</v>
      </c>
      <c r="M56" s="56">
        <v>45684</v>
      </c>
      <c r="N56" s="33" t="s">
        <v>39</v>
      </c>
      <c r="O56" s="16"/>
      <c r="P56" s="29">
        <v>3</v>
      </c>
      <c r="Q56" s="17"/>
      <c r="R56" s="32"/>
      <c r="S56" s="9">
        <f t="shared" si="39"/>
        <v>3</v>
      </c>
      <c r="T56" s="16"/>
      <c r="U56" s="29"/>
      <c r="V56" s="17"/>
      <c r="W56" s="32">
        <v>5</v>
      </c>
      <c r="X56" s="9">
        <f t="shared" si="40"/>
        <v>5</v>
      </c>
      <c r="Y56" s="104">
        <f t="shared" si="38"/>
        <v>8</v>
      </c>
      <c r="Z56" s="56">
        <v>45689</v>
      </c>
      <c r="AA56" s="34"/>
    </row>
    <row r="57" spans="1:29" x14ac:dyDescent="0.15">
      <c r="A57" s="33" t="s">
        <v>111</v>
      </c>
      <c r="B57" s="16">
        <v>1</v>
      </c>
      <c r="C57" s="29"/>
      <c r="D57" s="17"/>
      <c r="E57" s="20"/>
      <c r="F57" s="45">
        <f t="shared" si="36"/>
        <v>1</v>
      </c>
      <c r="G57" s="16"/>
      <c r="H57" s="29"/>
      <c r="I57" s="17"/>
      <c r="J57" s="20"/>
      <c r="K57" s="45">
        <f t="shared" si="37"/>
        <v>0</v>
      </c>
      <c r="L57" s="104">
        <f t="shared" si="25"/>
        <v>1</v>
      </c>
      <c r="M57" s="56">
        <v>45686</v>
      </c>
      <c r="N57" s="33" t="s">
        <v>39</v>
      </c>
      <c r="O57" s="16">
        <v>2</v>
      </c>
      <c r="P57" s="29"/>
      <c r="Q57" s="17"/>
      <c r="R57" s="32">
        <v>5</v>
      </c>
      <c r="S57" s="9">
        <f t="shared" si="39"/>
        <v>7</v>
      </c>
      <c r="T57" s="16"/>
      <c r="U57" s="29"/>
      <c r="V57" s="17"/>
      <c r="W57" s="32"/>
      <c r="X57" s="9">
        <f t="shared" si="40"/>
        <v>0</v>
      </c>
      <c r="Y57" s="104">
        <f t="shared" si="38"/>
        <v>7</v>
      </c>
      <c r="Z57" s="56">
        <v>45694</v>
      </c>
      <c r="AA57" s="34"/>
    </row>
    <row r="58" spans="1:29" x14ac:dyDescent="0.15">
      <c r="A58" s="47" t="s">
        <v>51</v>
      </c>
      <c r="B58" s="16"/>
      <c r="C58" s="29">
        <v>1</v>
      </c>
      <c r="D58" s="17"/>
      <c r="E58" s="20"/>
      <c r="F58" s="45">
        <f t="shared" si="36"/>
        <v>1</v>
      </c>
      <c r="G58" s="16"/>
      <c r="H58" s="29"/>
      <c r="I58" s="17"/>
      <c r="J58" s="20"/>
      <c r="K58" s="45">
        <f t="shared" si="37"/>
        <v>0</v>
      </c>
      <c r="L58" s="104">
        <f t="shared" si="25"/>
        <v>1</v>
      </c>
      <c r="M58" s="56">
        <v>45684</v>
      </c>
      <c r="N58" s="33" t="s">
        <v>131</v>
      </c>
      <c r="O58" s="16">
        <v>2</v>
      </c>
      <c r="P58" s="29">
        <v>3</v>
      </c>
      <c r="Q58" s="17"/>
      <c r="R58" s="32">
        <v>3</v>
      </c>
      <c r="S58" s="9">
        <f t="shared" si="34"/>
        <v>8</v>
      </c>
      <c r="T58" s="16">
        <v>1</v>
      </c>
      <c r="U58" s="29">
        <v>1</v>
      </c>
      <c r="V58" s="17"/>
      <c r="W58" s="32"/>
      <c r="X58" s="9">
        <f t="shared" si="35"/>
        <v>2</v>
      </c>
      <c r="Y58" s="104">
        <f t="shared" si="26"/>
        <v>10</v>
      </c>
      <c r="Z58" s="56">
        <v>45695</v>
      </c>
      <c r="AA58" s="34"/>
    </row>
    <row r="59" spans="1:29" x14ac:dyDescent="0.15">
      <c r="A59" s="137" t="s">
        <v>113</v>
      </c>
      <c r="B59" s="16"/>
      <c r="C59" s="29"/>
      <c r="D59" s="17"/>
      <c r="E59" s="20"/>
      <c r="F59" s="45">
        <f t="shared" si="36"/>
        <v>0</v>
      </c>
      <c r="G59" s="16"/>
      <c r="H59" s="29"/>
      <c r="I59" s="17"/>
      <c r="J59" s="20">
        <v>1</v>
      </c>
      <c r="K59" s="45">
        <f t="shared" si="37"/>
        <v>1</v>
      </c>
      <c r="L59" s="104">
        <f t="shared" si="25"/>
        <v>1</v>
      </c>
      <c r="M59" s="56">
        <v>45687</v>
      </c>
      <c r="N59" s="72"/>
      <c r="O59" s="16"/>
      <c r="P59" s="29"/>
      <c r="Q59" s="17"/>
      <c r="R59" s="32"/>
      <c r="S59" s="9">
        <f t="shared" si="34"/>
        <v>0</v>
      </c>
      <c r="T59" s="16"/>
      <c r="U59" s="29"/>
      <c r="V59" s="17"/>
      <c r="W59" s="32"/>
      <c r="X59" s="9">
        <f t="shared" si="35"/>
        <v>0</v>
      </c>
      <c r="Y59" s="104">
        <f t="shared" ref="Y59:Y60" si="41">S59+X59</f>
        <v>0</v>
      </c>
      <c r="Z59" s="56"/>
      <c r="AA59" s="34"/>
    </row>
    <row r="60" spans="1:29" x14ac:dyDescent="0.15">
      <c r="A60" s="137" t="s">
        <v>114</v>
      </c>
      <c r="B60" s="16"/>
      <c r="C60" s="29">
        <v>1</v>
      </c>
      <c r="D60" s="17"/>
      <c r="E60" s="20">
        <v>1</v>
      </c>
      <c r="F60" s="45">
        <f t="shared" si="36"/>
        <v>2</v>
      </c>
      <c r="G60" s="16"/>
      <c r="H60" s="29"/>
      <c r="I60" s="17"/>
      <c r="J60" s="20">
        <v>1</v>
      </c>
      <c r="K60" s="45">
        <f t="shared" si="37"/>
        <v>1</v>
      </c>
      <c r="L60" s="104">
        <f t="shared" si="25"/>
        <v>3</v>
      </c>
      <c r="M60" s="56">
        <v>45688</v>
      </c>
      <c r="N60" s="72"/>
      <c r="O60" s="16"/>
      <c r="P60" s="29"/>
      <c r="Q60" s="17"/>
      <c r="R60" s="32"/>
      <c r="S60" s="9">
        <f t="shared" si="34"/>
        <v>0</v>
      </c>
      <c r="T60" s="16"/>
      <c r="U60" s="29"/>
      <c r="V60" s="17"/>
      <c r="W60" s="32"/>
      <c r="X60" s="9">
        <f t="shared" si="35"/>
        <v>0</v>
      </c>
      <c r="Y60" s="104">
        <f t="shared" si="41"/>
        <v>0</v>
      </c>
      <c r="Z60" s="56"/>
      <c r="AA60" s="34"/>
    </row>
    <row r="61" spans="1:29" x14ac:dyDescent="0.15">
      <c r="A61" s="47" t="s">
        <v>51</v>
      </c>
      <c r="B61" s="16"/>
      <c r="C61" s="29"/>
      <c r="D61" s="17"/>
      <c r="E61" s="20">
        <v>1</v>
      </c>
      <c r="F61" s="45">
        <f t="shared" si="36"/>
        <v>1</v>
      </c>
      <c r="G61" s="16"/>
      <c r="H61" s="29"/>
      <c r="I61" s="17"/>
      <c r="J61" s="20"/>
      <c r="K61" s="45">
        <f t="shared" si="37"/>
        <v>0</v>
      </c>
      <c r="L61" s="104">
        <f t="shared" si="25"/>
        <v>1</v>
      </c>
      <c r="M61" s="56">
        <v>45687</v>
      </c>
      <c r="N61" s="72"/>
      <c r="O61" s="16"/>
      <c r="P61" s="29"/>
      <c r="Q61" s="17"/>
      <c r="R61" s="32"/>
      <c r="S61" s="9">
        <f>SUM(O61:R61)</f>
        <v>0</v>
      </c>
      <c r="T61" s="16"/>
      <c r="U61" s="29"/>
      <c r="V61" s="17"/>
      <c r="W61" s="32"/>
      <c r="X61" s="9">
        <f>SUM(T61:W61)</f>
        <v>0</v>
      </c>
      <c r="Y61" s="104">
        <f t="shared" si="26"/>
        <v>0</v>
      </c>
      <c r="Z61" s="56"/>
      <c r="AA61" s="34"/>
    </row>
    <row r="62" spans="1:29" x14ac:dyDescent="0.15">
      <c r="A62" s="33" t="s">
        <v>119</v>
      </c>
      <c r="B62" s="16"/>
      <c r="C62" s="29">
        <v>-3</v>
      </c>
      <c r="D62" s="17"/>
      <c r="E62" s="20"/>
      <c r="F62" s="45">
        <f t="shared" si="36"/>
        <v>-3</v>
      </c>
      <c r="G62" s="16"/>
      <c r="H62" s="29"/>
      <c r="I62" s="17"/>
      <c r="J62" s="20">
        <v>-5</v>
      </c>
      <c r="K62" s="45">
        <f t="shared" si="37"/>
        <v>-5</v>
      </c>
      <c r="L62" s="104">
        <f t="shared" si="25"/>
        <v>-8</v>
      </c>
      <c r="M62" s="56">
        <v>45689</v>
      </c>
      <c r="N62" s="72"/>
      <c r="O62" s="16"/>
      <c r="P62" s="29"/>
      <c r="Q62" s="17"/>
      <c r="R62" s="32"/>
      <c r="S62" s="9">
        <f t="shared" ref="S62:S73" si="42">SUM(O62:R62)</f>
        <v>0</v>
      </c>
      <c r="T62" s="16"/>
      <c r="U62" s="29"/>
      <c r="V62" s="17"/>
      <c r="W62" s="32"/>
      <c r="X62" s="9">
        <f t="shared" ref="X62:X73" si="43">SUM(T62:W62)</f>
        <v>0</v>
      </c>
      <c r="Y62" s="104">
        <f t="shared" si="26"/>
        <v>0</v>
      </c>
      <c r="Z62" s="56"/>
      <c r="AA62" s="34"/>
    </row>
    <row r="63" spans="1:29" x14ac:dyDescent="0.15">
      <c r="A63" s="47" t="s">
        <v>125</v>
      </c>
      <c r="B63" s="16">
        <v>1</v>
      </c>
      <c r="C63" s="29"/>
      <c r="D63" s="17"/>
      <c r="E63" s="20"/>
      <c r="F63" s="45">
        <f t="shared" si="36"/>
        <v>1</v>
      </c>
      <c r="G63" s="16">
        <v>1</v>
      </c>
      <c r="H63" s="29"/>
      <c r="I63" s="17"/>
      <c r="J63" s="20"/>
      <c r="K63" s="45">
        <f t="shared" si="37"/>
        <v>1</v>
      </c>
      <c r="L63" s="104">
        <f t="shared" si="25"/>
        <v>2</v>
      </c>
      <c r="M63" s="56">
        <v>45692</v>
      </c>
      <c r="N63" s="72"/>
      <c r="O63" s="16"/>
      <c r="P63" s="29"/>
      <c r="Q63" s="17"/>
      <c r="R63" s="32"/>
      <c r="S63" s="9">
        <f t="shared" si="42"/>
        <v>0</v>
      </c>
      <c r="T63" s="16"/>
      <c r="U63" s="29"/>
      <c r="V63" s="17"/>
      <c r="W63" s="32"/>
      <c r="X63" s="9">
        <f t="shared" si="43"/>
        <v>0</v>
      </c>
      <c r="Y63" s="104">
        <f t="shared" si="26"/>
        <v>0</v>
      </c>
      <c r="Z63" s="56"/>
      <c r="AA63" s="34"/>
      <c r="AB63" s="35"/>
    </row>
    <row r="64" spans="1:29" x14ac:dyDescent="0.15">
      <c r="A64" s="33" t="s">
        <v>127</v>
      </c>
      <c r="B64" s="16"/>
      <c r="C64" s="29"/>
      <c r="D64" s="17"/>
      <c r="E64" s="20">
        <v>1</v>
      </c>
      <c r="F64" s="45">
        <f t="shared" si="36"/>
        <v>1</v>
      </c>
      <c r="G64" s="16"/>
      <c r="H64" s="29"/>
      <c r="I64" s="17"/>
      <c r="J64" s="20"/>
      <c r="K64" s="45">
        <f t="shared" si="37"/>
        <v>0</v>
      </c>
      <c r="L64" s="104">
        <f t="shared" si="25"/>
        <v>1</v>
      </c>
      <c r="M64" s="56">
        <v>45694</v>
      </c>
      <c r="N64" s="72"/>
      <c r="O64" s="16"/>
      <c r="P64" s="29"/>
      <c r="Q64" s="17"/>
      <c r="R64" s="32"/>
      <c r="S64" s="9">
        <f t="shared" si="42"/>
        <v>0</v>
      </c>
      <c r="T64" s="16"/>
      <c r="U64" s="29"/>
      <c r="V64" s="17"/>
      <c r="W64" s="32"/>
      <c r="X64" s="9">
        <f t="shared" si="43"/>
        <v>0</v>
      </c>
      <c r="Y64" s="104">
        <f t="shared" si="26"/>
        <v>0</v>
      </c>
      <c r="Z64" s="56"/>
      <c r="AA64" s="34"/>
    </row>
    <row r="65" spans="1:29" x14ac:dyDescent="0.15">
      <c r="A65" s="33" t="s">
        <v>128</v>
      </c>
      <c r="B65" s="16">
        <v>1</v>
      </c>
      <c r="C65" s="29">
        <v>1</v>
      </c>
      <c r="D65" s="17">
        <v>1</v>
      </c>
      <c r="E65" s="20">
        <v>1</v>
      </c>
      <c r="F65" s="45">
        <f t="shared" si="36"/>
        <v>4</v>
      </c>
      <c r="G65" s="16"/>
      <c r="H65" s="29"/>
      <c r="I65" s="17"/>
      <c r="J65" s="20"/>
      <c r="K65" s="45">
        <f t="shared" si="37"/>
        <v>0</v>
      </c>
      <c r="L65" s="104">
        <f t="shared" si="25"/>
        <v>4</v>
      </c>
      <c r="M65" s="56">
        <v>45695</v>
      </c>
      <c r="N65" s="72"/>
      <c r="O65" s="41"/>
      <c r="P65" s="42"/>
      <c r="Q65" s="43"/>
      <c r="R65" s="59"/>
      <c r="S65" s="61">
        <f t="shared" si="42"/>
        <v>0</v>
      </c>
      <c r="T65" s="41"/>
      <c r="U65" s="42"/>
      <c r="V65" s="43"/>
      <c r="W65" s="59"/>
      <c r="X65" s="61">
        <f t="shared" si="43"/>
        <v>0</v>
      </c>
      <c r="Y65" s="104">
        <f t="shared" si="26"/>
        <v>0</v>
      </c>
      <c r="Z65" s="56"/>
      <c r="AA65" s="34"/>
    </row>
    <row r="66" spans="1:29" x14ac:dyDescent="0.15">
      <c r="A66" s="137" t="s">
        <v>129</v>
      </c>
      <c r="B66" s="16"/>
      <c r="C66" s="29"/>
      <c r="D66" s="17"/>
      <c r="E66" s="20">
        <v>1</v>
      </c>
      <c r="F66" s="45">
        <f t="shared" si="36"/>
        <v>1</v>
      </c>
      <c r="G66" s="16"/>
      <c r="H66" s="29"/>
      <c r="I66" s="17"/>
      <c r="J66" s="20"/>
      <c r="K66" s="45">
        <f t="shared" si="37"/>
        <v>0</v>
      </c>
      <c r="L66" s="104">
        <f t="shared" si="25"/>
        <v>1</v>
      </c>
      <c r="M66" s="56">
        <v>45695</v>
      </c>
      <c r="N66" s="33"/>
      <c r="O66" s="16"/>
      <c r="P66" s="29"/>
      <c r="Q66" s="17"/>
      <c r="R66" s="32"/>
      <c r="S66" s="9">
        <f>SUM(O66:R66)</f>
        <v>0</v>
      </c>
      <c r="T66" s="16"/>
      <c r="U66" s="29"/>
      <c r="V66" s="17"/>
      <c r="W66" s="32"/>
      <c r="X66" s="9">
        <f>SUM(T66:W66)</f>
        <v>0</v>
      </c>
      <c r="Y66" s="104">
        <f t="shared" si="26"/>
        <v>0</v>
      </c>
      <c r="Z66" s="56"/>
      <c r="AA66" s="34"/>
    </row>
    <row r="67" spans="1:29" x14ac:dyDescent="0.15">
      <c r="A67" s="47" t="s">
        <v>51</v>
      </c>
      <c r="B67" s="16"/>
      <c r="C67" s="29"/>
      <c r="D67" s="17"/>
      <c r="E67" s="20">
        <v>1</v>
      </c>
      <c r="F67" s="45">
        <f t="shared" si="36"/>
        <v>1</v>
      </c>
      <c r="G67" s="16"/>
      <c r="H67" s="29"/>
      <c r="I67" s="17"/>
      <c r="J67" s="20"/>
      <c r="K67" s="45">
        <f t="shared" si="37"/>
        <v>0</v>
      </c>
      <c r="L67" s="104">
        <f t="shared" si="25"/>
        <v>1</v>
      </c>
      <c r="M67" s="58">
        <v>45693</v>
      </c>
      <c r="N67" s="11"/>
      <c r="O67" s="16"/>
      <c r="P67" s="17"/>
      <c r="Q67" s="29"/>
      <c r="R67" s="60"/>
      <c r="S67" s="9">
        <f t="shared" si="42"/>
        <v>0</v>
      </c>
      <c r="T67" s="16"/>
      <c r="U67" s="17"/>
      <c r="V67" s="29"/>
      <c r="W67" s="60"/>
      <c r="X67" s="9">
        <f t="shared" si="43"/>
        <v>0</v>
      </c>
      <c r="Y67" s="104">
        <f t="shared" si="26"/>
        <v>0</v>
      </c>
    </row>
    <row r="68" spans="1:29" x14ac:dyDescent="0.15">
      <c r="A68" s="33" t="s">
        <v>119</v>
      </c>
      <c r="B68" s="16">
        <v>-2</v>
      </c>
      <c r="C68" s="29"/>
      <c r="D68" s="17"/>
      <c r="E68" s="20">
        <v>-5</v>
      </c>
      <c r="F68" s="45">
        <f t="shared" si="36"/>
        <v>-7</v>
      </c>
      <c r="G68" s="16"/>
      <c r="H68" s="29"/>
      <c r="I68" s="17"/>
      <c r="J68" s="20"/>
      <c r="K68" s="45">
        <f t="shared" si="37"/>
        <v>0</v>
      </c>
      <c r="L68" s="104">
        <f t="shared" si="25"/>
        <v>-7</v>
      </c>
      <c r="M68" s="56">
        <v>45694</v>
      </c>
      <c r="N68" s="11"/>
      <c r="O68" s="16"/>
      <c r="P68" s="29"/>
      <c r="Q68" s="17"/>
      <c r="R68" s="32"/>
      <c r="S68" s="9">
        <f t="shared" si="42"/>
        <v>0</v>
      </c>
      <c r="T68" s="16"/>
      <c r="U68" s="29"/>
      <c r="V68" s="17"/>
      <c r="W68" s="32"/>
      <c r="X68" s="9">
        <f t="shared" si="43"/>
        <v>0</v>
      </c>
      <c r="Y68" s="104">
        <f t="shared" si="26"/>
        <v>0</v>
      </c>
    </row>
    <row r="69" spans="1:29" x14ac:dyDescent="0.15">
      <c r="A69" s="47" t="s">
        <v>51</v>
      </c>
      <c r="B69" s="16"/>
      <c r="C69" s="29"/>
      <c r="D69" s="17">
        <v>1</v>
      </c>
      <c r="E69" s="20"/>
      <c r="F69" s="45">
        <f t="shared" ref="F69" si="44">SUM(B69:E69)</f>
        <v>1</v>
      </c>
      <c r="G69" s="16"/>
      <c r="H69" s="29"/>
      <c r="I69" s="17"/>
      <c r="J69" s="20"/>
      <c r="K69" s="45">
        <f t="shared" ref="K69" si="45">SUM(G69:J69)</f>
        <v>0</v>
      </c>
      <c r="L69" s="104">
        <f t="shared" ref="L69" si="46">F69+K69</f>
        <v>1</v>
      </c>
      <c r="M69" s="58">
        <v>45744</v>
      </c>
      <c r="N69" s="11"/>
      <c r="O69" s="41"/>
      <c r="P69" s="42"/>
      <c r="Q69" s="43"/>
      <c r="R69" s="59"/>
      <c r="S69" s="61">
        <f t="shared" si="42"/>
        <v>0</v>
      </c>
      <c r="T69" s="41"/>
      <c r="U69" s="42"/>
      <c r="V69" s="43"/>
      <c r="W69" s="59"/>
      <c r="X69" s="61">
        <f t="shared" si="43"/>
        <v>0</v>
      </c>
      <c r="Y69" s="104">
        <f t="shared" si="26"/>
        <v>0</v>
      </c>
      <c r="Z69" s="157"/>
      <c r="AA69" s="35"/>
      <c r="AB69" s="35"/>
    </row>
    <row r="70" spans="1:29" x14ac:dyDescent="0.15">
      <c r="A70" s="47"/>
      <c r="B70" s="16"/>
      <c r="C70" s="29"/>
      <c r="D70" s="17"/>
      <c r="E70" s="20"/>
      <c r="F70" s="45">
        <f t="shared" si="36"/>
        <v>0</v>
      </c>
      <c r="G70" s="16"/>
      <c r="H70" s="29"/>
      <c r="I70" s="17"/>
      <c r="J70" s="20"/>
      <c r="K70" s="45">
        <f t="shared" si="37"/>
        <v>0</v>
      </c>
      <c r="L70" s="104">
        <f t="shared" si="25"/>
        <v>0</v>
      </c>
      <c r="M70" s="58"/>
      <c r="N70" s="11"/>
      <c r="O70" s="16"/>
      <c r="P70" s="29"/>
      <c r="Q70" s="17"/>
      <c r="R70" s="32"/>
      <c r="S70" s="9">
        <f t="shared" si="42"/>
        <v>0</v>
      </c>
      <c r="T70" s="16"/>
      <c r="U70" s="29"/>
      <c r="V70" s="17"/>
      <c r="W70" s="32"/>
      <c r="X70" s="9">
        <f t="shared" si="43"/>
        <v>0</v>
      </c>
      <c r="Y70" s="104">
        <f t="shared" si="26"/>
        <v>0</v>
      </c>
      <c r="Z70" s="157"/>
      <c r="AA70" s="35"/>
      <c r="AB70" s="35"/>
    </row>
    <row r="71" spans="1:29" x14ac:dyDescent="0.15">
      <c r="A71" s="47"/>
      <c r="B71" s="16"/>
      <c r="C71" s="29"/>
      <c r="D71" s="17"/>
      <c r="E71" s="20"/>
      <c r="F71" s="45">
        <f t="shared" si="36"/>
        <v>0</v>
      </c>
      <c r="G71" s="16"/>
      <c r="H71" s="29"/>
      <c r="I71" s="17"/>
      <c r="J71" s="20"/>
      <c r="K71" s="45">
        <f t="shared" si="37"/>
        <v>0</v>
      </c>
      <c r="L71" s="104">
        <f t="shared" si="25"/>
        <v>0</v>
      </c>
      <c r="M71" s="58"/>
      <c r="N71" s="11" t="s">
        <v>80</v>
      </c>
      <c r="O71" s="16"/>
      <c r="P71" s="29"/>
      <c r="Q71" s="17"/>
      <c r="R71" s="32"/>
      <c r="S71" s="9">
        <f t="shared" ref="S71:S72" si="47">SUM(O71:R71)</f>
        <v>0</v>
      </c>
      <c r="T71" s="16"/>
      <c r="U71" s="29"/>
      <c r="V71" s="17"/>
      <c r="W71" s="32"/>
      <c r="X71" s="9">
        <f t="shared" ref="X71:X72" si="48">SUM(T71:W71)</f>
        <v>0</v>
      </c>
      <c r="Y71" s="104">
        <f t="shared" ref="Y71:Y72" si="49">S71+X71</f>
        <v>0</v>
      </c>
      <c r="Z71" s="157" t="s">
        <v>75</v>
      </c>
      <c r="AA71" s="35"/>
      <c r="AB71" s="35"/>
    </row>
    <row r="72" spans="1:29" ht="14.25" thickBot="1" x14ac:dyDescent="0.2">
      <c r="A72" s="47"/>
      <c r="B72" s="37"/>
      <c r="C72" s="38"/>
      <c r="D72" s="39"/>
      <c r="E72" s="40"/>
      <c r="F72" s="45">
        <f t="shared" si="36"/>
        <v>0</v>
      </c>
      <c r="G72" s="37"/>
      <c r="H72" s="38"/>
      <c r="I72" s="39"/>
      <c r="J72" s="40"/>
      <c r="K72" s="45">
        <f t="shared" si="37"/>
        <v>0</v>
      </c>
      <c r="L72" s="104">
        <f t="shared" si="25"/>
        <v>0</v>
      </c>
      <c r="M72" s="58"/>
      <c r="N72" s="150" t="s">
        <v>63</v>
      </c>
      <c r="O72" s="151"/>
      <c r="P72" s="152"/>
      <c r="Q72" s="153"/>
      <c r="R72" s="154"/>
      <c r="S72" s="155">
        <f t="shared" si="47"/>
        <v>0</v>
      </c>
      <c r="T72" s="151"/>
      <c r="U72" s="152"/>
      <c r="V72" s="153"/>
      <c r="W72" s="154"/>
      <c r="X72" s="155">
        <f t="shared" si="48"/>
        <v>0</v>
      </c>
      <c r="Y72" s="156">
        <f t="shared" si="49"/>
        <v>0</v>
      </c>
      <c r="Z72" s="224" t="s">
        <v>62</v>
      </c>
      <c r="AA72" s="35"/>
      <c r="AB72" s="35"/>
      <c r="AC72" s="35"/>
    </row>
    <row r="73" spans="1:29" ht="14.25" thickBot="1" x14ac:dyDescent="0.2">
      <c r="A73" s="13" t="s">
        <v>8</v>
      </c>
      <c r="B73" s="22">
        <f>SUM(B48:B72)</f>
        <v>2</v>
      </c>
      <c r="C73" s="30">
        <f>SUM(C48:C72)</f>
        <v>5</v>
      </c>
      <c r="D73" s="23">
        <f>SUM(D48:D72)</f>
        <v>5</v>
      </c>
      <c r="E73" s="24">
        <f>SUM(E48:E72)</f>
        <v>2</v>
      </c>
      <c r="F73" s="21">
        <f>SUM(B73:E73)</f>
        <v>14</v>
      </c>
      <c r="G73" s="22">
        <f>SUM(G48:G72)</f>
        <v>2</v>
      </c>
      <c r="H73" s="30">
        <f>SUM(H48:H72)</f>
        <v>1</v>
      </c>
      <c r="I73" s="23">
        <f>SUM(I48:I72)</f>
        <v>0</v>
      </c>
      <c r="J73" s="24">
        <f>SUM(J48:J72)</f>
        <v>-3</v>
      </c>
      <c r="K73" s="21">
        <f>SUM(G73:J73)</f>
        <v>0</v>
      </c>
      <c r="L73" s="105">
        <f t="shared" si="25"/>
        <v>14</v>
      </c>
      <c r="N73" s="49" t="s">
        <v>8</v>
      </c>
      <c r="O73" s="22">
        <f>SUM(O48:O72)</f>
        <v>12</v>
      </c>
      <c r="P73" s="30">
        <f>SUM(P48:P72)</f>
        <v>21</v>
      </c>
      <c r="Q73" s="23">
        <f>SUM(Q48:Q72)</f>
        <v>9</v>
      </c>
      <c r="R73" s="24">
        <f>SUM(R48:R72)</f>
        <v>20</v>
      </c>
      <c r="S73" s="48">
        <f t="shared" si="42"/>
        <v>62</v>
      </c>
      <c r="T73" s="22">
        <f>SUM(T48:T72)</f>
        <v>6</v>
      </c>
      <c r="U73" s="30">
        <f>SUM(U48:U72)</f>
        <v>10</v>
      </c>
      <c r="V73" s="23">
        <f>SUM(V48:V72)</f>
        <v>4</v>
      </c>
      <c r="W73" s="24">
        <f>SUM(W48:W72)</f>
        <v>11</v>
      </c>
      <c r="X73" s="48">
        <f t="shared" si="43"/>
        <v>31</v>
      </c>
      <c r="Y73" s="122">
        <f t="shared" si="26"/>
        <v>93</v>
      </c>
    </row>
    <row r="74" spans="1:29" ht="14.25" thickBot="1" x14ac:dyDescent="0.2">
      <c r="A74" s="14" t="s">
        <v>9</v>
      </c>
      <c r="B74" s="25">
        <f t="shared" ref="B74:F74" si="50">B47-B73</f>
        <v>5</v>
      </c>
      <c r="C74" s="31">
        <f t="shared" si="50"/>
        <v>4</v>
      </c>
      <c r="D74" s="26">
        <f t="shared" si="50"/>
        <v>2</v>
      </c>
      <c r="E74" s="27">
        <f t="shared" si="50"/>
        <v>5</v>
      </c>
      <c r="F74" s="83">
        <f t="shared" si="50"/>
        <v>16</v>
      </c>
      <c r="G74" s="25">
        <f t="shared" ref="G74:K74" si="51">G47-G73</f>
        <v>3</v>
      </c>
      <c r="H74" s="31">
        <f t="shared" si="51"/>
        <v>5</v>
      </c>
      <c r="I74" s="26">
        <f t="shared" si="51"/>
        <v>6</v>
      </c>
      <c r="J74" s="27">
        <f t="shared" si="51"/>
        <v>6</v>
      </c>
      <c r="K74" s="83">
        <f t="shared" si="51"/>
        <v>20</v>
      </c>
      <c r="L74" s="102">
        <f t="shared" si="25"/>
        <v>36</v>
      </c>
      <c r="N74" s="13" t="s">
        <v>9</v>
      </c>
      <c r="O74" s="25">
        <f t="shared" ref="O74:S74" si="52">O47-O73</f>
        <v>47</v>
      </c>
      <c r="P74" s="31">
        <f t="shared" si="52"/>
        <v>51</v>
      </c>
      <c r="Q74" s="26">
        <f t="shared" si="52"/>
        <v>55</v>
      </c>
      <c r="R74" s="27">
        <f t="shared" si="52"/>
        <v>25</v>
      </c>
      <c r="S74" s="36">
        <f t="shared" si="52"/>
        <v>178</v>
      </c>
      <c r="T74" s="25">
        <f t="shared" ref="T74:X74" si="53">T47-T73</f>
        <v>58</v>
      </c>
      <c r="U74" s="31">
        <f t="shared" si="53"/>
        <v>64</v>
      </c>
      <c r="V74" s="26">
        <f t="shared" si="53"/>
        <v>63</v>
      </c>
      <c r="W74" s="27">
        <f t="shared" si="53"/>
        <v>36</v>
      </c>
      <c r="X74" s="36">
        <f t="shared" si="53"/>
        <v>221</v>
      </c>
      <c r="Y74" s="102">
        <f t="shared" si="26"/>
        <v>399</v>
      </c>
    </row>
    <row r="75" spans="1:29" x14ac:dyDescent="0.15">
      <c r="N75" s="69"/>
      <c r="O75" s="50"/>
      <c r="P75" s="50"/>
      <c r="Q75" s="50"/>
      <c r="R75" s="50"/>
      <c r="S75" s="50"/>
      <c r="T75" s="50"/>
      <c r="U75" s="50"/>
      <c r="V75" s="50"/>
      <c r="W75" s="50"/>
      <c r="X75" s="50"/>
    </row>
    <row r="77" spans="1:29" ht="19.5" thickBot="1" x14ac:dyDescent="0.25">
      <c r="A77" s="2" t="s">
        <v>18</v>
      </c>
      <c r="B77" s="2"/>
      <c r="C77" s="1"/>
      <c r="D77" s="1"/>
      <c r="E77" s="1"/>
      <c r="F77" s="84"/>
      <c r="G77" s="2"/>
      <c r="H77" s="1" t="s">
        <v>157</v>
      </c>
      <c r="I77" s="1"/>
      <c r="J77" s="1"/>
      <c r="K77" s="84" t="s">
        <v>13</v>
      </c>
      <c r="L77" s="84"/>
      <c r="N77" s="2" t="s">
        <v>19</v>
      </c>
      <c r="O77" s="71"/>
      <c r="P77" s="71"/>
      <c r="Q77" s="71"/>
      <c r="R77" s="71"/>
      <c r="S77" s="84"/>
      <c r="T77" s="1" t="s">
        <v>157</v>
      </c>
      <c r="U77" s="71"/>
      <c r="V77" s="71"/>
      <c r="W77" s="71"/>
      <c r="X77" s="84" t="s">
        <v>13</v>
      </c>
    </row>
    <row r="78" spans="1:29" ht="14.25" thickBot="1" x14ac:dyDescent="0.2">
      <c r="A78" s="5" t="s">
        <v>0</v>
      </c>
      <c r="B78" s="322" t="s">
        <v>32</v>
      </c>
      <c r="C78" s="323"/>
      <c r="D78" s="323"/>
      <c r="E78" s="323"/>
      <c r="F78" s="324"/>
      <c r="G78" s="325" t="s">
        <v>31</v>
      </c>
      <c r="H78" s="326"/>
      <c r="I78" s="326"/>
      <c r="J78" s="326"/>
      <c r="K78" s="327"/>
      <c r="L78" s="320" t="s">
        <v>30</v>
      </c>
      <c r="N78" s="5" t="s">
        <v>0</v>
      </c>
      <c r="O78" s="322" t="s">
        <v>200</v>
      </c>
      <c r="P78" s="323"/>
      <c r="Q78" s="323"/>
      <c r="R78" s="323"/>
      <c r="S78" s="324"/>
      <c r="T78" s="325" t="s">
        <v>201</v>
      </c>
      <c r="U78" s="326"/>
      <c r="V78" s="326"/>
      <c r="W78" s="326"/>
      <c r="X78" s="327"/>
      <c r="Y78" s="320" t="s">
        <v>30</v>
      </c>
    </row>
    <row r="79" spans="1:29" ht="14.25" thickBot="1" x14ac:dyDescent="0.2">
      <c r="A79" s="5" t="s">
        <v>1</v>
      </c>
      <c r="B79" s="3" t="s">
        <v>22</v>
      </c>
      <c r="C79" s="28" t="s">
        <v>23</v>
      </c>
      <c r="D79" s="4" t="s">
        <v>24</v>
      </c>
      <c r="E79" s="15" t="s">
        <v>25</v>
      </c>
      <c r="F79" s="19" t="s">
        <v>2</v>
      </c>
      <c r="G79" s="3" t="s">
        <v>22</v>
      </c>
      <c r="H79" s="28" t="s">
        <v>23</v>
      </c>
      <c r="I79" s="4" t="s">
        <v>24</v>
      </c>
      <c r="J79" s="15" t="s">
        <v>25</v>
      </c>
      <c r="K79" s="19" t="s">
        <v>2</v>
      </c>
      <c r="L79" s="321"/>
      <c r="N79" s="5" t="s">
        <v>1</v>
      </c>
      <c r="O79" s="3" t="s">
        <v>22</v>
      </c>
      <c r="P79" s="28" t="s">
        <v>23</v>
      </c>
      <c r="Q79" s="4" t="s">
        <v>24</v>
      </c>
      <c r="R79" s="15" t="s">
        <v>25</v>
      </c>
      <c r="S79" s="19" t="s">
        <v>2</v>
      </c>
      <c r="T79" s="3" t="s">
        <v>22</v>
      </c>
      <c r="U79" s="28" t="s">
        <v>23</v>
      </c>
      <c r="V79" s="4" t="s">
        <v>24</v>
      </c>
      <c r="W79" s="15" t="s">
        <v>25</v>
      </c>
      <c r="X79" s="19" t="s">
        <v>2</v>
      </c>
      <c r="Y79" s="321"/>
    </row>
    <row r="80" spans="1:29" x14ac:dyDescent="0.15">
      <c r="A80" s="78" t="s">
        <v>10</v>
      </c>
      <c r="B80" s="79">
        <f>B74</f>
        <v>5</v>
      </c>
      <c r="C80" s="80">
        <f>C74</f>
        <v>4</v>
      </c>
      <c r="D80" s="80">
        <f>D74</f>
        <v>2</v>
      </c>
      <c r="E80" s="81">
        <f>E74</f>
        <v>5</v>
      </c>
      <c r="F80" s="82">
        <f>SUM(B80:E80)</f>
        <v>16</v>
      </c>
      <c r="G80" s="79">
        <f>G74</f>
        <v>3</v>
      </c>
      <c r="H80" s="80">
        <f>H74</f>
        <v>5</v>
      </c>
      <c r="I80" s="80">
        <f>I74</f>
        <v>6</v>
      </c>
      <c r="J80" s="81">
        <f>J74</f>
        <v>6</v>
      </c>
      <c r="K80" s="82">
        <f>SUM(G80:J80)</f>
        <v>20</v>
      </c>
      <c r="L80" s="98">
        <f>F80+K80</f>
        <v>36</v>
      </c>
      <c r="N80" s="78" t="s">
        <v>10</v>
      </c>
      <c r="O80" s="79">
        <f>O74</f>
        <v>47</v>
      </c>
      <c r="P80" s="80">
        <f>P74</f>
        <v>51</v>
      </c>
      <c r="Q80" s="80">
        <f>Q74</f>
        <v>55</v>
      </c>
      <c r="R80" s="81">
        <f>R74</f>
        <v>25</v>
      </c>
      <c r="S80" s="82">
        <f>SUM(O80:R80)</f>
        <v>178</v>
      </c>
      <c r="T80" s="79">
        <f>T74</f>
        <v>58</v>
      </c>
      <c r="U80" s="80">
        <f>U74</f>
        <v>64</v>
      </c>
      <c r="V80" s="80">
        <f>V74</f>
        <v>63</v>
      </c>
      <c r="W80" s="81">
        <f>W74</f>
        <v>36</v>
      </c>
      <c r="X80" s="82">
        <f>SUM(T80:W80)</f>
        <v>221</v>
      </c>
      <c r="Y80" s="98">
        <f>S80+X80</f>
        <v>399</v>
      </c>
    </row>
    <row r="81" spans="1:27" x14ac:dyDescent="0.15">
      <c r="A81" s="12" t="s">
        <v>66</v>
      </c>
      <c r="B81" s="51"/>
      <c r="C81" s="52"/>
      <c r="D81" s="53">
        <v>3</v>
      </c>
      <c r="E81" s="54"/>
      <c r="F81" s="61">
        <f>SUM(B81:E81)</f>
        <v>3</v>
      </c>
      <c r="G81" s="51">
        <v>1</v>
      </c>
      <c r="H81" s="52"/>
      <c r="I81" s="53"/>
      <c r="J81" s="54"/>
      <c r="K81" s="61">
        <f>SUM(G81:J81)</f>
        <v>1</v>
      </c>
      <c r="L81" s="99">
        <f t="shared" ref="L81:L112" si="54">F81+K81</f>
        <v>4</v>
      </c>
      <c r="M81" s="56">
        <v>45693</v>
      </c>
      <c r="N81" s="47" t="s">
        <v>33</v>
      </c>
      <c r="O81" s="41">
        <v>40</v>
      </c>
      <c r="P81" s="42">
        <v>40</v>
      </c>
      <c r="Q81" s="43">
        <v>30</v>
      </c>
      <c r="R81" s="44">
        <v>40</v>
      </c>
      <c r="S81" s="70">
        <f>SUM(O81:R81)</f>
        <v>150</v>
      </c>
      <c r="T81" s="41">
        <v>20</v>
      </c>
      <c r="U81" s="42">
        <v>30</v>
      </c>
      <c r="V81" s="43">
        <v>20</v>
      </c>
      <c r="W81" s="44">
        <v>20</v>
      </c>
      <c r="X81" s="70">
        <f>SUM(T81:W81)</f>
        <v>90</v>
      </c>
      <c r="Y81" s="99">
        <f t="shared" ref="Y81:Y112" si="55">S81+X81</f>
        <v>240</v>
      </c>
      <c r="Z81" s="56" t="s">
        <v>130</v>
      </c>
    </row>
    <row r="82" spans="1:27" x14ac:dyDescent="0.15">
      <c r="A82" s="12" t="s">
        <v>4</v>
      </c>
      <c r="B82" s="6"/>
      <c r="C82" s="18">
        <v>5</v>
      </c>
      <c r="D82" s="7"/>
      <c r="E82" s="8"/>
      <c r="F82" s="9">
        <f>SUM(B82:E82)</f>
        <v>5</v>
      </c>
      <c r="G82" s="6"/>
      <c r="H82" s="18"/>
      <c r="I82" s="7"/>
      <c r="J82" s="8"/>
      <c r="K82" s="9">
        <f>SUM(G82:J82)</f>
        <v>0</v>
      </c>
      <c r="L82" s="100">
        <f t="shared" si="54"/>
        <v>5</v>
      </c>
      <c r="M82" s="56">
        <v>45698</v>
      </c>
      <c r="N82" s="12" t="s">
        <v>3</v>
      </c>
      <c r="O82" s="16"/>
      <c r="P82" s="29"/>
      <c r="Q82" s="17"/>
      <c r="R82" s="20"/>
      <c r="S82" s="45">
        <f>SUM(O82:R82)</f>
        <v>0</v>
      </c>
      <c r="T82" s="16"/>
      <c r="U82" s="29"/>
      <c r="V82" s="17"/>
      <c r="W82" s="20"/>
      <c r="X82" s="45">
        <f>SUM(T82:W82)</f>
        <v>0</v>
      </c>
      <c r="Y82" s="100">
        <f t="shared" si="55"/>
        <v>0</v>
      </c>
      <c r="Z82" s="157" t="s">
        <v>88</v>
      </c>
    </row>
    <row r="83" spans="1:27" x14ac:dyDescent="0.15">
      <c r="A83" s="12" t="s">
        <v>5</v>
      </c>
      <c r="B83" s="6">
        <v>5</v>
      </c>
      <c r="C83" s="18"/>
      <c r="D83" s="7"/>
      <c r="E83" s="8"/>
      <c r="F83" s="9">
        <f>SUM(B83:E83)</f>
        <v>5</v>
      </c>
      <c r="G83" s="6">
        <v>3</v>
      </c>
      <c r="H83" s="18">
        <v>3</v>
      </c>
      <c r="I83" s="7">
        <v>3</v>
      </c>
      <c r="J83" s="8"/>
      <c r="K83" s="9">
        <f>SUM(G83:J83)</f>
        <v>9</v>
      </c>
      <c r="L83" s="100">
        <f t="shared" si="54"/>
        <v>14</v>
      </c>
      <c r="M83" s="56">
        <v>45701</v>
      </c>
      <c r="N83" s="12" t="s">
        <v>34</v>
      </c>
      <c r="O83" s="16">
        <v>40</v>
      </c>
      <c r="P83" s="29">
        <v>50</v>
      </c>
      <c r="Q83" s="17">
        <v>30</v>
      </c>
      <c r="R83" s="20">
        <v>30</v>
      </c>
      <c r="S83" s="45">
        <f>SUM(O83:R83)</f>
        <v>150</v>
      </c>
      <c r="T83" s="16">
        <v>20</v>
      </c>
      <c r="U83" s="29">
        <v>30</v>
      </c>
      <c r="V83" s="17">
        <v>30</v>
      </c>
      <c r="W83" s="20">
        <v>30</v>
      </c>
      <c r="X83" s="45">
        <f>SUM(T83:W83)</f>
        <v>110</v>
      </c>
      <c r="Y83" s="100">
        <f t="shared" si="55"/>
        <v>260</v>
      </c>
      <c r="Z83" s="56" t="s">
        <v>130</v>
      </c>
    </row>
    <row r="84" spans="1:27" ht="14.25" thickBot="1" x14ac:dyDescent="0.2">
      <c r="A84" s="12" t="s">
        <v>66</v>
      </c>
      <c r="B84" s="6"/>
      <c r="C84" s="18"/>
      <c r="D84" s="7">
        <v>1</v>
      </c>
      <c r="E84" s="8"/>
      <c r="F84" s="10">
        <f>SUM(B84:E84)</f>
        <v>1</v>
      </c>
      <c r="G84" s="6"/>
      <c r="H84" s="18"/>
      <c r="I84" s="7">
        <v>1</v>
      </c>
      <c r="J84" s="8"/>
      <c r="K84" s="10">
        <f>SUM(G84:J84)</f>
        <v>1</v>
      </c>
      <c r="L84" s="101">
        <f t="shared" si="54"/>
        <v>2</v>
      </c>
      <c r="M84" s="58">
        <v>45702</v>
      </c>
      <c r="N84" s="12" t="s">
        <v>47</v>
      </c>
      <c r="O84" s="37"/>
      <c r="P84" s="38"/>
      <c r="Q84" s="39"/>
      <c r="R84" s="40"/>
      <c r="S84" s="46">
        <f>SUM(O84:R84)</f>
        <v>0</v>
      </c>
      <c r="T84" s="37">
        <v>2</v>
      </c>
      <c r="U84" s="38">
        <v>1</v>
      </c>
      <c r="V84" s="39">
        <v>2</v>
      </c>
      <c r="W84" s="40">
        <v>1</v>
      </c>
      <c r="X84" s="46">
        <f>SUM(T84:W84)</f>
        <v>6</v>
      </c>
      <c r="Y84" s="101">
        <f t="shared" si="55"/>
        <v>6</v>
      </c>
      <c r="Z84" s="157"/>
    </row>
    <row r="85" spans="1:27" ht="14.25" thickBot="1" x14ac:dyDescent="0.2">
      <c r="A85" s="14" t="s">
        <v>7</v>
      </c>
      <c r="B85" s="62">
        <f t="shared" ref="B85:F85" si="56">SUM(B80:B84)</f>
        <v>10</v>
      </c>
      <c r="C85" s="63">
        <f t="shared" si="56"/>
        <v>9</v>
      </c>
      <c r="D85" s="64">
        <f t="shared" si="56"/>
        <v>6</v>
      </c>
      <c r="E85" s="65">
        <f t="shared" si="56"/>
        <v>5</v>
      </c>
      <c r="F85" s="66">
        <f t="shared" si="56"/>
        <v>30</v>
      </c>
      <c r="G85" s="62">
        <f t="shared" ref="G85:K85" si="57">SUM(G80:G84)</f>
        <v>7</v>
      </c>
      <c r="H85" s="63">
        <f t="shared" si="57"/>
        <v>8</v>
      </c>
      <c r="I85" s="64">
        <f t="shared" si="57"/>
        <v>10</v>
      </c>
      <c r="J85" s="65">
        <f t="shared" si="57"/>
        <v>6</v>
      </c>
      <c r="K85" s="66">
        <f t="shared" si="57"/>
        <v>31</v>
      </c>
      <c r="L85" s="102">
        <f t="shared" si="54"/>
        <v>61</v>
      </c>
      <c r="N85" s="13" t="s">
        <v>7</v>
      </c>
      <c r="O85" s="25">
        <f t="shared" ref="O85:S85" si="58">SUM(O80:O84)</f>
        <v>127</v>
      </c>
      <c r="P85" s="31">
        <f t="shared" si="58"/>
        <v>141</v>
      </c>
      <c r="Q85" s="26">
        <f t="shared" si="58"/>
        <v>115</v>
      </c>
      <c r="R85" s="67">
        <f t="shared" si="58"/>
        <v>95</v>
      </c>
      <c r="S85" s="68">
        <f t="shared" si="58"/>
        <v>478</v>
      </c>
      <c r="T85" s="25">
        <f t="shared" ref="T85:X85" si="59">SUM(T80:T84)</f>
        <v>100</v>
      </c>
      <c r="U85" s="31">
        <f t="shared" si="59"/>
        <v>125</v>
      </c>
      <c r="V85" s="26">
        <f t="shared" si="59"/>
        <v>115</v>
      </c>
      <c r="W85" s="67">
        <f t="shared" si="59"/>
        <v>87</v>
      </c>
      <c r="X85" s="68">
        <f t="shared" si="59"/>
        <v>427</v>
      </c>
      <c r="Y85" s="102">
        <f t="shared" si="55"/>
        <v>905</v>
      </c>
    </row>
    <row r="86" spans="1:27" x14ac:dyDescent="0.15">
      <c r="A86" s="33" t="s">
        <v>132</v>
      </c>
      <c r="B86" s="16"/>
      <c r="C86" s="29">
        <v>3</v>
      </c>
      <c r="D86" s="17">
        <v>1</v>
      </c>
      <c r="E86" s="20"/>
      <c r="F86" s="45">
        <f t="shared" ref="F86" si="60">SUM(B86:E86)</f>
        <v>4</v>
      </c>
      <c r="G86" s="16"/>
      <c r="H86" s="29">
        <v>1</v>
      </c>
      <c r="I86" s="17"/>
      <c r="J86" s="20"/>
      <c r="K86" s="45">
        <f t="shared" ref="K86" si="61">SUM(G86:J86)</f>
        <v>1</v>
      </c>
      <c r="L86" s="104">
        <f t="shared" si="54"/>
        <v>5</v>
      </c>
      <c r="M86" s="56">
        <v>45698</v>
      </c>
      <c r="N86" s="33" t="s">
        <v>39</v>
      </c>
      <c r="O86" s="16"/>
      <c r="P86" s="29">
        <v>5</v>
      </c>
      <c r="Q86" s="17"/>
      <c r="R86" s="32"/>
      <c r="S86" s="9">
        <f>SUM(O86:R86)</f>
        <v>5</v>
      </c>
      <c r="T86" s="16"/>
      <c r="U86" s="29"/>
      <c r="V86" s="17"/>
      <c r="W86" s="32"/>
      <c r="X86" s="9">
        <f>SUM(T86:W86)</f>
        <v>0</v>
      </c>
      <c r="Y86" s="104">
        <f t="shared" si="55"/>
        <v>5</v>
      </c>
      <c r="Z86" s="56">
        <v>45698</v>
      </c>
      <c r="AA86" s="34"/>
    </row>
    <row r="87" spans="1:27" x14ac:dyDescent="0.15">
      <c r="A87" s="47" t="s">
        <v>51</v>
      </c>
      <c r="B87" s="16">
        <v>1</v>
      </c>
      <c r="C87" s="29"/>
      <c r="D87" s="17"/>
      <c r="E87" s="20"/>
      <c r="F87" s="45">
        <f t="shared" ref="F87:F110" si="62">SUM(B87:E87)</f>
        <v>1</v>
      </c>
      <c r="G87" s="16"/>
      <c r="H87" s="29"/>
      <c r="I87" s="17"/>
      <c r="J87" s="20"/>
      <c r="K87" s="45">
        <f t="shared" ref="K87:K110" si="63">SUM(G87:J87)</f>
        <v>0</v>
      </c>
      <c r="L87" s="104">
        <f t="shared" si="54"/>
        <v>1</v>
      </c>
      <c r="M87" s="56">
        <v>45695</v>
      </c>
      <c r="N87" s="33" t="s">
        <v>39</v>
      </c>
      <c r="O87" s="16">
        <v>5</v>
      </c>
      <c r="P87" s="29"/>
      <c r="Q87" s="17"/>
      <c r="R87" s="32"/>
      <c r="S87" s="9">
        <f>SUM(O87:R87)</f>
        <v>5</v>
      </c>
      <c r="T87" s="16">
        <v>3</v>
      </c>
      <c r="U87" s="29">
        <v>3</v>
      </c>
      <c r="V87" s="17">
        <v>3</v>
      </c>
      <c r="W87" s="32"/>
      <c r="X87" s="9">
        <f>SUM(T87:W87)</f>
        <v>9</v>
      </c>
      <c r="Y87" s="104">
        <f t="shared" si="55"/>
        <v>14</v>
      </c>
      <c r="Z87" s="56">
        <v>45701</v>
      </c>
      <c r="AA87" s="34"/>
    </row>
    <row r="88" spans="1:27" x14ac:dyDescent="0.15">
      <c r="A88" s="33" t="s">
        <v>133</v>
      </c>
      <c r="B88" s="16"/>
      <c r="C88" s="29"/>
      <c r="D88" s="17"/>
      <c r="E88" s="20"/>
      <c r="F88" s="45">
        <f t="shared" si="62"/>
        <v>0</v>
      </c>
      <c r="G88" s="16">
        <v>1</v>
      </c>
      <c r="H88" s="29"/>
      <c r="I88" s="17">
        <v>1</v>
      </c>
      <c r="J88" s="20">
        <v>1</v>
      </c>
      <c r="K88" s="45">
        <f t="shared" si="63"/>
        <v>3</v>
      </c>
      <c r="L88" s="104">
        <f t="shared" si="54"/>
        <v>3</v>
      </c>
      <c r="M88" s="56">
        <v>45700</v>
      </c>
      <c r="N88" s="33" t="s">
        <v>39</v>
      </c>
      <c r="O88" s="16"/>
      <c r="P88" s="29">
        <v>2</v>
      </c>
      <c r="Q88" s="17"/>
      <c r="R88" s="32">
        <v>2</v>
      </c>
      <c r="S88" s="9">
        <f t="shared" ref="S88" si="64">SUM(O88:R88)</f>
        <v>4</v>
      </c>
      <c r="T88" s="16"/>
      <c r="U88" s="29">
        <v>2</v>
      </c>
      <c r="V88" s="17"/>
      <c r="W88" s="32"/>
      <c r="X88" s="9">
        <f t="shared" ref="X88" si="65">SUM(T88:W88)</f>
        <v>2</v>
      </c>
      <c r="Y88" s="104">
        <f t="shared" si="55"/>
        <v>6</v>
      </c>
      <c r="Z88" s="56">
        <v>45706</v>
      </c>
      <c r="AA88" s="34"/>
    </row>
    <row r="89" spans="1:27" x14ac:dyDescent="0.15">
      <c r="A89" s="47" t="s">
        <v>51</v>
      </c>
      <c r="B89" s="16"/>
      <c r="C89" s="29"/>
      <c r="D89" s="17"/>
      <c r="E89" s="20"/>
      <c r="F89" s="45">
        <f t="shared" si="62"/>
        <v>0</v>
      </c>
      <c r="G89" s="16"/>
      <c r="H89" s="29"/>
      <c r="I89" s="17">
        <v>1</v>
      </c>
      <c r="J89" s="20"/>
      <c r="K89" s="45">
        <f t="shared" si="63"/>
        <v>1</v>
      </c>
      <c r="L89" s="104">
        <f t="shared" si="54"/>
        <v>1</v>
      </c>
      <c r="M89" s="56">
        <v>45698</v>
      </c>
      <c r="N89" s="33" t="s">
        <v>153</v>
      </c>
      <c r="O89" s="16"/>
      <c r="P89" s="29"/>
      <c r="Q89" s="17">
        <v>5</v>
      </c>
      <c r="R89" s="32"/>
      <c r="S89" s="9">
        <f t="shared" ref="S89:S91" si="66">SUM(O89:R89)</f>
        <v>5</v>
      </c>
      <c r="T89" s="16"/>
      <c r="U89" s="29">
        <v>1</v>
      </c>
      <c r="V89" s="17">
        <v>1</v>
      </c>
      <c r="W89" s="32">
        <v>1</v>
      </c>
      <c r="X89" s="9">
        <f t="shared" ref="X89:X91" si="67">SUM(T89:W89)</f>
        <v>3</v>
      </c>
      <c r="Y89" s="104">
        <f t="shared" si="55"/>
        <v>8</v>
      </c>
      <c r="Z89" s="56">
        <v>45709</v>
      </c>
      <c r="AA89" s="34"/>
    </row>
    <row r="90" spans="1:27" x14ac:dyDescent="0.15">
      <c r="A90" s="33" t="s">
        <v>135</v>
      </c>
      <c r="B90" s="16">
        <v>2</v>
      </c>
      <c r="C90" s="29"/>
      <c r="D90" s="17"/>
      <c r="E90" s="20"/>
      <c r="F90" s="45">
        <f t="shared" si="62"/>
        <v>2</v>
      </c>
      <c r="G90" s="16"/>
      <c r="H90" s="29">
        <v>2</v>
      </c>
      <c r="I90" s="17">
        <v>1</v>
      </c>
      <c r="J90" s="20"/>
      <c r="K90" s="45">
        <f t="shared" si="63"/>
        <v>3</v>
      </c>
      <c r="L90" s="104">
        <f t="shared" si="54"/>
        <v>5</v>
      </c>
      <c r="M90" s="56">
        <v>45702</v>
      </c>
      <c r="N90" s="137" t="s">
        <v>154</v>
      </c>
      <c r="O90" s="16"/>
      <c r="P90" s="29"/>
      <c r="Q90" s="17"/>
      <c r="R90" s="32">
        <v>1</v>
      </c>
      <c r="S90" s="9">
        <f t="shared" si="66"/>
        <v>1</v>
      </c>
      <c r="T90" s="16"/>
      <c r="U90" s="29"/>
      <c r="V90" s="17"/>
      <c r="W90" s="32"/>
      <c r="X90" s="9">
        <f t="shared" si="67"/>
        <v>0</v>
      </c>
      <c r="Y90" s="104">
        <f t="shared" si="55"/>
        <v>1</v>
      </c>
      <c r="Z90" s="56">
        <v>45709</v>
      </c>
      <c r="AA90" s="34"/>
    </row>
    <row r="91" spans="1:27" x14ac:dyDescent="0.15">
      <c r="A91" s="47" t="s">
        <v>136</v>
      </c>
      <c r="B91" s="16">
        <v>1</v>
      </c>
      <c r="C91" s="29"/>
      <c r="D91" s="17"/>
      <c r="E91" s="20"/>
      <c r="F91" s="45">
        <f t="shared" si="62"/>
        <v>1</v>
      </c>
      <c r="G91" s="16">
        <v>1</v>
      </c>
      <c r="H91" s="29"/>
      <c r="I91" s="17"/>
      <c r="J91" s="20"/>
      <c r="K91" s="45">
        <f t="shared" si="63"/>
        <v>1</v>
      </c>
      <c r="L91" s="104">
        <f t="shared" si="54"/>
        <v>2</v>
      </c>
      <c r="M91" s="56">
        <v>45701</v>
      </c>
      <c r="N91" s="33" t="s">
        <v>39</v>
      </c>
      <c r="O91" s="16"/>
      <c r="P91" s="29"/>
      <c r="Q91" s="17">
        <v>3</v>
      </c>
      <c r="R91" s="32"/>
      <c r="S91" s="9">
        <f t="shared" si="66"/>
        <v>3</v>
      </c>
      <c r="T91" s="16"/>
      <c r="U91" s="29"/>
      <c r="V91" s="17"/>
      <c r="W91" s="32"/>
      <c r="X91" s="9">
        <f t="shared" si="67"/>
        <v>0</v>
      </c>
      <c r="Y91" s="104">
        <f t="shared" si="55"/>
        <v>3</v>
      </c>
      <c r="Z91" s="56">
        <v>45708</v>
      </c>
      <c r="AA91" s="34"/>
    </row>
    <row r="92" spans="1:27" x14ac:dyDescent="0.15">
      <c r="A92" s="47" t="s">
        <v>51</v>
      </c>
      <c r="B92" s="16"/>
      <c r="C92" s="29">
        <v>1</v>
      </c>
      <c r="D92" s="17">
        <v>1</v>
      </c>
      <c r="E92" s="20"/>
      <c r="F92" s="45">
        <f t="shared" si="62"/>
        <v>2</v>
      </c>
      <c r="G92" s="16"/>
      <c r="H92" s="29"/>
      <c r="I92" s="17"/>
      <c r="J92" s="20"/>
      <c r="K92" s="45">
        <f t="shared" si="63"/>
        <v>0</v>
      </c>
      <c r="L92" s="104">
        <f t="shared" si="54"/>
        <v>2</v>
      </c>
      <c r="M92" s="56">
        <v>45700</v>
      </c>
      <c r="N92" s="33" t="s">
        <v>155</v>
      </c>
      <c r="O92" s="16">
        <v>1</v>
      </c>
      <c r="P92" s="29">
        <v>4</v>
      </c>
      <c r="Q92" s="17">
        <v>3</v>
      </c>
      <c r="R92" s="32">
        <v>2</v>
      </c>
      <c r="S92" s="9">
        <f>SUM(O92:R92)</f>
        <v>10</v>
      </c>
      <c r="T92" s="16">
        <v>1</v>
      </c>
      <c r="U92" s="29">
        <v>3</v>
      </c>
      <c r="V92" s="17">
        <v>1</v>
      </c>
      <c r="W92" s="32">
        <v>2</v>
      </c>
      <c r="X92" s="9">
        <f>SUM(T92:W92)</f>
        <v>7</v>
      </c>
      <c r="Y92" s="104">
        <f t="shared" si="55"/>
        <v>17</v>
      </c>
      <c r="Z92" s="56">
        <v>45709</v>
      </c>
      <c r="AA92" s="34"/>
    </row>
    <row r="93" spans="1:27" x14ac:dyDescent="0.15">
      <c r="A93" s="33" t="s">
        <v>137</v>
      </c>
      <c r="B93" s="16"/>
      <c r="C93" s="29">
        <v>1</v>
      </c>
      <c r="D93" s="17"/>
      <c r="E93" s="20">
        <v>2</v>
      </c>
      <c r="F93" s="45">
        <f t="shared" si="62"/>
        <v>3</v>
      </c>
      <c r="G93" s="16"/>
      <c r="H93" s="29">
        <v>1</v>
      </c>
      <c r="I93" s="17"/>
      <c r="J93" s="20"/>
      <c r="K93" s="45">
        <f t="shared" si="63"/>
        <v>1</v>
      </c>
      <c r="L93" s="104">
        <f t="shared" si="54"/>
        <v>4</v>
      </c>
      <c r="M93" s="56">
        <v>45702</v>
      </c>
      <c r="N93" s="33" t="s">
        <v>39</v>
      </c>
      <c r="O93" s="16"/>
      <c r="P93" s="29"/>
      <c r="Q93" s="17"/>
      <c r="R93" s="32">
        <v>5</v>
      </c>
      <c r="S93" s="9">
        <f t="shared" ref="S93" si="68">SUM(O93:R93)</f>
        <v>5</v>
      </c>
      <c r="T93" s="16"/>
      <c r="U93" s="29"/>
      <c r="V93" s="17"/>
      <c r="W93" s="32">
        <v>5</v>
      </c>
      <c r="X93" s="9">
        <f t="shared" ref="X93" si="69">SUM(T93:W93)</f>
        <v>5</v>
      </c>
      <c r="Y93" s="104">
        <f t="shared" si="55"/>
        <v>10</v>
      </c>
      <c r="Z93" s="56">
        <v>45715</v>
      </c>
      <c r="AA93" s="34"/>
    </row>
    <row r="94" spans="1:27" x14ac:dyDescent="0.15">
      <c r="A94" s="137" t="s">
        <v>138</v>
      </c>
      <c r="B94" s="16"/>
      <c r="C94" s="29"/>
      <c r="D94" s="17"/>
      <c r="E94" s="20"/>
      <c r="F94" s="45">
        <f t="shared" si="62"/>
        <v>0</v>
      </c>
      <c r="G94" s="16"/>
      <c r="H94" s="29"/>
      <c r="I94" s="17"/>
      <c r="J94" s="20">
        <v>1</v>
      </c>
      <c r="K94" s="45">
        <f t="shared" si="63"/>
        <v>1</v>
      </c>
      <c r="L94" s="104">
        <f t="shared" si="54"/>
        <v>1</v>
      </c>
      <c r="M94" s="56">
        <v>45702</v>
      </c>
      <c r="N94" s="33" t="s">
        <v>39</v>
      </c>
      <c r="O94" s="16">
        <v>5</v>
      </c>
      <c r="P94" s="29"/>
      <c r="Q94" s="17"/>
      <c r="R94" s="32"/>
      <c r="S94" s="9">
        <f>SUM(O94:R94)</f>
        <v>5</v>
      </c>
      <c r="T94" s="16"/>
      <c r="U94" s="29"/>
      <c r="V94" s="17"/>
      <c r="W94" s="32"/>
      <c r="X94" s="9">
        <f>SUM(T94:W94)</f>
        <v>0</v>
      </c>
      <c r="Y94" s="104">
        <f t="shared" si="55"/>
        <v>5</v>
      </c>
      <c r="Z94" s="56">
        <v>45716</v>
      </c>
      <c r="AA94" s="34"/>
    </row>
    <row r="95" spans="1:27" x14ac:dyDescent="0.15">
      <c r="A95" s="33" t="s">
        <v>143</v>
      </c>
      <c r="B95" s="16"/>
      <c r="C95" s="29">
        <v>1</v>
      </c>
      <c r="D95" s="17"/>
      <c r="E95" s="20"/>
      <c r="F95" s="45">
        <f t="shared" si="62"/>
        <v>1</v>
      </c>
      <c r="G95" s="16"/>
      <c r="H95" s="29"/>
      <c r="I95" s="17"/>
      <c r="J95" s="20"/>
      <c r="K95" s="45">
        <f t="shared" si="63"/>
        <v>0</v>
      </c>
      <c r="L95" s="104">
        <f t="shared" si="54"/>
        <v>1</v>
      </c>
      <c r="M95" s="56">
        <v>45705</v>
      </c>
      <c r="N95" s="33"/>
      <c r="O95" s="16"/>
      <c r="P95" s="29"/>
      <c r="Q95" s="17"/>
      <c r="R95" s="32"/>
      <c r="S95" s="9">
        <f t="shared" ref="S95:S97" si="70">SUM(O95:R95)</f>
        <v>0</v>
      </c>
      <c r="T95" s="16"/>
      <c r="U95" s="29"/>
      <c r="V95" s="17"/>
      <c r="W95" s="32"/>
      <c r="X95" s="9">
        <f t="shared" ref="X95:X97" si="71">SUM(T95:W95)</f>
        <v>0</v>
      </c>
      <c r="Y95" s="104">
        <f t="shared" si="55"/>
        <v>0</v>
      </c>
      <c r="Z95" s="56"/>
      <c r="AA95" s="34"/>
    </row>
    <row r="96" spans="1:27" x14ac:dyDescent="0.15">
      <c r="A96" s="137" t="s">
        <v>144</v>
      </c>
      <c r="B96" s="16">
        <v>1</v>
      </c>
      <c r="C96" s="29"/>
      <c r="D96" s="17"/>
      <c r="E96" s="20"/>
      <c r="F96" s="45">
        <f t="shared" si="62"/>
        <v>1</v>
      </c>
      <c r="G96" s="16"/>
      <c r="H96" s="29"/>
      <c r="I96" s="17"/>
      <c r="J96" s="20"/>
      <c r="K96" s="45">
        <f t="shared" si="63"/>
        <v>0</v>
      </c>
      <c r="L96" s="104">
        <f t="shared" si="54"/>
        <v>1</v>
      </c>
      <c r="M96" s="56">
        <v>45705</v>
      </c>
      <c r="N96" s="33"/>
      <c r="O96" s="16"/>
      <c r="P96" s="29"/>
      <c r="Q96" s="17"/>
      <c r="R96" s="32"/>
      <c r="S96" s="9">
        <f t="shared" si="70"/>
        <v>0</v>
      </c>
      <c r="T96" s="16"/>
      <c r="U96" s="29"/>
      <c r="V96" s="17"/>
      <c r="W96" s="32"/>
      <c r="X96" s="9">
        <f t="shared" si="71"/>
        <v>0</v>
      </c>
      <c r="Y96" s="104">
        <f t="shared" si="55"/>
        <v>0</v>
      </c>
      <c r="Z96" s="56"/>
      <c r="AA96" s="34"/>
    </row>
    <row r="97" spans="1:27" x14ac:dyDescent="0.15">
      <c r="A97" s="47" t="s">
        <v>51</v>
      </c>
      <c r="B97" s="16"/>
      <c r="C97" s="29"/>
      <c r="D97" s="17"/>
      <c r="E97" s="20"/>
      <c r="F97" s="45">
        <f t="shared" si="62"/>
        <v>0</v>
      </c>
      <c r="G97" s="16"/>
      <c r="H97" s="29">
        <v>1</v>
      </c>
      <c r="I97" s="17"/>
      <c r="J97" s="20"/>
      <c r="K97" s="45">
        <f t="shared" si="63"/>
        <v>1</v>
      </c>
      <c r="L97" s="104">
        <f t="shared" si="54"/>
        <v>1</v>
      </c>
      <c r="M97" s="56">
        <v>45703</v>
      </c>
      <c r="N97" s="72"/>
      <c r="O97" s="16"/>
      <c r="P97" s="29"/>
      <c r="Q97" s="17"/>
      <c r="R97" s="32"/>
      <c r="S97" s="9">
        <f t="shared" si="70"/>
        <v>0</v>
      </c>
      <c r="T97" s="16"/>
      <c r="U97" s="29"/>
      <c r="V97" s="17"/>
      <c r="W97" s="32"/>
      <c r="X97" s="9">
        <f t="shared" si="71"/>
        <v>0</v>
      </c>
      <c r="Y97" s="104">
        <f t="shared" si="55"/>
        <v>0</v>
      </c>
      <c r="Z97" s="56"/>
      <c r="AA97" s="34"/>
    </row>
    <row r="98" spans="1:27" x14ac:dyDescent="0.15">
      <c r="A98" s="33" t="s">
        <v>148</v>
      </c>
      <c r="B98" s="16"/>
      <c r="C98" s="29"/>
      <c r="D98" s="17"/>
      <c r="E98" s="20"/>
      <c r="F98" s="45">
        <f t="shared" si="62"/>
        <v>0</v>
      </c>
      <c r="G98" s="16"/>
      <c r="H98" s="29">
        <v>1</v>
      </c>
      <c r="I98" s="17"/>
      <c r="J98" s="20"/>
      <c r="K98" s="45">
        <f t="shared" si="63"/>
        <v>1</v>
      </c>
      <c r="L98" s="104">
        <f t="shared" si="54"/>
        <v>1</v>
      </c>
      <c r="M98" s="56">
        <v>45707</v>
      </c>
      <c r="N98" s="33"/>
      <c r="O98" s="16"/>
      <c r="P98" s="29"/>
      <c r="Q98" s="17"/>
      <c r="R98" s="32"/>
      <c r="S98" s="9">
        <f>SUM(O98:R98)</f>
        <v>0</v>
      </c>
      <c r="T98" s="16"/>
      <c r="U98" s="29"/>
      <c r="V98" s="17"/>
      <c r="W98" s="32"/>
      <c r="X98" s="9">
        <f>SUM(T98:W98)</f>
        <v>0</v>
      </c>
      <c r="Y98" s="104">
        <f t="shared" si="55"/>
        <v>0</v>
      </c>
      <c r="Z98" s="56"/>
      <c r="AA98" s="34"/>
    </row>
    <row r="99" spans="1:27" x14ac:dyDescent="0.15">
      <c r="A99" s="47" t="s">
        <v>51</v>
      </c>
      <c r="B99" s="16"/>
      <c r="C99" s="29"/>
      <c r="D99" s="17">
        <v>1</v>
      </c>
      <c r="E99" s="20"/>
      <c r="F99" s="45">
        <f t="shared" si="62"/>
        <v>1</v>
      </c>
      <c r="G99" s="16"/>
      <c r="H99" s="29"/>
      <c r="I99" s="17"/>
      <c r="J99" s="20"/>
      <c r="K99" s="45">
        <f t="shared" si="63"/>
        <v>0</v>
      </c>
      <c r="L99" s="104">
        <f t="shared" si="54"/>
        <v>1</v>
      </c>
      <c r="M99" s="56">
        <v>45705</v>
      </c>
      <c r="N99" s="72"/>
      <c r="O99" s="16"/>
      <c r="P99" s="29"/>
      <c r="Q99" s="17"/>
      <c r="R99" s="32"/>
      <c r="S99" s="9">
        <f>SUM(O99:R99)</f>
        <v>0</v>
      </c>
      <c r="T99" s="16"/>
      <c r="U99" s="29"/>
      <c r="V99" s="17"/>
      <c r="W99" s="32"/>
      <c r="X99" s="9">
        <f>SUM(T99:W99)</f>
        <v>0</v>
      </c>
      <c r="Y99" s="104">
        <f t="shared" si="55"/>
        <v>0</v>
      </c>
      <c r="Z99" s="56"/>
      <c r="AA99" s="34"/>
    </row>
    <row r="100" spans="1:27" x14ac:dyDescent="0.15">
      <c r="A100" s="33" t="s">
        <v>149</v>
      </c>
      <c r="B100" s="16"/>
      <c r="C100" s="29">
        <v>-2</v>
      </c>
      <c r="D100" s="17"/>
      <c r="E100" s="20">
        <v>-2</v>
      </c>
      <c r="F100" s="45">
        <f t="shared" si="62"/>
        <v>-4</v>
      </c>
      <c r="G100" s="16"/>
      <c r="H100" s="29">
        <v>-2</v>
      </c>
      <c r="I100" s="17"/>
      <c r="J100" s="20"/>
      <c r="K100" s="45">
        <f t="shared" si="63"/>
        <v>-2</v>
      </c>
      <c r="L100" s="104">
        <f t="shared" si="54"/>
        <v>-6</v>
      </c>
      <c r="M100" s="56">
        <v>45706</v>
      </c>
      <c r="N100" s="72"/>
      <c r="O100" s="16"/>
      <c r="P100" s="29"/>
      <c r="Q100" s="17"/>
      <c r="R100" s="32"/>
      <c r="S100" s="9">
        <f t="shared" ref="S100:S103" si="72">SUM(O100:R100)</f>
        <v>0</v>
      </c>
      <c r="T100" s="16"/>
      <c r="U100" s="29"/>
      <c r="V100" s="17"/>
      <c r="W100" s="32"/>
      <c r="X100" s="9">
        <f t="shared" ref="X100:X103" si="73">SUM(T100:W100)</f>
        <v>0</v>
      </c>
      <c r="Y100" s="104">
        <f t="shared" si="55"/>
        <v>0</v>
      </c>
      <c r="Z100" s="56"/>
      <c r="AA100" s="34"/>
    </row>
    <row r="101" spans="1:27" x14ac:dyDescent="0.15">
      <c r="A101" s="33" t="s">
        <v>151</v>
      </c>
      <c r="B101" s="16"/>
      <c r="C101" s="29"/>
      <c r="D101" s="17">
        <v>2</v>
      </c>
      <c r="E101" s="20">
        <v>1</v>
      </c>
      <c r="F101" s="45">
        <f t="shared" si="62"/>
        <v>3</v>
      </c>
      <c r="G101" s="16"/>
      <c r="H101" s="29"/>
      <c r="I101" s="17">
        <v>1</v>
      </c>
      <c r="J101" s="20"/>
      <c r="K101" s="45">
        <f t="shared" si="63"/>
        <v>1</v>
      </c>
      <c r="L101" s="104">
        <f t="shared" si="54"/>
        <v>4</v>
      </c>
      <c r="M101" s="56">
        <v>45708</v>
      </c>
      <c r="N101" s="72"/>
      <c r="O101" s="16"/>
      <c r="P101" s="29"/>
      <c r="Q101" s="17"/>
      <c r="R101" s="32"/>
      <c r="S101" s="9">
        <f t="shared" si="72"/>
        <v>0</v>
      </c>
      <c r="T101" s="16"/>
      <c r="U101" s="29"/>
      <c r="V101" s="17"/>
      <c r="W101" s="32"/>
      <c r="X101" s="9">
        <f t="shared" si="73"/>
        <v>0</v>
      </c>
      <c r="Y101" s="104">
        <f t="shared" si="55"/>
        <v>0</v>
      </c>
      <c r="Z101" s="56"/>
      <c r="AA101" s="34"/>
    </row>
    <row r="102" spans="1:27" x14ac:dyDescent="0.15">
      <c r="A102" s="137" t="s">
        <v>152</v>
      </c>
      <c r="B102" s="16"/>
      <c r="C102" s="29">
        <v>1</v>
      </c>
      <c r="D102" s="17"/>
      <c r="E102" s="20"/>
      <c r="F102" s="45">
        <f t="shared" si="62"/>
        <v>1</v>
      </c>
      <c r="G102" s="16"/>
      <c r="H102" s="29"/>
      <c r="I102" s="17"/>
      <c r="J102" s="20"/>
      <c r="K102" s="45">
        <f t="shared" si="63"/>
        <v>0</v>
      </c>
      <c r="L102" s="104">
        <f t="shared" si="54"/>
        <v>1</v>
      </c>
      <c r="M102" s="56">
        <v>45708</v>
      </c>
      <c r="N102" s="72"/>
      <c r="O102" s="16"/>
      <c r="P102" s="29"/>
      <c r="Q102" s="17"/>
      <c r="R102" s="32"/>
      <c r="S102" s="9">
        <f t="shared" si="72"/>
        <v>0</v>
      </c>
      <c r="T102" s="16"/>
      <c r="U102" s="29"/>
      <c r="V102" s="17"/>
      <c r="W102" s="32"/>
      <c r="X102" s="9">
        <f t="shared" si="73"/>
        <v>0</v>
      </c>
      <c r="Y102" s="104">
        <f t="shared" si="55"/>
        <v>0</v>
      </c>
      <c r="Z102" s="56"/>
      <c r="AA102" s="34"/>
    </row>
    <row r="103" spans="1:27" x14ac:dyDescent="0.15">
      <c r="A103" s="33" t="s">
        <v>119</v>
      </c>
      <c r="B103" s="16"/>
      <c r="C103" s="29"/>
      <c r="D103" s="17">
        <v>-3</v>
      </c>
      <c r="E103" s="20"/>
      <c r="F103" s="45">
        <f t="shared" si="62"/>
        <v>-3</v>
      </c>
      <c r="G103" s="16"/>
      <c r="H103" s="29"/>
      <c r="I103" s="17"/>
      <c r="J103" s="20"/>
      <c r="K103" s="45">
        <f t="shared" si="63"/>
        <v>0</v>
      </c>
      <c r="L103" s="104">
        <f t="shared" si="54"/>
        <v>-3</v>
      </c>
      <c r="M103" s="56">
        <v>45708</v>
      </c>
      <c r="N103" s="72"/>
      <c r="O103" s="41"/>
      <c r="P103" s="42"/>
      <c r="Q103" s="43"/>
      <c r="R103" s="59"/>
      <c r="S103" s="61">
        <f t="shared" si="72"/>
        <v>0</v>
      </c>
      <c r="T103" s="41"/>
      <c r="U103" s="42"/>
      <c r="V103" s="43"/>
      <c r="W103" s="59"/>
      <c r="X103" s="61">
        <f t="shared" si="73"/>
        <v>0</v>
      </c>
      <c r="Y103" s="104">
        <f t="shared" si="55"/>
        <v>0</v>
      </c>
      <c r="Z103" s="56"/>
      <c r="AA103" s="34"/>
    </row>
    <row r="104" spans="1:27" x14ac:dyDescent="0.15">
      <c r="A104" s="33" t="s">
        <v>159</v>
      </c>
      <c r="B104" s="16"/>
      <c r="C104" s="29"/>
      <c r="D104" s="17"/>
      <c r="E104" s="20"/>
      <c r="F104" s="45">
        <f t="shared" si="62"/>
        <v>0</v>
      </c>
      <c r="G104" s="16"/>
      <c r="H104" s="29"/>
      <c r="I104" s="17"/>
      <c r="J104" s="20">
        <v>1</v>
      </c>
      <c r="K104" s="45">
        <f t="shared" si="63"/>
        <v>1</v>
      </c>
      <c r="L104" s="104">
        <f t="shared" si="54"/>
        <v>1</v>
      </c>
      <c r="M104" s="56">
        <v>45715</v>
      </c>
      <c r="N104" s="33"/>
      <c r="O104" s="16"/>
      <c r="P104" s="29"/>
      <c r="Q104" s="17"/>
      <c r="R104" s="32"/>
      <c r="S104" s="9">
        <f>SUM(O104:R104)</f>
        <v>0</v>
      </c>
      <c r="T104" s="16"/>
      <c r="U104" s="29"/>
      <c r="V104" s="17"/>
      <c r="W104" s="32"/>
      <c r="X104" s="9">
        <f>SUM(T104:W104)</f>
        <v>0</v>
      </c>
      <c r="Y104" s="104">
        <f t="shared" si="55"/>
        <v>0</v>
      </c>
      <c r="Z104" s="56"/>
      <c r="AA104" s="34"/>
    </row>
    <row r="105" spans="1:27" x14ac:dyDescent="0.15">
      <c r="A105" s="47" t="s">
        <v>51</v>
      </c>
      <c r="B105" s="16"/>
      <c r="C105" s="29"/>
      <c r="D105" s="17">
        <v>1</v>
      </c>
      <c r="E105" s="20">
        <v>1</v>
      </c>
      <c r="F105" s="45">
        <f t="shared" si="62"/>
        <v>2</v>
      </c>
      <c r="G105" s="16"/>
      <c r="H105" s="29"/>
      <c r="I105" s="17"/>
      <c r="J105" s="20"/>
      <c r="K105" s="45">
        <f t="shared" si="63"/>
        <v>0</v>
      </c>
      <c r="L105" s="104">
        <f t="shared" si="54"/>
        <v>2</v>
      </c>
      <c r="M105" s="56">
        <v>45713</v>
      </c>
      <c r="N105" s="11"/>
      <c r="O105" s="16"/>
      <c r="P105" s="17"/>
      <c r="Q105" s="29"/>
      <c r="R105" s="60"/>
      <c r="S105" s="9">
        <f t="shared" ref="S105:S111" si="74">SUM(O105:R105)</f>
        <v>0</v>
      </c>
      <c r="T105" s="16"/>
      <c r="U105" s="17"/>
      <c r="V105" s="29"/>
      <c r="W105" s="60"/>
      <c r="X105" s="9">
        <f t="shared" ref="X105:X111" si="75">SUM(T105:W105)</f>
        <v>0</v>
      </c>
      <c r="Y105" s="104">
        <f t="shared" si="55"/>
        <v>0</v>
      </c>
    </row>
    <row r="106" spans="1:27" x14ac:dyDescent="0.15">
      <c r="A106" s="33" t="s">
        <v>160</v>
      </c>
      <c r="B106" s="16"/>
      <c r="C106" s="29"/>
      <c r="D106" s="17"/>
      <c r="E106" s="20">
        <v>2</v>
      </c>
      <c r="F106" s="45">
        <f t="shared" si="62"/>
        <v>2</v>
      </c>
      <c r="G106" s="16"/>
      <c r="H106" s="29"/>
      <c r="I106" s="17"/>
      <c r="J106" s="20">
        <v>2</v>
      </c>
      <c r="K106" s="45">
        <f t="shared" si="63"/>
        <v>2</v>
      </c>
      <c r="L106" s="104">
        <f t="shared" si="54"/>
        <v>4</v>
      </c>
      <c r="M106" s="56">
        <v>45716</v>
      </c>
      <c r="N106" s="11"/>
      <c r="O106" s="16"/>
      <c r="P106" s="29"/>
      <c r="Q106" s="17"/>
      <c r="R106" s="32"/>
      <c r="S106" s="9">
        <f t="shared" si="74"/>
        <v>0</v>
      </c>
      <c r="T106" s="16"/>
      <c r="U106" s="29"/>
      <c r="V106" s="17"/>
      <c r="W106" s="32"/>
      <c r="X106" s="9">
        <f t="shared" si="75"/>
        <v>0</v>
      </c>
      <c r="Y106" s="104">
        <f t="shared" si="55"/>
        <v>0</v>
      </c>
    </row>
    <row r="107" spans="1:27" x14ac:dyDescent="0.15">
      <c r="A107" s="137" t="s">
        <v>164</v>
      </c>
      <c r="B107" s="16"/>
      <c r="C107" s="29"/>
      <c r="D107" s="17"/>
      <c r="E107" s="20"/>
      <c r="F107" s="45">
        <f t="shared" si="62"/>
        <v>0</v>
      </c>
      <c r="G107" s="16"/>
      <c r="H107" s="29"/>
      <c r="I107" s="17">
        <v>1</v>
      </c>
      <c r="J107" s="20"/>
      <c r="K107" s="45">
        <f t="shared" si="63"/>
        <v>1</v>
      </c>
      <c r="L107" s="104">
        <f t="shared" si="54"/>
        <v>1</v>
      </c>
      <c r="M107" s="56">
        <v>45716</v>
      </c>
      <c r="N107" s="11"/>
      <c r="O107" s="16"/>
      <c r="P107" s="29"/>
      <c r="Q107" s="17"/>
      <c r="R107" s="32"/>
      <c r="S107" s="9">
        <f t="shared" ref="S107:S108" si="76">SUM(O107:R107)</f>
        <v>0</v>
      </c>
      <c r="T107" s="16"/>
      <c r="U107" s="29"/>
      <c r="V107" s="17"/>
      <c r="W107" s="32"/>
      <c r="X107" s="9">
        <f t="shared" ref="X107:X108" si="77">SUM(T107:W107)</f>
        <v>0</v>
      </c>
      <c r="Y107" s="104">
        <f t="shared" ref="Y107:Y108" si="78">S107+X107</f>
        <v>0</v>
      </c>
      <c r="AA107" s="35"/>
    </row>
    <row r="108" spans="1:27" x14ac:dyDescent="0.15">
      <c r="A108" s="33" t="s">
        <v>119</v>
      </c>
      <c r="B108" s="16"/>
      <c r="C108" s="29"/>
      <c r="D108" s="17"/>
      <c r="E108" s="20">
        <v>-5</v>
      </c>
      <c r="F108" s="45">
        <f t="shared" si="62"/>
        <v>-5</v>
      </c>
      <c r="G108" s="16"/>
      <c r="H108" s="29"/>
      <c r="I108" s="17"/>
      <c r="J108" s="20">
        <v>-5</v>
      </c>
      <c r="K108" s="45">
        <f t="shared" si="63"/>
        <v>-5</v>
      </c>
      <c r="L108" s="104">
        <f t="shared" si="54"/>
        <v>-10</v>
      </c>
      <c r="M108" s="56">
        <v>45715</v>
      </c>
      <c r="N108" s="11"/>
      <c r="O108" s="16"/>
      <c r="P108" s="29"/>
      <c r="Q108" s="17"/>
      <c r="R108" s="32"/>
      <c r="S108" s="9">
        <f t="shared" si="76"/>
        <v>0</v>
      </c>
      <c r="T108" s="16"/>
      <c r="U108" s="29"/>
      <c r="V108" s="17"/>
      <c r="W108" s="32"/>
      <c r="X108" s="9">
        <f t="shared" si="77"/>
        <v>0</v>
      </c>
      <c r="Y108" s="104">
        <f t="shared" si="78"/>
        <v>0</v>
      </c>
      <c r="AA108" s="35"/>
    </row>
    <row r="109" spans="1:27" x14ac:dyDescent="0.15">
      <c r="A109" s="47" t="s">
        <v>51</v>
      </c>
      <c r="B109" s="16"/>
      <c r="C109" s="29">
        <v>1</v>
      </c>
      <c r="D109" s="17"/>
      <c r="E109" s="20"/>
      <c r="F109" s="45">
        <f t="shared" si="62"/>
        <v>1</v>
      </c>
      <c r="G109" s="16"/>
      <c r="H109" s="29"/>
      <c r="I109" s="17"/>
      <c r="J109" s="20"/>
      <c r="K109" s="45">
        <f t="shared" si="63"/>
        <v>0</v>
      </c>
      <c r="L109" s="104">
        <f t="shared" si="54"/>
        <v>1</v>
      </c>
      <c r="M109" s="56">
        <v>45717</v>
      </c>
      <c r="N109" s="11" t="s">
        <v>77</v>
      </c>
      <c r="O109" s="16"/>
      <c r="P109" s="29"/>
      <c r="Q109" s="17"/>
      <c r="R109" s="32"/>
      <c r="S109" s="61">
        <f t="shared" ref="S109:S110" si="79">SUM(O109:R109)</f>
        <v>0</v>
      </c>
      <c r="T109" s="16"/>
      <c r="U109" s="29"/>
      <c r="V109" s="17"/>
      <c r="W109" s="32"/>
      <c r="X109" s="61">
        <f t="shared" ref="X109:X110" si="80">SUM(T109:W109)</f>
        <v>0</v>
      </c>
      <c r="Y109" s="104">
        <f t="shared" ref="Y109:Y110" si="81">S109+X109</f>
        <v>0</v>
      </c>
      <c r="Z109" s="157" t="s">
        <v>78</v>
      </c>
      <c r="AA109" s="35"/>
    </row>
    <row r="110" spans="1:27" ht="14.25" thickBot="1" x14ac:dyDescent="0.2">
      <c r="A110" s="47" t="s">
        <v>51</v>
      </c>
      <c r="B110" s="37"/>
      <c r="C110" s="38">
        <v>1</v>
      </c>
      <c r="D110" s="39"/>
      <c r="E110" s="40"/>
      <c r="F110" s="45">
        <f t="shared" si="62"/>
        <v>1</v>
      </c>
      <c r="G110" s="37"/>
      <c r="H110" s="38"/>
      <c r="I110" s="39"/>
      <c r="J110" s="40"/>
      <c r="K110" s="45">
        <f t="shared" si="63"/>
        <v>0</v>
      </c>
      <c r="L110" s="104">
        <f t="shared" si="54"/>
        <v>1</v>
      </c>
      <c r="M110" s="58">
        <v>45722</v>
      </c>
      <c r="N110" s="128" t="s">
        <v>76</v>
      </c>
      <c r="O110" s="37"/>
      <c r="P110" s="38"/>
      <c r="Q110" s="39"/>
      <c r="R110" s="129"/>
      <c r="S110" s="10">
        <f t="shared" si="79"/>
        <v>0</v>
      </c>
      <c r="T110" s="37"/>
      <c r="U110" s="38"/>
      <c r="V110" s="39"/>
      <c r="W110" s="129"/>
      <c r="X110" s="10">
        <f t="shared" si="80"/>
        <v>0</v>
      </c>
      <c r="Y110" s="101">
        <f t="shared" si="81"/>
        <v>0</v>
      </c>
      <c r="Z110" s="157" t="s">
        <v>79</v>
      </c>
      <c r="AA110" s="35"/>
    </row>
    <row r="111" spans="1:27" ht="14.25" thickBot="1" x14ac:dyDescent="0.2">
      <c r="A111" s="13" t="s">
        <v>8</v>
      </c>
      <c r="B111" s="22">
        <f>SUM(B86:B110)</f>
        <v>5</v>
      </c>
      <c r="C111" s="30">
        <f>SUM(C86:C110)</f>
        <v>7</v>
      </c>
      <c r="D111" s="23">
        <f>SUM(D86:D110)</f>
        <v>3</v>
      </c>
      <c r="E111" s="24">
        <f>SUM(E86:E110)</f>
        <v>-1</v>
      </c>
      <c r="F111" s="21">
        <f>SUM(B111:E111)</f>
        <v>14</v>
      </c>
      <c r="G111" s="22">
        <f>SUM(G86:G110)</f>
        <v>2</v>
      </c>
      <c r="H111" s="30">
        <f>SUM(H86:H110)</f>
        <v>4</v>
      </c>
      <c r="I111" s="23">
        <f>SUM(I86:I110)</f>
        <v>5</v>
      </c>
      <c r="J111" s="24">
        <f>SUM(J86:J110)</f>
        <v>0</v>
      </c>
      <c r="K111" s="21">
        <f>SUM(G111:J111)</f>
        <v>11</v>
      </c>
      <c r="L111" s="105">
        <f t="shared" si="54"/>
        <v>25</v>
      </c>
      <c r="N111" s="49" t="s">
        <v>8</v>
      </c>
      <c r="O111" s="22">
        <f>SUM(O86:O110)</f>
        <v>11</v>
      </c>
      <c r="P111" s="30">
        <f>SUM(P86:P110)</f>
        <v>11</v>
      </c>
      <c r="Q111" s="23">
        <f>SUM(Q86:Q110)</f>
        <v>11</v>
      </c>
      <c r="R111" s="24">
        <f>SUM(R86:R110)</f>
        <v>10</v>
      </c>
      <c r="S111" s="48">
        <f t="shared" si="74"/>
        <v>43</v>
      </c>
      <c r="T111" s="22">
        <f>SUM(T86:T110)</f>
        <v>4</v>
      </c>
      <c r="U111" s="30">
        <f>SUM(U86:U110)</f>
        <v>9</v>
      </c>
      <c r="V111" s="23">
        <f>SUM(V86:V110)</f>
        <v>5</v>
      </c>
      <c r="W111" s="24">
        <f>SUM(W86:W110)</f>
        <v>8</v>
      </c>
      <c r="X111" s="48">
        <f t="shared" si="75"/>
        <v>26</v>
      </c>
      <c r="Y111" s="122">
        <f t="shared" si="55"/>
        <v>69</v>
      </c>
    </row>
    <row r="112" spans="1:27" ht="14.25" thickBot="1" x14ac:dyDescent="0.2">
      <c r="A112" s="14" t="s">
        <v>9</v>
      </c>
      <c r="B112" s="25">
        <f t="shared" ref="B112:F112" si="82">B85-B111</f>
        <v>5</v>
      </c>
      <c r="C112" s="31">
        <f t="shared" si="82"/>
        <v>2</v>
      </c>
      <c r="D112" s="26">
        <f t="shared" si="82"/>
        <v>3</v>
      </c>
      <c r="E112" s="27">
        <f t="shared" si="82"/>
        <v>6</v>
      </c>
      <c r="F112" s="83">
        <f t="shared" si="82"/>
        <v>16</v>
      </c>
      <c r="G112" s="25">
        <f t="shared" ref="G112:K112" si="83">G85-G111</f>
        <v>5</v>
      </c>
      <c r="H112" s="31">
        <f t="shared" si="83"/>
        <v>4</v>
      </c>
      <c r="I112" s="26">
        <f t="shared" si="83"/>
        <v>5</v>
      </c>
      <c r="J112" s="27">
        <f t="shared" si="83"/>
        <v>6</v>
      </c>
      <c r="K112" s="83">
        <f t="shared" si="83"/>
        <v>20</v>
      </c>
      <c r="L112" s="102">
        <f t="shared" si="54"/>
        <v>36</v>
      </c>
      <c r="N112" s="13" t="s">
        <v>9</v>
      </c>
      <c r="O112" s="25">
        <f t="shared" ref="O112:S112" si="84">O85-O111</f>
        <v>116</v>
      </c>
      <c r="P112" s="31">
        <f t="shared" si="84"/>
        <v>130</v>
      </c>
      <c r="Q112" s="26">
        <f t="shared" si="84"/>
        <v>104</v>
      </c>
      <c r="R112" s="27">
        <f t="shared" si="84"/>
        <v>85</v>
      </c>
      <c r="S112" s="36">
        <f t="shared" si="84"/>
        <v>435</v>
      </c>
      <c r="T112" s="25">
        <f t="shared" ref="T112:X112" si="85">T85-T111</f>
        <v>96</v>
      </c>
      <c r="U112" s="31">
        <f t="shared" si="85"/>
        <v>116</v>
      </c>
      <c r="V112" s="26">
        <f t="shared" si="85"/>
        <v>110</v>
      </c>
      <c r="W112" s="27">
        <f t="shared" si="85"/>
        <v>79</v>
      </c>
      <c r="X112" s="36">
        <f t="shared" si="85"/>
        <v>401</v>
      </c>
      <c r="Y112" s="102">
        <f t="shared" si="55"/>
        <v>836</v>
      </c>
    </row>
    <row r="115" spans="1:27" ht="19.5" thickBot="1" x14ac:dyDescent="0.25">
      <c r="A115" s="2" t="s">
        <v>18</v>
      </c>
      <c r="B115" s="2"/>
      <c r="C115" s="1"/>
      <c r="D115" s="1"/>
      <c r="E115" s="1"/>
      <c r="F115" s="84"/>
      <c r="G115" s="2"/>
      <c r="H115" s="1" t="s">
        <v>157</v>
      </c>
      <c r="I115" s="1"/>
      <c r="J115" s="1"/>
      <c r="K115" s="84" t="s">
        <v>13</v>
      </c>
      <c r="L115" s="84"/>
      <c r="N115" s="2" t="s">
        <v>19</v>
      </c>
      <c r="O115" s="71"/>
      <c r="P115" s="71"/>
      <c r="Q115" s="71"/>
      <c r="R115" s="71"/>
      <c r="S115" s="84"/>
      <c r="T115" s="1" t="s">
        <v>157</v>
      </c>
      <c r="U115" s="71"/>
      <c r="V115" s="71"/>
      <c r="W115" s="71"/>
      <c r="X115" s="84" t="s">
        <v>13</v>
      </c>
    </row>
    <row r="116" spans="1:27" ht="14.25" thickBot="1" x14ac:dyDescent="0.2">
      <c r="A116" s="5" t="s">
        <v>0</v>
      </c>
      <c r="B116" s="322" t="s">
        <v>32</v>
      </c>
      <c r="C116" s="323"/>
      <c r="D116" s="323"/>
      <c r="E116" s="323"/>
      <c r="F116" s="324"/>
      <c r="G116" s="325" t="s">
        <v>31</v>
      </c>
      <c r="H116" s="326"/>
      <c r="I116" s="326"/>
      <c r="J116" s="326"/>
      <c r="K116" s="327"/>
      <c r="L116" s="320" t="s">
        <v>30</v>
      </c>
      <c r="N116" s="5" t="s">
        <v>0</v>
      </c>
      <c r="O116" s="322" t="s">
        <v>200</v>
      </c>
      <c r="P116" s="323"/>
      <c r="Q116" s="323"/>
      <c r="R116" s="323"/>
      <c r="S116" s="324"/>
      <c r="T116" s="325" t="s">
        <v>201</v>
      </c>
      <c r="U116" s="326"/>
      <c r="V116" s="326"/>
      <c r="W116" s="326"/>
      <c r="X116" s="327"/>
      <c r="Y116" s="320" t="s">
        <v>30</v>
      </c>
    </row>
    <row r="117" spans="1:27" ht="14.25" thickBot="1" x14ac:dyDescent="0.2">
      <c r="A117" s="5" t="s">
        <v>1</v>
      </c>
      <c r="B117" s="3" t="s">
        <v>22</v>
      </c>
      <c r="C117" s="28" t="s">
        <v>23</v>
      </c>
      <c r="D117" s="4" t="s">
        <v>24</v>
      </c>
      <c r="E117" s="15" t="s">
        <v>25</v>
      </c>
      <c r="F117" s="19" t="s">
        <v>2</v>
      </c>
      <c r="G117" s="3" t="s">
        <v>22</v>
      </c>
      <c r="H117" s="28" t="s">
        <v>23</v>
      </c>
      <c r="I117" s="4" t="s">
        <v>24</v>
      </c>
      <c r="J117" s="15" t="s">
        <v>25</v>
      </c>
      <c r="K117" s="19" t="s">
        <v>2</v>
      </c>
      <c r="L117" s="321"/>
      <c r="N117" s="5" t="s">
        <v>1</v>
      </c>
      <c r="O117" s="3" t="s">
        <v>22</v>
      </c>
      <c r="P117" s="28" t="s">
        <v>23</v>
      </c>
      <c r="Q117" s="4" t="s">
        <v>24</v>
      </c>
      <c r="R117" s="15" t="s">
        <v>25</v>
      </c>
      <c r="S117" s="19" t="s">
        <v>2</v>
      </c>
      <c r="T117" s="3" t="s">
        <v>22</v>
      </c>
      <c r="U117" s="28" t="s">
        <v>23</v>
      </c>
      <c r="V117" s="4" t="s">
        <v>24</v>
      </c>
      <c r="W117" s="15" t="s">
        <v>25</v>
      </c>
      <c r="X117" s="19" t="s">
        <v>2</v>
      </c>
      <c r="Y117" s="321"/>
    </row>
    <row r="118" spans="1:27" x14ac:dyDescent="0.15">
      <c r="A118" s="78" t="s">
        <v>10</v>
      </c>
      <c r="B118" s="79">
        <f>B112</f>
        <v>5</v>
      </c>
      <c r="C118" s="80">
        <f>C112</f>
        <v>2</v>
      </c>
      <c r="D118" s="80">
        <f>D112</f>
        <v>3</v>
      </c>
      <c r="E118" s="81">
        <f>E112</f>
        <v>6</v>
      </c>
      <c r="F118" s="82">
        <f>SUM(B118:E118)</f>
        <v>16</v>
      </c>
      <c r="G118" s="79">
        <f>G112</f>
        <v>5</v>
      </c>
      <c r="H118" s="80">
        <f>H112</f>
        <v>4</v>
      </c>
      <c r="I118" s="80">
        <f>I112</f>
        <v>5</v>
      </c>
      <c r="J118" s="81">
        <f>J112</f>
        <v>6</v>
      </c>
      <c r="K118" s="82">
        <f>SUM(G118:J118)</f>
        <v>20</v>
      </c>
      <c r="L118" s="98">
        <f>F118+K118</f>
        <v>36</v>
      </c>
      <c r="N118" s="78" t="s">
        <v>10</v>
      </c>
      <c r="O118" s="79">
        <f>O112</f>
        <v>116</v>
      </c>
      <c r="P118" s="80">
        <f>P112</f>
        <v>130</v>
      </c>
      <c r="Q118" s="80">
        <f>Q112</f>
        <v>104</v>
      </c>
      <c r="R118" s="81">
        <f>R112</f>
        <v>85</v>
      </c>
      <c r="S118" s="82">
        <f>SUM(O118:R118)</f>
        <v>435</v>
      </c>
      <c r="T118" s="79">
        <f>T112</f>
        <v>96</v>
      </c>
      <c r="U118" s="80">
        <f>U112</f>
        <v>116</v>
      </c>
      <c r="V118" s="80">
        <f>V112</f>
        <v>110</v>
      </c>
      <c r="W118" s="81">
        <f>W112</f>
        <v>79</v>
      </c>
      <c r="X118" s="82">
        <f>SUM(T118:W118)</f>
        <v>401</v>
      </c>
      <c r="Y118" s="98">
        <f>S118+X118</f>
        <v>836</v>
      </c>
    </row>
    <row r="119" spans="1:27" x14ac:dyDescent="0.15">
      <c r="A119" s="47" t="s">
        <v>3</v>
      </c>
      <c r="B119" s="51">
        <v>5</v>
      </c>
      <c r="C119" s="52"/>
      <c r="D119" s="53"/>
      <c r="E119" s="54"/>
      <c r="F119" s="61">
        <f>SUM(B119:E119)</f>
        <v>5</v>
      </c>
      <c r="G119" s="51"/>
      <c r="H119" s="52"/>
      <c r="I119" s="53"/>
      <c r="J119" s="54"/>
      <c r="K119" s="61">
        <f>SUM(G119:J119)</f>
        <v>0</v>
      </c>
      <c r="L119" s="99">
        <f t="shared" ref="L119:L150" si="86">F119+K119</f>
        <v>5</v>
      </c>
      <c r="M119" s="56">
        <v>45716</v>
      </c>
      <c r="N119" s="12" t="s">
        <v>11</v>
      </c>
      <c r="O119" s="16"/>
      <c r="P119" s="29"/>
      <c r="Q119" s="17"/>
      <c r="R119" s="20"/>
      <c r="S119" s="45">
        <f>SUM(O119:R119)</f>
        <v>0</v>
      </c>
      <c r="T119" s="16"/>
      <c r="U119" s="29"/>
      <c r="V119" s="17"/>
      <c r="W119" s="20"/>
      <c r="X119" s="45">
        <f>SUM(T119:W119)</f>
        <v>0</v>
      </c>
      <c r="Y119" s="100">
        <f t="shared" ref="Y119" si="87">S119+X119</f>
        <v>0</v>
      </c>
    </row>
    <row r="120" spans="1:27" x14ac:dyDescent="0.15">
      <c r="A120" s="12" t="s">
        <v>66</v>
      </c>
      <c r="B120" s="6"/>
      <c r="C120" s="18"/>
      <c r="D120" s="7"/>
      <c r="E120" s="8">
        <v>1</v>
      </c>
      <c r="F120" s="9">
        <f>SUM(B120:E120)</f>
        <v>1</v>
      </c>
      <c r="G120" s="6"/>
      <c r="H120" s="18">
        <v>1</v>
      </c>
      <c r="I120" s="7"/>
      <c r="J120" s="8">
        <v>1</v>
      </c>
      <c r="K120" s="9">
        <f>SUM(G120:J120)</f>
        <v>2</v>
      </c>
      <c r="L120" s="100">
        <f t="shared" si="86"/>
        <v>3</v>
      </c>
      <c r="M120" s="58">
        <v>45716</v>
      </c>
      <c r="N120" s="12" t="s">
        <v>3</v>
      </c>
      <c r="O120" s="16"/>
      <c r="P120" s="29"/>
      <c r="Q120" s="17"/>
      <c r="R120" s="20"/>
      <c r="S120" s="45">
        <f t="shared" ref="S120:S121" si="88">SUM(O120:R120)</f>
        <v>0</v>
      </c>
      <c r="T120" s="16"/>
      <c r="U120" s="29"/>
      <c r="V120" s="17"/>
      <c r="W120" s="20"/>
      <c r="X120" s="45">
        <f t="shared" ref="X120:X121" si="89">SUM(T120:W120)</f>
        <v>0</v>
      </c>
      <c r="Y120" s="100">
        <f t="shared" ref="Y120:Y121" si="90">S120+X120</f>
        <v>0</v>
      </c>
    </row>
    <row r="121" spans="1:27" x14ac:dyDescent="0.15">
      <c r="A121" s="12" t="s">
        <v>5</v>
      </c>
      <c r="B121" s="6">
        <v>3</v>
      </c>
      <c r="C121" s="18">
        <v>5</v>
      </c>
      <c r="D121" s="7"/>
      <c r="E121" s="8"/>
      <c r="F121" s="9">
        <f>SUM(B121:E121)</f>
        <v>8</v>
      </c>
      <c r="G121" s="6"/>
      <c r="H121" s="18"/>
      <c r="I121" s="7">
        <v>3</v>
      </c>
      <c r="J121" s="8">
        <v>3</v>
      </c>
      <c r="K121" s="9">
        <f>SUM(G121:J121)</f>
        <v>6</v>
      </c>
      <c r="L121" s="100">
        <f t="shared" si="86"/>
        <v>14</v>
      </c>
      <c r="M121" s="56">
        <v>45722</v>
      </c>
      <c r="N121" s="12" t="s">
        <v>4</v>
      </c>
      <c r="O121" s="16"/>
      <c r="P121" s="29"/>
      <c r="Q121" s="17"/>
      <c r="R121" s="20"/>
      <c r="S121" s="45">
        <f t="shared" si="88"/>
        <v>0</v>
      </c>
      <c r="T121" s="16"/>
      <c r="U121" s="29"/>
      <c r="V121" s="17"/>
      <c r="W121" s="20"/>
      <c r="X121" s="45">
        <f t="shared" si="89"/>
        <v>0</v>
      </c>
      <c r="Y121" s="100">
        <f t="shared" si="90"/>
        <v>0</v>
      </c>
    </row>
    <row r="122" spans="1:27" ht="14.25" thickBot="1" x14ac:dyDescent="0.2">
      <c r="A122" s="12" t="s">
        <v>6</v>
      </c>
      <c r="B122" s="6"/>
      <c r="C122" s="18">
        <v>3</v>
      </c>
      <c r="D122" s="7"/>
      <c r="E122" s="8"/>
      <c r="F122" s="10">
        <f>SUM(B122:E122)</f>
        <v>3</v>
      </c>
      <c r="G122" s="6"/>
      <c r="H122" s="18">
        <v>2</v>
      </c>
      <c r="I122" s="7"/>
      <c r="J122" s="8"/>
      <c r="K122" s="10">
        <f>SUM(G122:J122)</f>
        <v>2</v>
      </c>
      <c r="L122" s="101">
        <f t="shared" si="86"/>
        <v>5</v>
      </c>
      <c r="M122" s="56">
        <v>45723</v>
      </c>
      <c r="N122" s="12" t="s">
        <v>5</v>
      </c>
      <c r="O122" s="37"/>
      <c r="P122" s="38"/>
      <c r="Q122" s="39"/>
      <c r="R122" s="40"/>
      <c r="S122" s="46">
        <f>SUM(O122:R122)</f>
        <v>0</v>
      </c>
      <c r="T122" s="37"/>
      <c r="U122" s="38"/>
      <c r="V122" s="39"/>
      <c r="W122" s="40"/>
      <c r="X122" s="46">
        <f>SUM(T122:W122)</f>
        <v>0</v>
      </c>
      <c r="Y122" s="101">
        <f t="shared" ref="Y122:Y150" si="91">S122+X122</f>
        <v>0</v>
      </c>
      <c r="Z122" s="225"/>
    </row>
    <row r="123" spans="1:27" ht="14.25" thickBot="1" x14ac:dyDescent="0.2">
      <c r="A123" s="14" t="s">
        <v>7</v>
      </c>
      <c r="B123" s="62">
        <f t="shared" ref="B123:K123" si="92">SUM(B118:B122)</f>
        <v>13</v>
      </c>
      <c r="C123" s="63">
        <f t="shared" si="92"/>
        <v>10</v>
      </c>
      <c r="D123" s="64">
        <f t="shared" si="92"/>
        <v>3</v>
      </c>
      <c r="E123" s="65">
        <f t="shared" si="92"/>
        <v>7</v>
      </c>
      <c r="F123" s="66">
        <f t="shared" si="92"/>
        <v>33</v>
      </c>
      <c r="G123" s="62">
        <f t="shared" si="92"/>
        <v>5</v>
      </c>
      <c r="H123" s="63">
        <f t="shared" si="92"/>
        <v>7</v>
      </c>
      <c r="I123" s="64">
        <f t="shared" si="92"/>
        <v>8</v>
      </c>
      <c r="J123" s="65">
        <f t="shared" si="92"/>
        <v>10</v>
      </c>
      <c r="K123" s="66">
        <f t="shared" si="92"/>
        <v>30</v>
      </c>
      <c r="L123" s="102">
        <f t="shared" si="86"/>
        <v>63</v>
      </c>
      <c r="N123" s="13" t="s">
        <v>7</v>
      </c>
      <c r="O123" s="25">
        <f t="shared" ref="O123:X123" si="93">SUM(O118:O122)</f>
        <v>116</v>
      </c>
      <c r="P123" s="31">
        <f t="shared" si="93"/>
        <v>130</v>
      </c>
      <c r="Q123" s="26">
        <f t="shared" si="93"/>
        <v>104</v>
      </c>
      <c r="R123" s="67">
        <f t="shared" si="93"/>
        <v>85</v>
      </c>
      <c r="S123" s="68">
        <f t="shared" si="93"/>
        <v>435</v>
      </c>
      <c r="T123" s="25">
        <f t="shared" si="93"/>
        <v>96</v>
      </c>
      <c r="U123" s="31">
        <f t="shared" si="93"/>
        <v>116</v>
      </c>
      <c r="V123" s="26">
        <f t="shared" si="93"/>
        <v>110</v>
      </c>
      <c r="W123" s="67">
        <f t="shared" si="93"/>
        <v>79</v>
      </c>
      <c r="X123" s="68">
        <f t="shared" si="93"/>
        <v>401</v>
      </c>
      <c r="Y123" s="102">
        <f t="shared" si="91"/>
        <v>836</v>
      </c>
    </row>
    <row r="124" spans="1:27" x14ac:dyDescent="0.15">
      <c r="A124" s="33" t="s">
        <v>161</v>
      </c>
      <c r="B124" s="41">
        <v>4</v>
      </c>
      <c r="C124" s="42"/>
      <c r="D124" s="43"/>
      <c r="E124" s="44"/>
      <c r="F124" s="70">
        <f t="shared" ref="F124:F147" si="94">SUM(B124:E124)</f>
        <v>4</v>
      </c>
      <c r="G124" s="41"/>
      <c r="H124" s="42"/>
      <c r="I124" s="43"/>
      <c r="J124" s="44">
        <v>1</v>
      </c>
      <c r="K124" s="70">
        <f t="shared" ref="K124:K147" si="95">SUM(G124:J124)</f>
        <v>1</v>
      </c>
      <c r="L124" s="103">
        <f t="shared" si="86"/>
        <v>5</v>
      </c>
      <c r="M124" s="56">
        <v>45716</v>
      </c>
      <c r="N124" s="158" t="s">
        <v>81</v>
      </c>
      <c r="O124" s="16">
        <v>17</v>
      </c>
      <c r="P124" s="29">
        <v>25</v>
      </c>
      <c r="Q124" s="17">
        <v>25</v>
      </c>
      <c r="R124" s="32">
        <v>25</v>
      </c>
      <c r="S124" s="9">
        <f t="shared" ref="S124" si="96">SUM(O124:R124)</f>
        <v>92</v>
      </c>
      <c r="T124" s="16"/>
      <c r="U124" s="29"/>
      <c r="V124" s="17"/>
      <c r="W124" s="32"/>
      <c r="X124" s="9">
        <f t="shared" ref="X124" si="97">SUM(T124:W124)</f>
        <v>0</v>
      </c>
      <c r="Y124" s="103">
        <f t="shared" si="91"/>
        <v>92</v>
      </c>
      <c r="Z124" s="56">
        <v>45722</v>
      </c>
      <c r="AA124" s="35"/>
    </row>
    <row r="125" spans="1:27" x14ac:dyDescent="0.15">
      <c r="A125" s="137" t="s">
        <v>165</v>
      </c>
      <c r="B125" s="16"/>
      <c r="C125" s="29"/>
      <c r="D125" s="17"/>
      <c r="E125" s="20">
        <v>1</v>
      </c>
      <c r="F125" s="45">
        <f t="shared" ref="F125" si="98">SUM(B125:E125)</f>
        <v>1</v>
      </c>
      <c r="G125" s="16"/>
      <c r="H125" s="29"/>
      <c r="I125" s="17"/>
      <c r="J125" s="20"/>
      <c r="K125" s="45">
        <f t="shared" ref="K125" si="99">SUM(G125:J125)</f>
        <v>0</v>
      </c>
      <c r="L125" s="104">
        <f t="shared" ref="L125" si="100">F125+K125</f>
        <v>1</v>
      </c>
      <c r="M125" s="56">
        <v>45721</v>
      </c>
      <c r="N125" s="33" t="s">
        <v>166</v>
      </c>
      <c r="O125" s="16">
        <v>3</v>
      </c>
      <c r="P125" s="29">
        <v>1</v>
      </c>
      <c r="Q125" s="17"/>
      <c r="R125" s="32">
        <v>1</v>
      </c>
      <c r="S125" s="9">
        <f t="shared" ref="S125:S129" si="101">SUM(O125:R125)</f>
        <v>5</v>
      </c>
      <c r="T125" s="16">
        <v>2</v>
      </c>
      <c r="U125" s="29">
        <v>2</v>
      </c>
      <c r="V125" s="17">
        <v>1</v>
      </c>
      <c r="W125" s="32">
        <v>1</v>
      </c>
      <c r="X125" s="9">
        <f t="shared" ref="X125:X129" si="102">SUM(T125:W125)</f>
        <v>6</v>
      </c>
      <c r="Y125" s="104">
        <f t="shared" si="91"/>
        <v>11</v>
      </c>
      <c r="Z125" s="56">
        <v>45721</v>
      </c>
      <c r="AA125" s="35"/>
    </row>
    <row r="126" spans="1:27" x14ac:dyDescent="0.15">
      <c r="A126" s="47" t="s">
        <v>167</v>
      </c>
      <c r="B126" s="16">
        <v>1</v>
      </c>
      <c r="C126" s="29"/>
      <c r="D126" s="17"/>
      <c r="E126" s="20"/>
      <c r="F126" s="45">
        <f t="shared" si="94"/>
        <v>1</v>
      </c>
      <c r="G126" s="16"/>
      <c r="H126" s="29"/>
      <c r="I126" s="17"/>
      <c r="J126" s="20"/>
      <c r="K126" s="45">
        <f t="shared" si="95"/>
        <v>0</v>
      </c>
      <c r="L126" s="104">
        <f t="shared" si="86"/>
        <v>1</v>
      </c>
      <c r="M126" s="56">
        <v>45721</v>
      </c>
      <c r="N126" s="33" t="s">
        <v>39</v>
      </c>
      <c r="O126" s="16">
        <v>3</v>
      </c>
      <c r="P126" s="29">
        <v>5</v>
      </c>
      <c r="Q126" s="17"/>
      <c r="R126" s="32"/>
      <c r="S126" s="9">
        <f>SUM(O126:R126)</f>
        <v>8</v>
      </c>
      <c r="T126" s="16"/>
      <c r="U126" s="29"/>
      <c r="V126" s="17">
        <v>3</v>
      </c>
      <c r="W126" s="32">
        <v>3</v>
      </c>
      <c r="X126" s="9">
        <f>SUM(T126:W126)</f>
        <v>6</v>
      </c>
      <c r="Y126" s="104">
        <f t="shared" si="91"/>
        <v>14</v>
      </c>
      <c r="Z126" s="56">
        <v>45722</v>
      </c>
      <c r="AA126" s="35"/>
    </row>
    <row r="127" spans="1:27" x14ac:dyDescent="0.15">
      <c r="A127" s="33" t="s">
        <v>168</v>
      </c>
      <c r="B127" s="16"/>
      <c r="C127" s="29">
        <v>2</v>
      </c>
      <c r="D127" s="17"/>
      <c r="E127" s="20"/>
      <c r="F127" s="45">
        <f t="shared" si="94"/>
        <v>2</v>
      </c>
      <c r="G127" s="16"/>
      <c r="H127" s="29"/>
      <c r="I127" s="17">
        <v>2</v>
      </c>
      <c r="J127" s="20">
        <v>1</v>
      </c>
      <c r="K127" s="45">
        <f t="shared" si="95"/>
        <v>3</v>
      </c>
      <c r="L127" s="104">
        <f t="shared" si="86"/>
        <v>5</v>
      </c>
      <c r="M127" s="56">
        <v>45722</v>
      </c>
      <c r="N127" s="11" t="s">
        <v>177</v>
      </c>
      <c r="O127" s="16">
        <v>25</v>
      </c>
      <c r="P127" s="29">
        <v>25</v>
      </c>
      <c r="Q127" s="17">
        <v>25</v>
      </c>
      <c r="R127" s="32">
        <v>25</v>
      </c>
      <c r="S127" s="9">
        <f t="shared" si="101"/>
        <v>100</v>
      </c>
      <c r="T127" s="16">
        <v>25</v>
      </c>
      <c r="U127" s="29">
        <v>25</v>
      </c>
      <c r="V127" s="17">
        <v>25</v>
      </c>
      <c r="W127" s="32">
        <v>25</v>
      </c>
      <c r="X127" s="9">
        <f t="shared" si="102"/>
        <v>100</v>
      </c>
      <c r="Y127" s="104">
        <f t="shared" si="91"/>
        <v>200</v>
      </c>
      <c r="Z127" s="56">
        <v>45726</v>
      </c>
      <c r="AA127" s="35"/>
    </row>
    <row r="128" spans="1:27" x14ac:dyDescent="0.15">
      <c r="A128" s="33" t="s">
        <v>171</v>
      </c>
      <c r="B128" s="16">
        <v>2</v>
      </c>
      <c r="C128" s="29">
        <v>1</v>
      </c>
      <c r="D128" s="17"/>
      <c r="E128" s="20"/>
      <c r="F128" s="45">
        <f t="shared" si="94"/>
        <v>3</v>
      </c>
      <c r="G128" s="16"/>
      <c r="H128" s="29"/>
      <c r="I128" s="17">
        <v>1</v>
      </c>
      <c r="J128" s="20">
        <v>2</v>
      </c>
      <c r="K128" s="45">
        <f t="shared" si="95"/>
        <v>3</v>
      </c>
      <c r="L128" s="104">
        <f t="shared" si="86"/>
        <v>6</v>
      </c>
      <c r="M128" s="56">
        <v>45723</v>
      </c>
      <c r="N128" s="33" t="s">
        <v>39</v>
      </c>
      <c r="O128" s="16"/>
      <c r="P128" s="29">
        <v>5</v>
      </c>
      <c r="Q128" s="17"/>
      <c r="R128" s="32"/>
      <c r="S128" s="9">
        <f>SUM(O128:R128)</f>
        <v>5</v>
      </c>
      <c r="T128" s="16"/>
      <c r="U128" s="29"/>
      <c r="V128" s="17"/>
      <c r="W128" s="32"/>
      <c r="X128" s="9">
        <f>SUM(T128:W128)</f>
        <v>0</v>
      </c>
      <c r="Y128" s="104">
        <f t="shared" si="91"/>
        <v>5</v>
      </c>
      <c r="Z128" s="56">
        <v>45723</v>
      </c>
      <c r="AA128" s="35"/>
    </row>
    <row r="129" spans="1:27" x14ac:dyDescent="0.15">
      <c r="A129" s="33" t="s">
        <v>176</v>
      </c>
      <c r="B129" s="16"/>
      <c r="C129" s="29">
        <v>3</v>
      </c>
      <c r="D129" s="17"/>
      <c r="E129" s="20"/>
      <c r="F129" s="45">
        <f t="shared" si="94"/>
        <v>3</v>
      </c>
      <c r="G129" s="16"/>
      <c r="H129" s="29">
        <v>1</v>
      </c>
      <c r="I129" s="17"/>
      <c r="J129" s="20"/>
      <c r="K129" s="45">
        <f t="shared" si="95"/>
        <v>1</v>
      </c>
      <c r="L129" s="104">
        <f t="shared" si="86"/>
        <v>4</v>
      </c>
      <c r="M129" s="56">
        <v>45723</v>
      </c>
      <c r="N129" s="11" t="s">
        <v>184</v>
      </c>
      <c r="O129" s="16"/>
      <c r="P129" s="29">
        <v>20</v>
      </c>
      <c r="Q129" s="17"/>
      <c r="R129" s="32">
        <v>10</v>
      </c>
      <c r="S129" s="9">
        <f t="shared" si="101"/>
        <v>30</v>
      </c>
      <c r="T129" s="16"/>
      <c r="U129" s="29"/>
      <c r="V129" s="17"/>
      <c r="W129" s="32"/>
      <c r="X129" s="9">
        <f t="shared" si="102"/>
        <v>0</v>
      </c>
      <c r="Y129" s="104">
        <f t="shared" si="91"/>
        <v>30</v>
      </c>
      <c r="Z129" s="56">
        <v>45728</v>
      </c>
      <c r="AA129" s="35"/>
    </row>
    <row r="130" spans="1:27" x14ac:dyDescent="0.15">
      <c r="A130" s="33" t="s">
        <v>181</v>
      </c>
      <c r="B130" s="16"/>
      <c r="C130" s="29"/>
      <c r="D130" s="17"/>
      <c r="E130" s="20"/>
      <c r="F130" s="45">
        <f t="shared" si="94"/>
        <v>0</v>
      </c>
      <c r="G130" s="16">
        <v>1</v>
      </c>
      <c r="H130" s="29"/>
      <c r="I130" s="17"/>
      <c r="J130" s="20">
        <v>2</v>
      </c>
      <c r="K130" s="45">
        <f t="shared" si="95"/>
        <v>3</v>
      </c>
      <c r="L130" s="104">
        <f t="shared" si="86"/>
        <v>3</v>
      </c>
      <c r="M130" s="56">
        <v>45728</v>
      </c>
      <c r="N130" s="11" t="s">
        <v>192</v>
      </c>
      <c r="O130" s="16"/>
      <c r="P130" s="29"/>
      <c r="Q130" s="17"/>
      <c r="R130" s="32">
        <v>5</v>
      </c>
      <c r="S130" s="9">
        <f>SUM(O130:R130)</f>
        <v>5</v>
      </c>
      <c r="T130" s="16"/>
      <c r="U130" s="29"/>
      <c r="V130" s="17"/>
      <c r="W130" s="32"/>
      <c r="X130" s="9">
        <f>SUM(T130:W130)</f>
        <v>0</v>
      </c>
      <c r="Y130" s="104">
        <f t="shared" si="91"/>
        <v>5</v>
      </c>
      <c r="Z130" s="56">
        <v>45730</v>
      </c>
      <c r="AA130" s="35"/>
    </row>
    <row r="131" spans="1:27" x14ac:dyDescent="0.15">
      <c r="A131" s="47" t="s">
        <v>51</v>
      </c>
      <c r="B131" s="16"/>
      <c r="C131" s="29"/>
      <c r="D131" s="17"/>
      <c r="E131" s="20"/>
      <c r="F131" s="45">
        <f t="shared" si="94"/>
        <v>0</v>
      </c>
      <c r="G131" s="16"/>
      <c r="H131" s="29">
        <v>1</v>
      </c>
      <c r="I131" s="17"/>
      <c r="J131" s="20"/>
      <c r="K131" s="45">
        <f t="shared" si="95"/>
        <v>1</v>
      </c>
      <c r="L131" s="104">
        <f t="shared" si="86"/>
        <v>1</v>
      </c>
      <c r="M131" s="56">
        <v>45726</v>
      </c>
      <c r="N131" s="33" t="s">
        <v>39</v>
      </c>
      <c r="O131" s="16"/>
      <c r="P131" s="29"/>
      <c r="Q131" s="17">
        <v>5</v>
      </c>
      <c r="R131" s="32"/>
      <c r="S131" s="9">
        <f t="shared" ref="S131" si="103">SUM(O131:R131)</f>
        <v>5</v>
      </c>
      <c r="T131" s="16">
        <v>3</v>
      </c>
      <c r="U131" s="29">
        <v>3</v>
      </c>
      <c r="V131" s="17"/>
      <c r="W131" s="32"/>
      <c r="X131" s="9">
        <f t="shared" ref="X131" si="104">SUM(T131:W131)</f>
        <v>6</v>
      </c>
      <c r="Y131" s="104">
        <f t="shared" si="91"/>
        <v>11</v>
      </c>
      <c r="Z131" s="56">
        <v>45729</v>
      </c>
      <c r="AA131" s="35"/>
    </row>
    <row r="132" spans="1:27" x14ac:dyDescent="0.15">
      <c r="A132" s="33" t="s">
        <v>187</v>
      </c>
      <c r="B132" s="16"/>
      <c r="C132" s="29"/>
      <c r="D132" s="17">
        <v>1</v>
      </c>
      <c r="E132" s="20"/>
      <c r="F132" s="45">
        <f t="shared" si="94"/>
        <v>1</v>
      </c>
      <c r="G132" s="16"/>
      <c r="H132" s="29">
        <v>1</v>
      </c>
      <c r="I132" s="17"/>
      <c r="J132" s="20"/>
      <c r="K132" s="45">
        <f t="shared" si="95"/>
        <v>1</v>
      </c>
      <c r="L132" s="104">
        <f t="shared" si="86"/>
        <v>2</v>
      </c>
      <c r="M132" s="56">
        <v>45729</v>
      </c>
      <c r="N132" s="11" t="s">
        <v>195</v>
      </c>
      <c r="O132" s="16">
        <v>5</v>
      </c>
      <c r="P132" s="29">
        <v>0</v>
      </c>
      <c r="Q132" s="17">
        <v>5</v>
      </c>
      <c r="R132" s="32"/>
      <c r="S132" s="9">
        <f t="shared" ref="S132:S135" si="105">SUM(O132:R132)</f>
        <v>10</v>
      </c>
      <c r="T132" s="16"/>
      <c r="U132" s="29"/>
      <c r="V132" s="17"/>
      <c r="W132" s="32"/>
      <c r="X132" s="9">
        <f t="shared" ref="X132:X135" si="106">SUM(T132:W132)</f>
        <v>0</v>
      </c>
      <c r="Y132" s="104">
        <f t="shared" si="91"/>
        <v>10</v>
      </c>
      <c r="Z132" s="56">
        <v>45731</v>
      </c>
    </row>
    <row r="133" spans="1:27" x14ac:dyDescent="0.15">
      <c r="A133" s="33" t="s">
        <v>191</v>
      </c>
      <c r="B133" s="16"/>
      <c r="C133" s="29"/>
      <c r="D133" s="17">
        <v>2</v>
      </c>
      <c r="E133" s="20">
        <v>2</v>
      </c>
      <c r="F133" s="45">
        <f t="shared" si="94"/>
        <v>4</v>
      </c>
      <c r="G133" s="16">
        <v>2</v>
      </c>
      <c r="H133" s="29"/>
      <c r="I133" s="17"/>
      <c r="J133" s="20"/>
      <c r="K133" s="45">
        <f t="shared" si="95"/>
        <v>2</v>
      </c>
      <c r="L133" s="104">
        <f t="shared" si="86"/>
        <v>6</v>
      </c>
      <c r="M133" s="56">
        <v>45730</v>
      </c>
      <c r="N133" s="33" t="s">
        <v>197</v>
      </c>
      <c r="O133" s="16"/>
      <c r="P133" s="29">
        <v>1</v>
      </c>
      <c r="Q133" s="17">
        <v>1</v>
      </c>
      <c r="R133" s="32">
        <v>1</v>
      </c>
      <c r="S133" s="9">
        <f t="shared" si="105"/>
        <v>3</v>
      </c>
      <c r="T133" s="16"/>
      <c r="U133" s="29">
        <v>2</v>
      </c>
      <c r="V133" s="17">
        <v>5</v>
      </c>
      <c r="W133" s="32"/>
      <c r="X133" s="9">
        <f t="shared" si="106"/>
        <v>7</v>
      </c>
      <c r="Y133" s="104">
        <f t="shared" si="91"/>
        <v>10</v>
      </c>
      <c r="Z133" s="56">
        <v>45733</v>
      </c>
    </row>
    <row r="134" spans="1:27" x14ac:dyDescent="0.15">
      <c r="A134" s="47" t="s">
        <v>193</v>
      </c>
      <c r="B134" s="16"/>
      <c r="C134" s="29"/>
      <c r="D134" s="17">
        <v>-5</v>
      </c>
      <c r="E134" s="20"/>
      <c r="F134" s="45">
        <f t="shared" si="94"/>
        <v>-5</v>
      </c>
      <c r="G134" s="16">
        <v>-3</v>
      </c>
      <c r="H134" s="29">
        <v>-3</v>
      </c>
      <c r="I134" s="17"/>
      <c r="J134" s="20"/>
      <c r="K134" s="45">
        <f t="shared" si="95"/>
        <v>-6</v>
      </c>
      <c r="L134" s="104">
        <f t="shared" si="86"/>
        <v>-11</v>
      </c>
      <c r="M134" s="56">
        <v>45729</v>
      </c>
      <c r="N134" s="33" t="s">
        <v>198</v>
      </c>
      <c r="O134" s="16"/>
      <c r="P134" s="29">
        <v>4</v>
      </c>
      <c r="Q134" s="17"/>
      <c r="R134" s="32">
        <v>3</v>
      </c>
      <c r="S134" s="9">
        <f t="shared" si="105"/>
        <v>7</v>
      </c>
      <c r="T134" s="16"/>
      <c r="U134" s="29">
        <v>2</v>
      </c>
      <c r="V134" s="17">
        <v>2</v>
      </c>
      <c r="W134" s="32"/>
      <c r="X134" s="9">
        <f t="shared" si="106"/>
        <v>4</v>
      </c>
      <c r="Y134" s="104">
        <f t="shared" si="91"/>
        <v>11</v>
      </c>
      <c r="Z134" s="56">
        <v>45735</v>
      </c>
    </row>
    <row r="135" spans="1:27" x14ac:dyDescent="0.15">
      <c r="A135" s="33" t="s">
        <v>194</v>
      </c>
      <c r="B135" s="16"/>
      <c r="C135" s="29"/>
      <c r="D135" s="17"/>
      <c r="E135" s="20"/>
      <c r="F135" s="45">
        <f t="shared" si="94"/>
        <v>0</v>
      </c>
      <c r="G135" s="16"/>
      <c r="H135" s="29">
        <v>2</v>
      </c>
      <c r="I135" s="17">
        <v>1</v>
      </c>
      <c r="J135" s="20"/>
      <c r="K135" s="45">
        <f t="shared" si="95"/>
        <v>3</v>
      </c>
      <c r="L135" s="104">
        <f t="shared" si="86"/>
        <v>3</v>
      </c>
      <c r="M135" s="56">
        <v>45730</v>
      </c>
      <c r="N135" s="33" t="s">
        <v>39</v>
      </c>
      <c r="O135" s="16">
        <v>3</v>
      </c>
      <c r="P135" s="29">
        <v>5</v>
      </c>
      <c r="Q135" s="17">
        <v>3</v>
      </c>
      <c r="R135" s="32"/>
      <c r="S135" s="9">
        <f t="shared" si="105"/>
        <v>11</v>
      </c>
      <c r="T135" s="16"/>
      <c r="U135" s="29">
        <v>3</v>
      </c>
      <c r="V135" s="17">
        <v>3</v>
      </c>
      <c r="W135" s="32">
        <v>3</v>
      </c>
      <c r="X135" s="9">
        <f t="shared" si="106"/>
        <v>9</v>
      </c>
      <c r="Y135" s="104">
        <f t="shared" si="91"/>
        <v>20</v>
      </c>
      <c r="Z135" s="56">
        <v>45742</v>
      </c>
    </row>
    <row r="136" spans="1:27" x14ac:dyDescent="0.15">
      <c r="A136" s="47" t="s">
        <v>196</v>
      </c>
      <c r="B136" s="16"/>
      <c r="C136" s="29">
        <v>-2</v>
      </c>
      <c r="D136" s="17"/>
      <c r="E136" s="20">
        <v>-1</v>
      </c>
      <c r="F136" s="45">
        <f t="shared" si="94"/>
        <v>-3</v>
      </c>
      <c r="G136" s="16"/>
      <c r="H136" s="29"/>
      <c r="I136" s="17"/>
      <c r="J136" s="20"/>
      <c r="K136" s="45">
        <f t="shared" si="95"/>
        <v>0</v>
      </c>
      <c r="L136" s="104">
        <f t="shared" si="86"/>
        <v>-3</v>
      </c>
      <c r="M136" s="56">
        <v>45729</v>
      </c>
      <c r="N136" s="11" t="s">
        <v>227</v>
      </c>
      <c r="O136" s="16">
        <v>2</v>
      </c>
      <c r="P136" s="29">
        <v>3</v>
      </c>
      <c r="Q136" s="17">
        <v>3</v>
      </c>
      <c r="R136" s="32">
        <v>3</v>
      </c>
      <c r="S136" s="9">
        <f>SUM(O136:R136)</f>
        <v>11</v>
      </c>
      <c r="T136" s="16"/>
      <c r="U136" s="29"/>
      <c r="V136" s="17"/>
      <c r="W136" s="32"/>
      <c r="X136" s="9">
        <f>SUM(T136:W136)</f>
        <v>0</v>
      </c>
      <c r="Y136" s="104">
        <f t="shared" si="91"/>
        <v>11</v>
      </c>
      <c r="Z136" s="56">
        <v>45751</v>
      </c>
    </row>
    <row r="137" spans="1:27" x14ac:dyDescent="0.15">
      <c r="A137" s="47" t="s">
        <v>51</v>
      </c>
      <c r="B137" s="16"/>
      <c r="C137" s="29">
        <v>1</v>
      </c>
      <c r="D137" s="17"/>
      <c r="E137" s="20"/>
      <c r="F137" s="45">
        <f t="shared" si="94"/>
        <v>1</v>
      </c>
      <c r="G137" s="16"/>
      <c r="H137" s="29"/>
      <c r="I137" s="17"/>
      <c r="J137" s="20"/>
      <c r="K137" s="45">
        <f t="shared" si="95"/>
        <v>0</v>
      </c>
      <c r="L137" s="104">
        <f t="shared" si="86"/>
        <v>1</v>
      </c>
      <c r="M137" s="56">
        <v>45733</v>
      </c>
      <c r="N137" s="33" t="s">
        <v>39</v>
      </c>
      <c r="O137" s="16"/>
      <c r="P137" s="29">
        <v>3</v>
      </c>
      <c r="Q137" s="17"/>
      <c r="R137" s="32"/>
      <c r="S137" s="9">
        <f>SUM(O137:R137)</f>
        <v>3</v>
      </c>
      <c r="T137" s="16"/>
      <c r="U137" s="29"/>
      <c r="V137" s="17"/>
      <c r="W137" s="32"/>
      <c r="X137" s="9">
        <f>SUM(T137:W137)</f>
        <v>0</v>
      </c>
      <c r="Y137" s="104">
        <f t="shared" si="91"/>
        <v>3</v>
      </c>
      <c r="Z137" s="56">
        <v>45748</v>
      </c>
    </row>
    <row r="138" spans="1:27" x14ac:dyDescent="0.15">
      <c r="A138" s="33" t="s">
        <v>204</v>
      </c>
      <c r="B138" s="16"/>
      <c r="C138" s="29">
        <v>1</v>
      </c>
      <c r="D138" s="17">
        <v>1</v>
      </c>
      <c r="E138" s="20"/>
      <c r="F138" s="45">
        <f t="shared" si="94"/>
        <v>2</v>
      </c>
      <c r="G138" s="16"/>
      <c r="H138" s="29"/>
      <c r="I138" s="17"/>
      <c r="J138" s="20"/>
      <c r="K138" s="45">
        <f t="shared" si="95"/>
        <v>0</v>
      </c>
      <c r="L138" s="104">
        <f t="shared" si="86"/>
        <v>2</v>
      </c>
      <c r="M138" s="56">
        <v>45737</v>
      </c>
      <c r="N138" s="11" t="s">
        <v>243</v>
      </c>
      <c r="O138" s="16">
        <v>2</v>
      </c>
      <c r="P138" s="29">
        <v>2</v>
      </c>
      <c r="Q138" s="17">
        <v>2</v>
      </c>
      <c r="R138" s="32">
        <v>2</v>
      </c>
      <c r="S138" s="9">
        <f t="shared" ref="S138:S141" si="107">SUM(O138:R138)</f>
        <v>8</v>
      </c>
      <c r="T138" s="16">
        <v>2</v>
      </c>
      <c r="U138" s="29">
        <v>2</v>
      </c>
      <c r="V138" s="17">
        <v>2</v>
      </c>
      <c r="W138" s="32">
        <v>2</v>
      </c>
      <c r="X138" s="9">
        <f t="shared" ref="X138:X141" si="108">SUM(T138:W138)</f>
        <v>8</v>
      </c>
      <c r="Y138" s="104">
        <f t="shared" si="91"/>
        <v>16</v>
      </c>
      <c r="Z138" s="56">
        <v>45756</v>
      </c>
    </row>
    <row r="139" spans="1:27" x14ac:dyDescent="0.15">
      <c r="A139" s="33" t="s">
        <v>207</v>
      </c>
      <c r="B139" s="16"/>
      <c r="C139" s="29">
        <v>1</v>
      </c>
      <c r="D139" s="17"/>
      <c r="E139" s="20"/>
      <c r="F139" s="45">
        <f t="shared" si="94"/>
        <v>1</v>
      </c>
      <c r="G139" s="16"/>
      <c r="H139" s="29"/>
      <c r="I139" s="17">
        <v>1</v>
      </c>
      <c r="J139" s="20"/>
      <c r="K139" s="45">
        <f t="shared" si="95"/>
        <v>1</v>
      </c>
      <c r="L139" s="104">
        <f t="shared" si="86"/>
        <v>2</v>
      </c>
      <c r="M139" s="56">
        <v>45740</v>
      </c>
      <c r="N139" s="33" t="s">
        <v>244</v>
      </c>
      <c r="O139" s="16"/>
      <c r="P139" s="29"/>
      <c r="Q139" s="17"/>
      <c r="R139" s="32">
        <v>7</v>
      </c>
      <c r="S139" s="9">
        <f t="shared" si="107"/>
        <v>7</v>
      </c>
      <c r="T139" s="16"/>
      <c r="U139" s="29"/>
      <c r="V139" s="17"/>
      <c r="W139" s="32"/>
      <c r="X139" s="9">
        <f t="shared" si="108"/>
        <v>0</v>
      </c>
      <c r="Y139" s="104">
        <f t="shared" si="91"/>
        <v>7</v>
      </c>
      <c r="Z139" s="56">
        <v>45751</v>
      </c>
      <c r="AA139" s="35"/>
    </row>
    <row r="140" spans="1:27" x14ac:dyDescent="0.15">
      <c r="A140" s="33" t="s">
        <v>212</v>
      </c>
      <c r="B140" s="16"/>
      <c r="C140" s="29">
        <v>1</v>
      </c>
      <c r="D140" s="17"/>
      <c r="E140" s="20"/>
      <c r="F140" s="45">
        <f t="shared" si="94"/>
        <v>1</v>
      </c>
      <c r="G140" s="16"/>
      <c r="H140" s="29"/>
      <c r="I140" s="17"/>
      <c r="J140" s="20"/>
      <c r="K140" s="45">
        <f t="shared" si="95"/>
        <v>0</v>
      </c>
      <c r="L140" s="104">
        <f t="shared" si="86"/>
        <v>1</v>
      </c>
      <c r="M140" s="56">
        <v>45742</v>
      </c>
      <c r="N140" s="72"/>
      <c r="O140" s="16"/>
      <c r="P140" s="29"/>
      <c r="Q140" s="17"/>
      <c r="R140" s="32"/>
      <c r="S140" s="9">
        <f t="shared" si="107"/>
        <v>0</v>
      </c>
      <c r="T140" s="16"/>
      <c r="U140" s="29"/>
      <c r="V140" s="17"/>
      <c r="W140" s="32"/>
      <c r="X140" s="9">
        <f t="shared" si="108"/>
        <v>0</v>
      </c>
      <c r="Y140" s="104">
        <f t="shared" si="91"/>
        <v>0</v>
      </c>
      <c r="Z140" s="56"/>
      <c r="AA140" s="35"/>
    </row>
    <row r="141" spans="1:27" x14ac:dyDescent="0.15">
      <c r="A141" s="47" t="s">
        <v>51</v>
      </c>
      <c r="B141" s="16">
        <v>1</v>
      </c>
      <c r="C141" s="29">
        <v>1</v>
      </c>
      <c r="D141" s="17">
        <v>1</v>
      </c>
      <c r="E141" s="20"/>
      <c r="F141" s="45">
        <f t="shared" si="94"/>
        <v>3</v>
      </c>
      <c r="G141" s="16"/>
      <c r="H141" s="29"/>
      <c r="I141" s="17"/>
      <c r="J141" s="20"/>
      <c r="K141" s="45">
        <f t="shared" si="95"/>
        <v>0</v>
      </c>
      <c r="L141" s="104">
        <f t="shared" si="86"/>
        <v>3</v>
      </c>
      <c r="M141" s="56">
        <v>45740</v>
      </c>
      <c r="N141" s="72"/>
      <c r="O141" s="41"/>
      <c r="P141" s="42"/>
      <c r="Q141" s="43"/>
      <c r="R141" s="59"/>
      <c r="S141" s="61">
        <f t="shared" si="107"/>
        <v>0</v>
      </c>
      <c r="T141" s="41"/>
      <c r="U141" s="42"/>
      <c r="V141" s="43"/>
      <c r="W141" s="59"/>
      <c r="X141" s="61">
        <f t="shared" si="108"/>
        <v>0</v>
      </c>
      <c r="Y141" s="104">
        <f t="shared" si="91"/>
        <v>0</v>
      </c>
      <c r="Z141" s="56"/>
    </row>
    <row r="142" spans="1:27" x14ac:dyDescent="0.15">
      <c r="A142" s="33" t="s">
        <v>218</v>
      </c>
      <c r="B142" s="16">
        <v>2</v>
      </c>
      <c r="C142" s="29">
        <v>3</v>
      </c>
      <c r="D142" s="17">
        <v>2</v>
      </c>
      <c r="E142" s="20">
        <v>1</v>
      </c>
      <c r="F142" s="45">
        <f t="shared" si="94"/>
        <v>8</v>
      </c>
      <c r="G142" s="16"/>
      <c r="H142" s="29">
        <v>1</v>
      </c>
      <c r="I142" s="17">
        <v>1</v>
      </c>
      <c r="J142" s="20">
        <v>2</v>
      </c>
      <c r="K142" s="45">
        <f t="shared" si="95"/>
        <v>4</v>
      </c>
      <c r="L142" s="104">
        <f t="shared" si="86"/>
        <v>12</v>
      </c>
      <c r="M142" s="56">
        <v>45743</v>
      </c>
      <c r="N142" s="33"/>
      <c r="O142" s="16"/>
      <c r="P142" s="29"/>
      <c r="Q142" s="17"/>
      <c r="R142" s="32"/>
      <c r="S142" s="9">
        <f>SUM(O142:R142)</f>
        <v>0</v>
      </c>
      <c r="T142" s="16"/>
      <c r="U142" s="29"/>
      <c r="V142" s="17"/>
      <c r="W142" s="32"/>
      <c r="X142" s="9">
        <f>SUM(T142:W142)</f>
        <v>0</v>
      </c>
      <c r="Y142" s="104">
        <f t="shared" si="91"/>
        <v>0</v>
      </c>
      <c r="Z142" s="56"/>
    </row>
    <row r="143" spans="1:27" x14ac:dyDescent="0.15">
      <c r="A143" s="47" t="s">
        <v>220</v>
      </c>
      <c r="B143" s="16">
        <v>-3</v>
      </c>
      <c r="C143" s="29">
        <v>-5</v>
      </c>
      <c r="D143" s="17">
        <v>-3</v>
      </c>
      <c r="E143" s="20"/>
      <c r="F143" s="45">
        <f t="shared" si="94"/>
        <v>-11</v>
      </c>
      <c r="G143" s="16"/>
      <c r="H143" s="29">
        <v>-3</v>
      </c>
      <c r="I143" s="17">
        <v>-3</v>
      </c>
      <c r="J143" s="20">
        <v>-3</v>
      </c>
      <c r="K143" s="45">
        <f t="shared" si="95"/>
        <v>-9</v>
      </c>
      <c r="L143" s="104">
        <f t="shared" si="86"/>
        <v>-20</v>
      </c>
      <c r="M143" s="56">
        <v>45742</v>
      </c>
      <c r="N143" s="11"/>
      <c r="O143" s="16"/>
      <c r="P143" s="17"/>
      <c r="Q143" s="29"/>
      <c r="R143" s="60"/>
      <c r="S143" s="9">
        <f t="shared" ref="S143:S149" si="109">SUM(O143:R143)</f>
        <v>0</v>
      </c>
      <c r="T143" s="16"/>
      <c r="U143" s="17"/>
      <c r="V143" s="29"/>
      <c r="W143" s="60"/>
      <c r="X143" s="9">
        <f t="shared" ref="X143:X149" si="110">SUM(T143:W143)</f>
        <v>0</v>
      </c>
      <c r="Y143" s="104">
        <f t="shared" si="91"/>
        <v>0</v>
      </c>
    </row>
    <row r="144" spans="1:27" x14ac:dyDescent="0.15">
      <c r="A144" s="33" t="s">
        <v>221</v>
      </c>
      <c r="B144" s="16"/>
      <c r="C144" s="29"/>
      <c r="D144" s="17"/>
      <c r="E144" s="20">
        <v>1</v>
      </c>
      <c r="F144" s="45">
        <f t="shared" si="94"/>
        <v>1</v>
      </c>
      <c r="G144" s="16"/>
      <c r="H144" s="29"/>
      <c r="I144" s="17"/>
      <c r="J144" s="20"/>
      <c r="K144" s="45">
        <f t="shared" si="95"/>
        <v>0</v>
      </c>
      <c r="L144" s="104">
        <f t="shared" si="86"/>
        <v>1</v>
      </c>
      <c r="M144" s="56">
        <v>45744</v>
      </c>
      <c r="N144" s="11"/>
      <c r="O144" s="16"/>
      <c r="P144" s="29"/>
      <c r="Q144" s="17"/>
      <c r="R144" s="32"/>
      <c r="S144" s="9">
        <f t="shared" si="109"/>
        <v>0</v>
      </c>
      <c r="T144" s="16"/>
      <c r="U144" s="29"/>
      <c r="V144" s="17"/>
      <c r="W144" s="32"/>
      <c r="X144" s="9">
        <f t="shared" si="110"/>
        <v>0</v>
      </c>
      <c r="Y144" s="104">
        <f t="shared" si="91"/>
        <v>0</v>
      </c>
    </row>
    <row r="145" spans="1:27" x14ac:dyDescent="0.15">
      <c r="A145" s="47" t="s">
        <v>51</v>
      </c>
      <c r="B145" s="16"/>
      <c r="C145" s="29"/>
      <c r="D145" s="17"/>
      <c r="E145" s="20"/>
      <c r="F145" s="45">
        <f t="shared" si="94"/>
        <v>0</v>
      </c>
      <c r="G145" s="16"/>
      <c r="H145" s="29">
        <v>1</v>
      </c>
      <c r="I145" s="17"/>
      <c r="J145" s="20"/>
      <c r="K145" s="45">
        <f t="shared" si="95"/>
        <v>1</v>
      </c>
      <c r="L145" s="104">
        <f t="shared" si="86"/>
        <v>1</v>
      </c>
      <c r="M145" s="56">
        <v>45742</v>
      </c>
      <c r="N145" s="11" t="s">
        <v>123</v>
      </c>
      <c r="O145" s="16"/>
      <c r="P145" s="29"/>
      <c r="Q145" s="17"/>
      <c r="R145" s="32"/>
      <c r="S145" s="9">
        <f t="shared" ref="S145:S146" si="111">SUM(O145:R145)</f>
        <v>0</v>
      </c>
      <c r="T145" s="16"/>
      <c r="U145" s="29"/>
      <c r="V145" s="17"/>
      <c r="W145" s="32"/>
      <c r="X145" s="9">
        <f t="shared" ref="X145:X146" si="112">SUM(T145:W145)</f>
        <v>0</v>
      </c>
      <c r="Y145" s="104">
        <f t="shared" ref="Y145:Y146" si="113">S145+X145</f>
        <v>0</v>
      </c>
      <c r="Z145" s="157" t="s">
        <v>124</v>
      </c>
    </row>
    <row r="146" spans="1:27" x14ac:dyDescent="0.15">
      <c r="A146" s="47" t="s">
        <v>51</v>
      </c>
      <c r="B146" s="16">
        <v>1</v>
      </c>
      <c r="C146" s="29"/>
      <c r="D146" s="17"/>
      <c r="E146" s="20"/>
      <c r="F146" s="45">
        <f t="shared" si="94"/>
        <v>1</v>
      </c>
      <c r="G146" s="16"/>
      <c r="H146" s="29"/>
      <c r="I146" s="17"/>
      <c r="J146" s="20"/>
      <c r="K146" s="45">
        <f t="shared" si="95"/>
        <v>0</v>
      </c>
      <c r="L146" s="104">
        <f t="shared" si="86"/>
        <v>1</v>
      </c>
      <c r="M146" s="56">
        <v>45743</v>
      </c>
      <c r="N146" s="11" t="s">
        <v>145</v>
      </c>
      <c r="O146" s="16"/>
      <c r="P146" s="29"/>
      <c r="Q146" s="17"/>
      <c r="R146" s="32"/>
      <c r="S146" s="9">
        <f t="shared" si="111"/>
        <v>0</v>
      </c>
      <c r="T146" s="16"/>
      <c r="U146" s="29"/>
      <c r="V146" s="17"/>
      <c r="W146" s="32"/>
      <c r="X146" s="9">
        <f t="shared" si="112"/>
        <v>0</v>
      </c>
      <c r="Y146" s="104">
        <f t="shared" si="113"/>
        <v>0</v>
      </c>
      <c r="Z146" s="157" t="s">
        <v>146</v>
      </c>
    </row>
    <row r="147" spans="1:27" x14ac:dyDescent="0.15">
      <c r="A147" s="33" t="s">
        <v>234</v>
      </c>
      <c r="B147" s="16"/>
      <c r="C147" s="29"/>
      <c r="D147" s="17"/>
      <c r="E147" s="20"/>
      <c r="F147" s="45">
        <f t="shared" si="94"/>
        <v>0</v>
      </c>
      <c r="G147" s="16"/>
      <c r="H147" s="29"/>
      <c r="I147" s="17"/>
      <c r="J147" s="20">
        <v>1</v>
      </c>
      <c r="K147" s="45">
        <f t="shared" si="95"/>
        <v>1</v>
      </c>
      <c r="L147" s="104">
        <f t="shared" si="86"/>
        <v>1</v>
      </c>
      <c r="M147" s="56">
        <v>45749</v>
      </c>
      <c r="N147" s="72" t="s">
        <v>173</v>
      </c>
      <c r="O147" s="166"/>
      <c r="P147" s="167"/>
      <c r="Q147" s="160"/>
      <c r="R147" s="168"/>
      <c r="S147" s="165">
        <f t="shared" ref="S147:S148" si="114">SUM(O147:R147)</f>
        <v>0</v>
      </c>
      <c r="T147" s="166"/>
      <c r="U147" s="167"/>
      <c r="V147" s="160"/>
      <c r="W147" s="168"/>
      <c r="X147" s="165">
        <f t="shared" ref="X147:X148" si="115">SUM(T147:W147)</f>
        <v>0</v>
      </c>
      <c r="Y147" s="169">
        <f t="shared" ref="Y147:Y148" si="116">S147+X147</f>
        <v>0</v>
      </c>
      <c r="Z147" s="224"/>
    </row>
    <row r="148" spans="1:27" ht="14.25" thickBot="1" x14ac:dyDescent="0.2">
      <c r="A148" s="128" t="s">
        <v>51</v>
      </c>
      <c r="B148" s="37"/>
      <c r="C148" s="38">
        <v>1</v>
      </c>
      <c r="D148" s="39"/>
      <c r="E148" s="40"/>
      <c r="F148" s="46">
        <f t="shared" ref="F148" si="117">SUM(B148:E148)</f>
        <v>1</v>
      </c>
      <c r="G148" s="37"/>
      <c r="H148" s="38"/>
      <c r="I148" s="39"/>
      <c r="J148" s="40"/>
      <c r="K148" s="46">
        <f t="shared" ref="K148" si="118">SUM(G148:J148)</f>
        <v>0</v>
      </c>
      <c r="L148" s="101">
        <f t="shared" ref="L148" si="119">F148+K148</f>
        <v>1</v>
      </c>
      <c r="M148" s="58">
        <v>45747</v>
      </c>
      <c r="N148" s="170" t="s">
        <v>67</v>
      </c>
      <c r="O148" s="37"/>
      <c r="P148" s="38"/>
      <c r="Q148" s="39"/>
      <c r="R148" s="129"/>
      <c r="S148" s="10">
        <f t="shared" si="114"/>
        <v>0</v>
      </c>
      <c r="T148" s="37"/>
      <c r="U148" s="38"/>
      <c r="V148" s="39"/>
      <c r="W148" s="129"/>
      <c r="X148" s="10">
        <f t="shared" si="115"/>
        <v>0</v>
      </c>
      <c r="Y148" s="101">
        <f t="shared" si="116"/>
        <v>0</v>
      </c>
      <c r="Z148" s="157" t="s">
        <v>68</v>
      </c>
      <c r="AA148" s="35"/>
    </row>
    <row r="149" spans="1:27" ht="14.25" thickBot="1" x14ac:dyDescent="0.2">
      <c r="A149" s="49" t="s">
        <v>8</v>
      </c>
      <c r="B149" s="22">
        <f>SUM(B124:B148)</f>
        <v>8</v>
      </c>
      <c r="C149" s="30">
        <f>SUM(C124:C148)</f>
        <v>8</v>
      </c>
      <c r="D149" s="23">
        <f>SUM(D124:D148)</f>
        <v>-1</v>
      </c>
      <c r="E149" s="24">
        <f>SUM(E124:E148)</f>
        <v>4</v>
      </c>
      <c r="F149" s="48">
        <f>SUM(B149:E149)</f>
        <v>19</v>
      </c>
      <c r="G149" s="22">
        <f>SUM(G124:G148)</f>
        <v>0</v>
      </c>
      <c r="H149" s="30">
        <f>SUM(H124:H148)</f>
        <v>1</v>
      </c>
      <c r="I149" s="23">
        <f>SUM(I124:I148)</f>
        <v>3</v>
      </c>
      <c r="J149" s="24">
        <f>SUM(J124:J148)</f>
        <v>6</v>
      </c>
      <c r="K149" s="48">
        <f>SUM(G149:J149)</f>
        <v>10</v>
      </c>
      <c r="L149" s="122">
        <f t="shared" si="86"/>
        <v>29</v>
      </c>
      <c r="N149" s="49" t="s">
        <v>8</v>
      </c>
      <c r="O149" s="22">
        <f>SUM(O124:O148)</f>
        <v>60</v>
      </c>
      <c r="P149" s="30">
        <f>SUM(P124:P148)</f>
        <v>99</v>
      </c>
      <c r="Q149" s="23">
        <f>SUM(Q124:Q148)</f>
        <v>69</v>
      </c>
      <c r="R149" s="24">
        <f>SUM(R124:R148)</f>
        <v>82</v>
      </c>
      <c r="S149" s="48">
        <f t="shared" si="109"/>
        <v>310</v>
      </c>
      <c r="T149" s="22">
        <f>SUM(T124:T148)</f>
        <v>32</v>
      </c>
      <c r="U149" s="30">
        <f>SUM(U124:U148)</f>
        <v>39</v>
      </c>
      <c r="V149" s="23">
        <f>SUM(V124:V148)</f>
        <v>41</v>
      </c>
      <c r="W149" s="24">
        <f>SUM(W124:W148)</f>
        <v>34</v>
      </c>
      <c r="X149" s="48">
        <f t="shared" si="110"/>
        <v>146</v>
      </c>
      <c r="Y149" s="122">
        <f t="shared" si="91"/>
        <v>456</v>
      </c>
    </row>
    <row r="150" spans="1:27" ht="14.25" thickBot="1" x14ac:dyDescent="0.2">
      <c r="A150" s="14" t="s">
        <v>9</v>
      </c>
      <c r="B150" s="25">
        <f t="shared" ref="B150:K150" si="120">B123-B149</f>
        <v>5</v>
      </c>
      <c r="C150" s="31">
        <f t="shared" si="120"/>
        <v>2</v>
      </c>
      <c r="D150" s="26">
        <f t="shared" si="120"/>
        <v>4</v>
      </c>
      <c r="E150" s="27">
        <f t="shared" si="120"/>
        <v>3</v>
      </c>
      <c r="F150" s="83">
        <f t="shared" si="120"/>
        <v>14</v>
      </c>
      <c r="G150" s="25">
        <f t="shared" si="120"/>
        <v>5</v>
      </c>
      <c r="H150" s="31">
        <f t="shared" si="120"/>
        <v>6</v>
      </c>
      <c r="I150" s="26">
        <f t="shared" si="120"/>
        <v>5</v>
      </c>
      <c r="J150" s="27">
        <f t="shared" si="120"/>
        <v>4</v>
      </c>
      <c r="K150" s="83">
        <f t="shared" si="120"/>
        <v>20</v>
      </c>
      <c r="L150" s="102">
        <f t="shared" si="86"/>
        <v>34</v>
      </c>
      <c r="N150" s="13" t="s">
        <v>9</v>
      </c>
      <c r="O150" s="25">
        <f t="shared" ref="O150:X150" si="121">O123-O149</f>
        <v>56</v>
      </c>
      <c r="P150" s="31">
        <f t="shared" si="121"/>
        <v>31</v>
      </c>
      <c r="Q150" s="26">
        <f t="shared" si="121"/>
        <v>35</v>
      </c>
      <c r="R150" s="27">
        <f t="shared" si="121"/>
        <v>3</v>
      </c>
      <c r="S150" s="36">
        <f t="shared" si="121"/>
        <v>125</v>
      </c>
      <c r="T150" s="25">
        <f t="shared" si="121"/>
        <v>64</v>
      </c>
      <c r="U150" s="31">
        <f t="shared" si="121"/>
        <v>77</v>
      </c>
      <c r="V150" s="26">
        <f t="shared" si="121"/>
        <v>69</v>
      </c>
      <c r="W150" s="27">
        <f t="shared" si="121"/>
        <v>45</v>
      </c>
      <c r="X150" s="36">
        <f t="shared" si="121"/>
        <v>255</v>
      </c>
      <c r="Y150" s="102">
        <f t="shared" si="91"/>
        <v>380</v>
      </c>
    </row>
    <row r="152" spans="1:27" x14ac:dyDescent="0.15">
      <c r="O152" s="55"/>
      <c r="P152" s="55"/>
      <c r="Q152" s="55"/>
      <c r="R152" s="55"/>
      <c r="S152" s="55"/>
      <c r="T152" s="55"/>
      <c r="U152" s="55"/>
      <c r="V152" s="55"/>
      <c r="W152" s="55"/>
    </row>
    <row r="153" spans="1:27" ht="19.5" thickBot="1" x14ac:dyDescent="0.25">
      <c r="A153" s="2" t="s">
        <v>18</v>
      </c>
      <c r="B153" s="2"/>
      <c r="C153" s="1"/>
      <c r="D153" s="1"/>
      <c r="E153" s="1"/>
      <c r="F153" s="84"/>
      <c r="G153" s="2"/>
      <c r="H153" s="1" t="s">
        <v>157</v>
      </c>
      <c r="I153" s="1"/>
      <c r="J153" s="1"/>
      <c r="K153" s="84" t="s">
        <v>13</v>
      </c>
      <c r="L153" s="84"/>
      <c r="N153" s="2" t="s">
        <v>19</v>
      </c>
      <c r="O153" s="71"/>
      <c r="P153" s="71"/>
      <c r="Q153" s="71"/>
      <c r="R153" s="71"/>
      <c r="S153" s="84"/>
      <c r="T153" s="1" t="s">
        <v>157</v>
      </c>
      <c r="U153" s="71"/>
      <c r="V153" s="71"/>
      <c r="W153" s="71"/>
      <c r="X153" s="84" t="s">
        <v>13</v>
      </c>
    </row>
    <row r="154" spans="1:27" ht="14.25" thickBot="1" x14ac:dyDescent="0.2">
      <c r="A154" s="5" t="s">
        <v>0</v>
      </c>
      <c r="B154" s="322" t="s">
        <v>32</v>
      </c>
      <c r="C154" s="323"/>
      <c r="D154" s="323"/>
      <c r="E154" s="323"/>
      <c r="F154" s="324"/>
      <c r="G154" s="325" t="s">
        <v>31</v>
      </c>
      <c r="H154" s="326"/>
      <c r="I154" s="326"/>
      <c r="J154" s="326"/>
      <c r="K154" s="327"/>
      <c r="L154" s="320" t="s">
        <v>30</v>
      </c>
      <c r="N154" s="5" t="s">
        <v>0</v>
      </c>
      <c r="O154" s="322" t="s">
        <v>200</v>
      </c>
      <c r="P154" s="323"/>
      <c r="Q154" s="323"/>
      <c r="R154" s="323"/>
      <c r="S154" s="324"/>
      <c r="T154" s="325" t="s">
        <v>201</v>
      </c>
      <c r="U154" s="326"/>
      <c r="V154" s="326"/>
      <c r="W154" s="326"/>
      <c r="X154" s="327"/>
      <c r="Y154" s="320" t="s">
        <v>30</v>
      </c>
    </row>
    <row r="155" spans="1:27" ht="14.25" thickBot="1" x14ac:dyDescent="0.2">
      <c r="A155" s="5" t="s">
        <v>1</v>
      </c>
      <c r="B155" s="3" t="s">
        <v>22</v>
      </c>
      <c r="C155" s="28" t="s">
        <v>23</v>
      </c>
      <c r="D155" s="4" t="s">
        <v>24</v>
      </c>
      <c r="E155" s="15" t="s">
        <v>25</v>
      </c>
      <c r="F155" s="19" t="s">
        <v>2</v>
      </c>
      <c r="G155" s="3" t="s">
        <v>22</v>
      </c>
      <c r="H155" s="28" t="s">
        <v>23</v>
      </c>
      <c r="I155" s="4" t="s">
        <v>24</v>
      </c>
      <c r="J155" s="15" t="s">
        <v>25</v>
      </c>
      <c r="K155" s="19" t="s">
        <v>2</v>
      </c>
      <c r="L155" s="321"/>
      <c r="N155" s="5" t="s">
        <v>1</v>
      </c>
      <c r="O155" s="3" t="s">
        <v>22</v>
      </c>
      <c r="P155" s="28" t="s">
        <v>23</v>
      </c>
      <c r="Q155" s="4" t="s">
        <v>24</v>
      </c>
      <c r="R155" s="15" t="s">
        <v>25</v>
      </c>
      <c r="S155" s="19" t="s">
        <v>2</v>
      </c>
      <c r="T155" s="3" t="s">
        <v>22</v>
      </c>
      <c r="U155" s="28" t="s">
        <v>23</v>
      </c>
      <c r="V155" s="4" t="s">
        <v>24</v>
      </c>
      <c r="W155" s="15" t="s">
        <v>25</v>
      </c>
      <c r="X155" s="19" t="s">
        <v>2</v>
      </c>
      <c r="Y155" s="321"/>
    </row>
    <row r="156" spans="1:27" x14ac:dyDescent="0.15">
      <c r="A156" s="78" t="s">
        <v>10</v>
      </c>
      <c r="B156" s="79">
        <f>B150</f>
        <v>5</v>
      </c>
      <c r="C156" s="80">
        <f>C150</f>
        <v>2</v>
      </c>
      <c r="D156" s="80">
        <f>D150</f>
        <v>4</v>
      </c>
      <c r="E156" s="81">
        <f>E150</f>
        <v>3</v>
      </c>
      <c r="F156" s="82">
        <f>SUM(B156:E156)</f>
        <v>14</v>
      </c>
      <c r="G156" s="79">
        <f>G150</f>
        <v>5</v>
      </c>
      <c r="H156" s="80">
        <f>H150</f>
        <v>6</v>
      </c>
      <c r="I156" s="80">
        <f>I150</f>
        <v>5</v>
      </c>
      <c r="J156" s="81">
        <f>J150</f>
        <v>4</v>
      </c>
      <c r="K156" s="82">
        <f>SUM(G156:J156)</f>
        <v>20</v>
      </c>
      <c r="L156" s="98">
        <f>F156+K156</f>
        <v>34</v>
      </c>
      <c r="N156" s="78" t="s">
        <v>10</v>
      </c>
      <c r="O156" s="79">
        <f>O150</f>
        <v>56</v>
      </c>
      <c r="P156" s="80">
        <f>P150</f>
        <v>31</v>
      </c>
      <c r="Q156" s="80">
        <f>Q150</f>
        <v>35</v>
      </c>
      <c r="R156" s="81">
        <f>R150</f>
        <v>3</v>
      </c>
      <c r="S156" s="82">
        <f>SUM(O156:R156)</f>
        <v>125</v>
      </c>
      <c r="T156" s="79">
        <f>T150</f>
        <v>64</v>
      </c>
      <c r="U156" s="80">
        <f>U150</f>
        <v>77</v>
      </c>
      <c r="V156" s="80">
        <f>V150</f>
        <v>69</v>
      </c>
      <c r="W156" s="81">
        <f>W150</f>
        <v>45</v>
      </c>
      <c r="X156" s="82">
        <f>SUM(T156:W156)</f>
        <v>255</v>
      </c>
      <c r="Y156" s="98">
        <f>S156+X156</f>
        <v>380</v>
      </c>
    </row>
    <row r="157" spans="1:27" x14ac:dyDescent="0.15">
      <c r="A157" s="47" t="s">
        <v>3</v>
      </c>
      <c r="B157" s="51"/>
      <c r="C157" s="52">
        <v>3</v>
      </c>
      <c r="D157" s="53"/>
      <c r="E157" s="54"/>
      <c r="F157" s="61">
        <f>SUM(B157:E157)</f>
        <v>3</v>
      </c>
      <c r="G157" s="51"/>
      <c r="H157" s="52"/>
      <c r="I157" s="53"/>
      <c r="J157" s="54"/>
      <c r="K157" s="61">
        <f>SUM(G157:J157)</f>
        <v>0</v>
      </c>
      <c r="L157" s="99">
        <f t="shared" ref="L157:L188" si="122">F157+K157</f>
        <v>3</v>
      </c>
      <c r="M157" s="56">
        <v>45748</v>
      </c>
      <c r="N157" s="186" t="s">
        <v>11</v>
      </c>
      <c r="O157" s="166">
        <v>0</v>
      </c>
      <c r="P157" s="167">
        <v>35</v>
      </c>
      <c r="Q157" s="160">
        <v>35</v>
      </c>
      <c r="R157" s="179">
        <v>60</v>
      </c>
      <c r="S157" s="184">
        <f>SUM(O157:R157)</f>
        <v>130</v>
      </c>
      <c r="T157" s="166"/>
      <c r="U157" s="167"/>
      <c r="V157" s="160"/>
      <c r="W157" s="179"/>
      <c r="X157" s="184">
        <f>SUM(T157:W157)</f>
        <v>0</v>
      </c>
      <c r="Y157" s="185">
        <f t="shared" ref="Y157:Y188" si="123">S157+X157</f>
        <v>130</v>
      </c>
      <c r="Z157" s="226" t="s">
        <v>293</v>
      </c>
      <c r="AA157" s="35"/>
    </row>
    <row r="158" spans="1:27" x14ac:dyDescent="0.15">
      <c r="A158" s="12" t="s">
        <v>4</v>
      </c>
      <c r="B158" s="6">
        <v>1</v>
      </c>
      <c r="C158" s="18"/>
      <c r="D158" s="7"/>
      <c r="E158" s="8"/>
      <c r="F158" s="9">
        <f>SUM(B158:E158)</f>
        <v>1</v>
      </c>
      <c r="G158" s="6"/>
      <c r="H158" s="18">
        <v>1</v>
      </c>
      <c r="I158" s="7"/>
      <c r="J158" s="8"/>
      <c r="K158" s="9">
        <f>SUM(G158:J158)</f>
        <v>1</v>
      </c>
      <c r="L158" s="100">
        <f t="shared" si="122"/>
        <v>2</v>
      </c>
      <c r="M158" s="56">
        <v>45752</v>
      </c>
      <c r="N158" s="186" t="s">
        <v>71</v>
      </c>
      <c r="O158" s="166">
        <v>0</v>
      </c>
      <c r="P158" s="167">
        <v>30</v>
      </c>
      <c r="Q158" s="160">
        <v>20</v>
      </c>
      <c r="R158" s="179">
        <v>10</v>
      </c>
      <c r="S158" s="184">
        <f>SUM(O158:R158)</f>
        <v>60</v>
      </c>
      <c r="T158" s="166"/>
      <c r="U158" s="167"/>
      <c r="V158" s="160"/>
      <c r="W158" s="179"/>
      <c r="X158" s="184">
        <f>SUM(T158:W158)</f>
        <v>0</v>
      </c>
      <c r="Y158" s="185">
        <f t="shared" si="123"/>
        <v>60</v>
      </c>
      <c r="Z158" s="226" t="s">
        <v>305</v>
      </c>
      <c r="AA158" s="35"/>
    </row>
    <row r="159" spans="1:27" x14ac:dyDescent="0.15">
      <c r="A159" s="12" t="s">
        <v>5</v>
      </c>
      <c r="B159" s="6"/>
      <c r="C159" s="18"/>
      <c r="D159" s="7"/>
      <c r="E159" s="8"/>
      <c r="F159" s="9">
        <f>SUM(B159:E159)</f>
        <v>0</v>
      </c>
      <c r="G159" s="6">
        <v>3</v>
      </c>
      <c r="H159" s="18"/>
      <c r="I159" s="7"/>
      <c r="J159" s="8">
        <v>3</v>
      </c>
      <c r="K159" s="9">
        <f>SUM(G159:J159)</f>
        <v>6</v>
      </c>
      <c r="L159" s="100">
        <f t="shared" si="122"/>
        <v>6</v>
      </c>
      <c r="M159" s="56">
        <v>45756</v>
      </c>
      <c r="N159" s="12" t="s">
        <v>4</v>
      </c>
      <c r="O159" s="16"/>
      <c r="P159" s="29"/>
      <c r="Q159" s="17"/>
      <c r="R159" s="20"/>
      <c r="S159" s="45">
        <f>SUM(O159:R159)</f>
        <v>0</v>
      </c>
      <c r="T159" s="16"/>
      <c r="U159" s="29"/>
      <c r="V159" s="17"/>
      <c r="W159" s="20"/>
      <c r="X159" s="45">
        <f>SUM(T159:W159)</f>
        <v>0</v>
      </c>
      <c r="Y159" s="100">
        <f t="shared" ref="Y159:Y160" si="124">S159+X159</f>
        <v>0</v>
      </c>
      <c r="Z159" s="56"/>
      <c r="AA159" s="35"/>
    </row>
    <row r="160" spans="1:27" ht="14.25" thickBot="1" x14ac:dyDescent="0.2">
      <c r="A160" s="12" t="s">
        <v>66</v>
      </c>
      <c r="B160" s="6">
        <v>1</v>
      </c>
      <c r="C160" s="18"/>
      <c r="D160" s="7"/>
      <c r="E160" s="8">
        <v>1</v>
      </c>
      <c r="F160" s="10">
        <f>SUM(B160:E160)</f>
        <v>2</v>
      </c>
      <c r="G160" s="6"/>
      <c r="H160" s="18"/>
      <c r="I160" s="7">
        <v>1</v>
      </c>
      <c r="J160" s="8"/>
      <c r="K160" s="10">
        <f>SUM(G160:J160)</f>
        <v>1</v>
      </c>
      <c r="L160" s="101">
        <f t="shared" si="122"/>
        <v>3</v>
      </c>
      <c r="M160" s="56">
        <v>45757</v>
      </c>
      <c r="N160" s="12" t="s">
        <v>5</v>
      </c>
      <c r="O160" s="16"/>
      <c r="P160" s="29"/>
      <c r="Q160" s="17"/>
      <c r="R160" s="20"/>
      <c r="S160" s="45">
        <f>SUM(O160:R160)</f>
        <v>0</v>
      </c>
      <c r="T160" s="16"/>
      <c r="U160" s="29"/>
      <c r="V160" s="17"/>
      <c r="W160" s="20"/>
      <c r="X160" s="45">
        <f>SUM(T160:W160)</f>
        <v>0</v>
      </c>
      <c r="Y160" s="100">
        <f t="shared" si="124"/>
        <v>0</v>
      </c>
      <c r="Z160" s="56"/>
      <c r="AA160" s="34"/>
    </row>
    <row r="161" spans="1:27" ht="14.25" thickBot="1" x14ac:dyDescent="0.2">
      <c r="A161" s="14" t="s">
        <v>7</v>
      </c>
      <c r="B161" s="62">
        <f t="shared" ref="B161:K161" si="125">SUM(B156:B160)</f>
        <v>7</v>
      </c>
      <c r="C161" s="63">
        <f t="shared" si="125"/>
        <v>5</v>
      </c>
      <c r="D161" s="64">
        <f t="shared" si="125"/>
        <v>4</v>
      </c>
      <c r="E161" s="65">
        <f t="shared" si="125"/>
        <v>4</v>
      </c>
      <c r="F161" s="66">
        <f t="shared" si="125"/>
        <v>20</v>
      </c>
      <c r="G161" s="62">
        <f t="shared" si="125"/>
        <v>8</v>
      </c>
      <c r="H161" s="63">
        <f t="shared" si="125"/>
        <v>7</v>
      </c>
      <c r="I161" s="64">
        <f t="shared" si="125"/>
        <v>6</v>
      </c>
      <c r="J161" s="65">
        <f t="shared" si="125"/>
        <v>7</v>
      </c>
      <c r="K161" s="66">
        <f t="shared" si="125"/>
        <v>28</v>
      </c>
      <c r="L161" s="102">
        <f t="shared" si="122"/>
        <v>48</v>
      </c>
      <c r="N161" s="13" t="s">
        <v>7</v>
      </c>
      <c r="O161" s="25">
        <f t="shared" ref="O161:X161" si="126">SUM(O156:O160)</f>
        <v>56</v>
      </c>
      <c r="P161" s="31">
        <f t="shared" si="126"/>
        <v>96</v>
      </c>
      <c r="Q161" s="26">
        <f t="shared" si="126"/>
        <v>90</v>
      </c>
      <c r="R161" s="67">
        <f t="shared" si="126"/>
        <v>73</v>
      </c>
      <c r="S161" s="68">
        <f t="shared" si="126"/>
        <v>315</v>
      </c>
      <c r="T161" s="25">
        <f t="shared" si="126"/>
        <v>64</v>
      </c>
      <c r="U161" s="31">
        <f t="shared" si="126"/>
        <v>77</v>
      </c>
      <c r="V161" s="26">
        <f t="shared" si="126"/>
        <v>69</v>
      </c>
      <c r="W161" s="67">
        <f t="shared" si="126"/>
        <v>45</v>
      </c>
      <c r="X161" s="68">
        <f t="shared" si="126"/>
        <v>255</v>
      </c>
      <c r="Y161" s="102">
        <f t="shared" si="123"/>
        <v>570</v>
      </c>
      <c r="Z161" s="227"/>
    </row>
    <row r="162" spans="1:27" x14ac:dyDescent="0.15">
      <c r="A162" s="33" t="s">
        <v>236</v>
      </c>
      <c r="B162" s="41"/>
      <c r="C162" s="42"/>
      <c r="D162" s="43"/>
      <c r="E162" s="44"/>
      <c r="F162" s="70">
        <f t="shared" ref="F162:F185" si="127">SUM(B162:E162)</f>
        <v>0</v>
      </c>
      <c r="G162" s="41">
        <v>1</v>
      </c>
      <c r="H162" s="42"/>
      <c r="I162" s="43"/>
      <c r="J162" s="44"/>
      <c r="K162" s="70">
        <f t="shared" ref="K162:K185" si="128">SUM(G162:J162)</f>
        <v>1</v>
      </c>
      <c r="L162" s="103">
        <f t="shared" si="122"/>
        <v>1</v>
      </c>
      <c r="M162" s="56">
        <v>45750</v>
      </c>
      <c r="N162" s="33" t="s">
        <v>255</v>
      </c>
      <c r="O162" s="16">
        <v>1</v>
      </c>
      <c r="P162" s="29"/>
      <c r="Q162" s="17"/>
      <c r="R162" s="32"/>
      <c r="S162" s="9">
        <f t="shared" ref="S162:S163" si="129">SUM(O162:R162)</f>
        <v>1</v>
      </c>
      <c r="T162" s="16"/>
      <c r="U162" s="29">
        <v>1</v>
      </c>
      <c r="V162" s="17"/>
      <c r="W162" s="32"/>
      <c r="X162" s="9">
        <f t="shared" ref="X162:X163" si="130">SUM(T162:W162)</f>
        <v>1</v>
      </c>
      <c r="Y162" s="104">
        <f t="shared" ref="Y162:Y164" si="131">S162+X162</f>
        <v>2</v>
      </c>
      <c r="Z162" s="56">
        <v>45752</v>
      </c>
    </row>
    <row r="163" spans="1:27" x14ac:dyDescent="0.15">
      <c r="A163" s="33" t="s">
        <v>250</v>
      </c>
      <c r="B163" s="16"/>
      <c r="C163" s="29"/>
      <c r="D163" s="17"/>
      <c r="E163" s="20"/>
      <c r="F163" s="45">
        <f t="shared" si="127"/>
        <v>0</v>
      </c>
      <c r="G163" s="16">
        <v>1</v>
      </c>
      <c r="H163" s="29"/>
      <c r="I163" s="17"/>
      <c r="J163" s="20"/>
      <c r="K163" s="45">
        <f t="shared" si="128"/>
        <v>1</v>
      </c>
      <c r="L163" s="104">
        <f t="shared" si="122"/>
        <v>1</v>
      </c>
      <c r="M163" s="56">
        <v>45751</v>
      </c>
      <c r="N163" s="33" t="s">
        <v>258</v>
      </c>
      <c r="O163" s="16"/>
      <c r="P163" s="29"/>
      <c r="Q163" s="17"/>
      <c r="R163" s="20"/>
      <c r="S163" s="45">
        <f t="shared" si="129"/>
        <v>0</v>
      </c>
      <c r="T163" s="16"/>
      <c r="U163" s="29"/>
      <c r="V163" s="17"/>
      <c r="W163" s="20">
        <v>2</v>
      </c>
      <c r="X163" s="45">
        <f t="shared" si="130"/>
        <v>2</v>
      </c>
      <c r="Y163" s="104">
        <f t="shared" si="131"/>
        <v>2</v>
      </c>
      <c r="Z163" s="56">
        <v>45757</v>
      </c>
    </row>
    <row r="164" spans="1:27" x14ac:dyDescent="0.15">
      <c r="A164" s="33" t="s">
        <v>256</v>
      </c>
      <c r="B164" s="16"/>
      <c r="C164" s="29"/>
      <c r="D164" s="17"/>
      <c r="E164" s="20"/>
      <c r="F164" s="45">
        <f t="shared" si="127"/>
        <v>0</v>
      </c>
      <c r="G164" s="16"/>
      <c r="H164" s="29"/>
      <c r="I164" s="17"/>
      <c r="J164" s="20">
        <v>1</v>
      </c>
      <c r="K164" s="45">
        <f t="shared" si="128"/>
        <v>1</v>
      </c>
      <c r="L164" s="104">
        <f t="shared" si="122"/>
        <v>1</v>
      </c>
      <c r="M164" s="56">
        <v>45756</v>
      </c>
      <c r="N164" s="33" t="s">
        <v>39</v>
      </c>
      <c r="O164" s="16"/>
      <c r="P164" s="29"/>
      <c r="Q164" s="17"/>
      <c r="R164" s="32"/>
      <c r="S164" s="9">
        <f>SUM(O164:R164)</f>
        <v>0</v>
      </c>
      <c r="T164" s="16">
        <v>3</v>
      </c>
      <c r="U164" s="29"/>
      <c r="V164" s="17"/>
      <c r="W164" s="32">
        <v>3</v>
      </c>
      <c r="X164" s="9">
        <f>SUM(T164:W164)</f>
        <v>6</v>
      </c>
      <c r="Y164" s="104">
        <f t="shared" si="131"/>
        <v>6</v>
      </c>
      <c r="Z164" s="56">
        <v>45756</v>
      </c>
    </row>
    <row r="165" spans="1:27" x14ac:dyDescent="0.15">
      <c r="A165" s="47" t="s">
        <v>51</v>
      </c>
      <c r="B165" s="16">
        <v>1</v>
      </c>
      <c r="C165" s="29"/>
      <c r="D165" s="17"/>
      <c r="E165" s="20"/>
      <c r="F165" s="45">
        <f t="shared" si="127"/>
        <v>1</v>
      </c>
      <c r="G165" s="16"/>
      <c r="H165" s="29">
        <v>1</v>
      </c>
      <c r="I165" s="17"/>
      <c r="J165" s="20"/>
      <c r="K165" s="45">
        <f t="shared" si="128"/>
        <v>1</v>
      </c>
      <c r="L165" s="104">
        <f t="shared" si="122"/>
        <v>2</v>
      </c>
      <c r="M165" s="56">
        <v>45754</v>
      </c>
      <c r="N165" s="33" t="s">
        <v>260</v>
      </c>
      <c r="O165" s="16"/>
      <c r="P165" s="29"/>
      <c r="Q165" s="17">
        <v>3</v>
      </c>
      <c r="R165" s="32"/>
      <c r="S165" s="9">
        <f t="shared" ref="S165:S171" si="132">SUM(O165:R165)</f>
        <v>3</v>
      </c>
      <c r="T165" s="16"/>
      <c r="U165" s="29"/>
      <c r="V165" s="17"/>
      <c r="W165" s="32"/>
      <c r="X165" s="9">
        <f t="shared" ref="X165:X171" si="133">SUM(T165:W165)</f>
        <v>0</v>
      </c>
      <c r="Y165" s="104">
        <f t="shared" si="123"/>
        <v>3</v>
      </c>
      <c r="Z165" s="56">
        <v>45758</v>
      </c>
      <c r="AA165" s="35"/>
    </row>
    <row r="166" spans="1:27" x14ac:dyDescent="0.15">
      <c r="A166" s="47" t="s">
        <v>51</v>
      </c>
      <c r="B166" s="16"/>
      <c r="C166" s="29"/>
      <c r="D166" s="17"/>
      <c r="E166" s="20"/>
      <c r="F166" s="45">
        <f t="shared" ref="F166" si="134">SUM(B166:E166)</f>
        <v>0</v>
      </c>
      <c r="G166" s="16"/>
      <c r="H166" s="29">
        <v>1</v>
      </c>
      <c r="I166" s="17"/>
      <c r="J166" s="20"/>
      <c r="K166" s="45">
        <f t="shared" ref="K166" si="135">SUM(G166:J166)</f>
        <v>1</v>
      </c>
      <c r="L166" s="104">
        <f t="shared" ref="L166" si="136">F166+K166</f>
        <v>1</v>
      </c>
      <c r="M166" s="56">
        <v>45755</v>
      </c>
      <c r="N166" s="11" t="s">
        <v>39</v>
      </c>
      <c r="O166" s="16"/>
      <c r="P166" s="29">
        <v>3</v>
      </c>
      <c r="Q166" s="17"/>
      <c r="R166" s="32"/>
      <c r="S166" s="9">
        <f t="shared" si="132"/>
        <v>3</v>
      </c>
      <c r="T166" s="16"/>
      <c r="U166" s="29"/>
      <c r="V166" s="17"/>
      <c r="W166" s="32"/>
      <c r="X166" s="9">
        <f t="shared" si="133"/>
        <v>0</v>
      </c>
      <c r="Y166" s="104">
        <f t="shared" si="123"/>
        <v>3</v>
      </c>
      <c r="Z166" s="56">
        <v>45761</v>
      </c>
      <c r="AA166" s="35"/>
    </row>
    <row r="167" spans="1:27" x14ac:dyDescent="0.15">
      <c r="A167" s="47" t="s">
        <v>51</v>
      </c>
      <c r="B167" s="16">
        <v>-1</v>
      </c>
      <c r="C167" s="29">
        <f>1+1</f>
        <v>2</v>
      </c>
      <c r="D167" s="17"/>
      <c r="E167" s="20"/>
      <c r="F167" s="45">
        <f t="shared" si="127"/>
        <v>1</v>
      </c>
      <c r="G167" s="16"/>
      <c r="H167" s="29"/>
      <c r="I167" s="17"/>
      <c r="J167" s="20"/>
      <c r="K167" s="45">
        <f t="shared" si="128"/>
        <v>0</v>
      </c>
      <c r="L167" s="104">
        <f t="shared" si="122"/>
        <v>1</v>
      </c>
      <c r="M167" s="56">
        <v>45756</v>
      </c>
      <c r="N167" s="33" t="s">
        <v>271</v>
      </c>
      <c r="O167" s="16"/>
      <c r="P167" s="29">
        <v>12</v>
      </c>
      <c r="Q167" s="17">
        <v>10</v>
      </c>
      <c r="R167" s="32">
        <v>10</v>
      </c>
      <c r="S167" s="9">
        <f t="shared" si="132"/>
        <v>32</v>
      </c>
      <c r="T167" s="16"/>
      <c r="U167" s="29"/>
      <c r="V167" s="17"/>
      <c r="W167" s="32"/>
      <c r="X167" s="9">
        <f t="shared" si="133"/>
        <v>0</v>
      </c>
      <c r="Y167" s="104">
        <f t="shared" si="123"/>
        <v>32</v>
      </c>
      <c r="Z167" s="56">
        <v>45770</v>
      </c>
      <c r="AA167" s="35"/>
    </row>
    <row r="168" spans="1:27" x14ac:dyDescent="0.15">
      <c r="A168" s="47" t="s">
        <v>51</v>
      </c>
      <c r="B168" s="16"/>
      <c r="C168" s="29"/>
      <c r="D168" s="17"/>
      <c r="E168" s="20"/>
      <c r="F168" s="45">
        <f t="shared" si="127"/>
        <v>0</v>
      </c>
      <c r="G168" s="16"/>
      <c r="H168" s="29"/>
      <c r="I168" s="17">
        <v>1</v>
      </c>
      <c r="J168" s="20"/>
      <c r="K168" s="45">
        <f t="shared" si="128"/>
        <v>1</v>
      </c>
      <c r="L168" s="104">
        <f t="shared" si="122"/>
        <v>1</v>
      </c>
      <c r="M168" s="56">
        <v>45757</v>
      </c>
      <c r="N168" s="11" t="s">
        <v>39</v>
      </c>
      <c r="O168" s="16"/>
      <c r="P168" s="29"/>
      <c r="Q168" s="17">
        <v>10</v>
      </c>
      <c r="R168" s="32"/>
      <c r="S168" s="9">
        <f t="shared" si="132"/>
        <v>10</v>
      </c>
      <c r="T168" s="16"/>
      <c r="U168" s="29"/>
      <c r="V168" s="17"/>
      <c r="W168" s="32"/>
      <c r="X168" s="9">
        <f t="shared" si="133"/>
        <v>0</v>
      </c>
      <c r="Y168" s="104">
        <f t="shared" si="123"/>
        <v>10</v>
      </c>
      <c r="Z168" s="56">
        <v>45763</v>
      </c>
      <c r="AA168" s="35"/>
    </row>
    <row r="169" spans="1:27" x14ac:dyDescent="0.15">
      <c r="A169" s="47" t="s">
        <v>265</v>
      </c>
      <c r="B169" s="16"/>
      <c r="C169" s="29">
        <v>-3</v>
      </c>
      <c r="D169" s="17"/>
      <c r="E169" s="20"/>
      <c r="F169" s="45">
        <f t="shared" si="127"/>
        <v>-3</v>
      </c>
      <c r="G169" s="16"/>
      <c r="H169" s="29"/>
      <c r="I169" s="17"/>
      <c r="J169" s="20"/>
      <c r="K169" s="45">
        <f t="shared" si="128"/>
        <v>0</v>
      </c>
      <c r="L169" s="104">
        <f t="shared" si="122"/>
        <v>-3</v>
      </c>
      <c r="M169" s="56">
        <v>45761</v>
      </c>
      <c r="N169" s="11" t="s">
        <v>39</v>
      </c>
      <c r="O169" s="16">
        <v>3</v>
      </c>
      <c r="P169" s="29">
        <v>5</v>
      </c>
      <c r="Q169" s="17">
        <v>3</v>
      </c>
      <c r="R169" s="32">
        <v>5</v>
      </c>
      <c r="S169" s="9">
        <f t="shared" si="132"/>
        <v>16</v>
      </c>
      <c r="T169" s="16"/>
      <c r="U169" s="29"/>
      <c r="V169" s="17"/>
      <c r="W169" s="32">
        <v>3</v>
      </c>
      <c r="X169" s="9">
        <f t="shared" si="133"/>
        <v>3</v>
      </c>
      <c r="Y169" s="104">
        <f t="shared" ref="Y169:Y172" si="137">S169+X169</f>
        <v>19</v>
      </c>
      <c r="Z169" s="56">
        <v>45769</v>
      </c>
      <c r="AA169" s="35"/>
    </row>
    <row r="170" spans="1:27" x14ac:dyDescent="0.15">
      <c r="A170" s="33" t="s">
        <v>269</v>
      </c>
      <c r="B170" s="16"/>
      <c r="C170" s="29"/>
      <c r="D170" s="17">
        <v>1</v>
      </c>
      <c r="E170" s="20"/>
      <c r="F170" s="45">
        <f t="shared" si="127"/>
        <v>1</v>
      </c>
      <c r="G170" s="16"/>
      <c r="H170" s="29"/>
      <c r="I170" s="17"/>
      <c r="J170" s="20"/>
      <c r="K170" s="45">
        <f t="shared" si="128"/>
        <v>0</v>
      </c>
      <c r="L170" s="104">
        <f t="shared" si="122"/>
        <v>1</v>
      </c>
      <c r="M170" s="56">
        <v>45763</v>
      </c>
      <c r="N170" s="11" t="s">
        <v>304</v>
      </c>
      <c r="O170" s="16">
        <v>4</v>
      </c>
      <c r="P170" s="29"/>
      <c r="Q170" s="17">
        <v>4</v>
      </c>
      <c r="R170" s="32"/>
      <c r="S170" s="9">
        <f t="shared" si="132"/>
        <v>8</v>
      </c>
      <c r="T170" s="16"/>
      <c r="U170" s="29"/>
      <c r="V170" s="17"/>
      <c r="W170" s="32"/>
      <c r="X170" s="9">
        <f t="shared" si="133"/>
        <v>0</v>
      </c>
      <c r="Y170" s="104">
        <f t="shared" si="137"/>
        <v>8</v>
      </c>
      <c r="Z170" s="56">
        <v>45775</v>
      </c>
    </row>
    <row r="171" spans="1:27" x14ac:dyDescent="0.15">
      <c r="A171" s="47" t="s">
        <v>51</v>
      </c>
      <c r="B171" s="16">
        <v>1</v>
      </c>
      <c r="C171" s="29"/>
      <c r="D171" s="17"/>
      <c r="E171" s="20"/>
      <c r="F171" s="45">
        <f t="shared" si="127"/>
        <v>1</v>
      </c>
      <c r="G171" s="16"/>
      <c r="H171" s="29"/>
      <c r="I171" s="17"/>
      <c r="J171" s="20">
        <v>2</v>
      </c>
      <c r="K171" s="45">
        <f t="shared" si="128"/>
        <v>2</v>
      </c>
      <c r="L171" s="104">
        <f t="shared" si="122"/>
        <v>3</v>
      </c>
      <c r="M171" s="56">
        <v>45761</v>
      </c>
      <c r="N171" s="11" t="s">
        <v>318</v>
      </c>
      <c r="O171" s="16">
        <v>1</v>
      </c>
      <c r="P171" s="29">
        <v>3</v>
      </c>
      <c r="Q171" s="17"/>
      <c r="R171" s="20">
        <v>3</v>
      </c>
      <c r="S171" s="45">
        <f t="shared" si="132"/>
        <v>7</v>
      </c>
      <c r="T171" s="16"/>
      <c r="U171" s="29"/>
      <c r="V171" s="17"/>
      <c r="W171" s="20"/>
      <c r="X171" s="45">
        <f t="shared" si="133"/>
        <v>0</v>
      </c>
      <c r="Y171" s="104">
        <f t="shared" si="137"/>
        <v>7</v>
      </c>
      <c r="Z171" s="56">
        <v>45779</v>
      </c>
    </row>
    <row r="172" spans="1:27" x14ac:dyDescent="0.15">
      <c r="A172" s="11" t="s">
        <v>277</v>
      </c>
      <c r="B172" s="16"/>
      <c r="C172" s="29"/>
      <c r="D172" s="17">
        <v>1</v>
      </c>
      <c r="E172" s="32"/>
      <c r="F172" s="9">
        <f t="shared" si="127"/>
        <v>1</v>
      </c>
      <c r="G172" s="16"/>
      <c r="H172" s="29"/>
      <c r="I172" s="17"/>
      <c r="J172" s="32"/>
      <c r="K172" s="9">
        <f t="shared" si="128"/>
        <v>0</v>
      </c>
      <c r="L172" s="104">
        <f t="shared" si="122"/>
        <v>1</v>
      </c>
      <c r="M172" s="56">
        <v>45765</v>
      </c>
      <c r="N172" s="11" t="s">
        <v>39</v>
      </c>
      <c r="O172" s="41"/>
      <c r="P172" s="42"/>
      <c r="Q172" s="43"/>
      <c r="R172" s="59">
        <v>3</v>
      </c>
      <c r="S172" s="61">
        <f>SUM(O172:R172)</f>
        <v>3</v>
      </c>
      <c r="T172" s="41">
        <v>5</v>
      </c>
      <c r="U172" s="42"/>
      <c r="V172" s="43">
        <v>3</v>
      </c>
      <c r="W172" s="59"/>
      <c r="X172" s="61">
        <f>SUM(T172:W172)</f>
        <v>8</v>
      </c>
      <c r="Y172" s="103">
        <f t="shared" si="137"/>
        <v>11</v>
      </c>
      <c r="Z172" s="56">
        <v>45777</v>
      </c>
    </row>
    <row r="173" spans="1:27" x14ac:dyDescent="0.15">
      <c r="A173" s="33" t="s">
        <v>280</v>
      </c>
      <c r="B173" s="16"/>
      <c r="C173" s="29">
        <v>2</v>
      </c>
      <c r="D173" s="17"/>
      <c r="E173" s="20"/>
      <c r="F173" s="45">
        <f t="shared" si="127"/>
        <v>2</v>
      </c>
      <c r="G173" s="16"/>
      <c r="H173" s="29"/>
      <c r="I173" s="17"/>
      <c r="J173" s="20"/>
      <c r="K173" s="45">
        <f t="shared" si="128"/>
        <v>0</v>
      </c>
      <c r="L173" s="104">
        <f t="shared" si="122"/>
        <v>2</v>
      </c>
      <c r="M173" s="56">
        <v>45763</v>
      </c>
      <c r="N173" s="72"/>
      <c r="O173" s="16"/>
      <c r="P173" s="29"/>
      <c r="Q173" s="17"/>
      <c r="R173" s="32"/>
      <c r="S173" s="9">
        <f t="shared" ref="S173" si="138">SUM(O173:R173)</f>
        <v>0</v>
      </c>
      <c r="T173" s="16"/>
      <c r="U173" s="29"/>
      <c r="V173" s="17"/>
      <c r="W173" s="32"/>
      <c r="X173" s="9">
        <f t="shared" ref="X173" si="139">SUM(T173:W173)</f>
        <v>0</v>
      </c>
      <c r="Y173" s="104">
        <f t="shared" si="123"/>
        <v>0</v>
      </c>
      <c r="Z173" s="157"/>
    </row>
    <row r="174" spans="1:27" x14ac:dyDescent="0.15">
      <c r="A174" s="47" t="s">
        <v>284</v>
      </c>
      <c r="B174" s="16"/>
      <c r="C174" s="29"/>
      <c r="D174" s="17">
        <v>-10</v>
      </c>
      <c r="E174" s="20"/>
      <c r="F174" s="45">
        <f t="shared" ref="F174" si="140">SUM(B174:E174)</f>
        <v>-10</v>
      </c>
      <c r="G174" s="16"/>
      <c r="H174" s="29"/>
      <c r="I174" s="17"/>
      <c r="J174" s="20"/>
      <c r="K174" s="45">
        <f t="shared" ref="K174" si="141">SUM(G174:J174)</f>
        <v>0</v>
      </c>
      <c r="L174" s="104">
        <f t="shared" ref="L174" si="142">F174+K174</f>
        <v>-10</v>
      </c>
      <c r="M174" s="56">
        <v>45763</v>
      </c>
      <c r="N174" s="33"/>
      <c r="O174" s="16"/>
      <c r="P174" s="29"/>
      <c r="Q174" s="17"/>
      <c r="R174" s="32"/>
      <c r="S174" s="9">
        <f>SUM(O174:R174)</f>
        <v>0</v>
      </c>
      <c r="T174" s="16"/>
      <c r="U174" s="29"/>
      <c r="V174" s="17"/>
      <c r="W174" s="32"/>
      <c r="X174" s="9">
        <f>SUM(T174:W174)</f>
        <v>0</v>
      </c>
      <c r="Y174" s="104">
        <f t="shared" si="123"/>
        <v>0</v>
      </c>
    </row>
    <row r="175" spans="1:27" x14ac:dyDescent="0.15">
      <c r="A175" s="11" t="s">
        <v>287</v>
      </c>
      <c r="B175" s="16"/>
      <c r="C175" s="29">
        <v>1</v>
      </c>
      <c r="D175" s="17">
        <v>5</v>
      </c>
      <c r="E175" s="20"/>
      <c r="F175" s="45">
        <f t="shared" si="127"/>
        <v>6</v>
      </c>
      <c r="G175" s="16"/>
      <c r="H175" s="29"/>
      <c r="I175" s="17"/>
      <c r="J175" s="20"/>
      <c r="K175" s="45">
        <f t="shared" si="128"/>
        <v>0</v>
      </c>
      <c r="L175" s="104">
        <f t="shared" si="122"/>
        <v>6</v>
      </c>
      <c r="M175" s="56">
        <v>45765</v>
      </c>
      <c r="N175" s="72"/>
      <c r="O175" s="16"/>
      <c r="P175" s="29"/>
      <c r="Q175" s="17"/>
      <c r="R175" s="32"/>
      <c r="S175" s="9">
        <f>SUM(O175:R175)</f>
        <v>0</v>
      </c>
      <c r="T175" s="16"/>
      <c r="U175" s="29"/>
      <c r="V175" s="17"/>
      <c r="W175" s="32"/>
      <c r="X175" s="9">
        <f>SUM(T175:W175)</f>
        <v>0</v>
      </c>
      <c r="Y175" s="104">
        <f t="shared" si="123"/>
        <v>0</v>
      </c>
    </row>
    <row r="176" spans="1:27" x14ac:dyDescent="0.15">
      <c r="A176" s="33" t="s">
        <v>290</v>
      </c>
      <c r="B176" s="16"/>
      <c r="C176" s="29"/>
      <c r="D176" s="17">
        <v>1</v>
      </c>
      <c r="E176" s="20"/>
      <c r="F176" s="45">
        <f t="shared" si="127"/>
        <v>1</v>
      </c>
      <c r="G176" s="16"/>
      <c r="H176" s="29"/>
      <c r="I176" s="17"/>
      <c r="J176" s="20"/>
      <c r="K176" s="45">
        <f t="shared" si="128"/>
        <v>0</v>
      </c>
      <c r="L176" s="104">
        <f t="shared" si="122"/>
        <v>1</v>
      </c>
      <c r="M176" s="56">
        <v>45765</v>
      </c>
      <c r="N176" s="72"/>
      <c r="O176" s="16"/>
      <c r="P176" s="29"/>
      <c r="Q176" s="17"/>
      <c r="R176" s="32"/>
      <c r="S176" s="9">
        <f t="shared" ref="S176:S179" si="143">SUM(O176:R176)</f>
        <v>0</v>
      </c>
      <c r="T176" s="16"/>
      <c r="U176" s="29"/>
      <c r="V176" s="17"/>
      <c r="W176" s="32"/>
      <c r="X176" s="9">
        <f t="shared" ref="X176:X179" si="144">SUM(T176:W176)</f>
        <v>0</v>
      </c>
      <c r="Y176" s="104">
        <f t="shared" si="123"/>
        <v>0</v>
      </c>
    </row>
    <row r="177" spans="1:26" x14ac:dyDescent="0.15">
      <c r="A177" s="33" t="s">
        <v>295</v>
      </c>
      <c r="B177" s="16">
        <v>2</v>
      </c>
      <c r="C177" s="29">
        <v>2</v>
      </c>
      <c r="D177" s="17">
        <v>2</v>
      </c>
      <c r="E177" s="20">
        <v>2</v>
      </c>
      <c r="F177" s="45">
        <f t="shared" si="127"/>
        <v>8</v>
      </c>
      <c r="G177" s="16">
        <v>1</v>
      </c>
      <c r="H177" s="29"/>
      <c r="I177" s="17">
        <v>1</v>
      </c>
      <c r="J177" s="20">
        <v>1</v>
      </c>
      <c r="K177" s="45">
        <f t="shared" si="128"/>
        <v>3</v>
      </c>
      <c r="L177" s="104">
        <f t="shared" si="122"/>
        <v>11</v>
      </c>
      <c r="M177" s="56">
        <v>45770</v>
      </c>
      <c r="N177" s="72"/>
      <c r="O177" s="16"/>
      <c r="P177" s="29"/>
      <c r="Q177" s="17"/>
      <c r="R177" s="32"/>
      <c r="S177" s="9">
        <f t="shared" si="143"/>
        <v>0</v>
      </c>
      <c r="T177" s="16"/>
      <c r="U177" s="29"/>
      <c r="V177" s="17"/>
      <c r="W177" s="32"/>
      <c r="X177" s="9">
        <f t="shared" si="144"/>
        <v>0</v>
      </c>
      <c r="Y177" s="104">
        <f t="shared" si="123"/>
        <v>0</v>
      </c>
    </row>
    <row r="178" spans="1:26" x14ac:dyDescent="0.15">
      <c r="A178" s="11" t="s">
        <v>298</v>
      </c>
      <c r="B178" s="16">
        <v>2</v>
      </c>
      <c r="C178" s="29"/>
      <c r="D178" s="17">
        <v>2</v>
      </c>
      <c r="E178" s="20">
        <v>3</v>
      </c>
      <c r="F178" s="45">
        <f t="shared" si="127"/>
        <v>7</v>
      </c>
      <c r="G178" s="16"/>
      <c r="H178" s="29"/>
      <c r="I178" s="17"/>
      <c r="J178" s="20"/>
      <c r="K178" s="45">
        <f t="shared" si="128"/>
        <v>0</v>
      </c>
      <c r="L178" s="104">
        <f t="shared" si="122"/>
        <v>7</v>
      </c>
      <c r="M178" s="56">
        <v>45771</v>
      </c>
      <c r="N178" s="72"/>
      <c r="O178" s="16"/>
      <c r="P178" s="29"/>
      <c r="Q178" s="17"/>
      <c r="R178" s="32"/>
      <c r="S178" s="9">
        <f t="shared" si="143"/>
        <v>0</v>
      </c>
      <c r="T178" s="16"/>
      <c r="U178" s="29"/>
      <c r="V178" s="17"/>
      <c r="W178" s="32"/>
      <c r="X178" s="9">
        <f t="shared" si="144"/>
        <v>0</v>
      </c>
      <c r="Y178" s="104">
        <f t="shared" si="123"/>
        <v>0</v>
      </c>
    </row>
    <row r="179" spans="1:26" x14ac:dyDescent="0.15">
      <c r="A179" s="47" t="s">
        <v>299</v>
      </c>
      <c r="B179" s="16">
        <v>-3</v>
      </c>
      <c r="C179" s="29">
        <v>-5</v>
      </c>
      <c r="D179" s="17">
        <v>-3</v>
      </c>
      <c r="E179" s="20">
        <v>-5</v>
      </c>
      <c r="F179" s="45">
        <f t="shared" si="127"/>
        <v>-16</v>
      </c>
      <c r="G179" s="16"/>
      <c r="H179" s="29"/>
      <c r="I179" s="17"/>
      <c r="J179" s="20">
        <v>-3</v>
      </c>
      <c r="K179" s="45">
        <f t="shared" si="128"/>
        <v>-3</v>
      </c>
      <c r="L179" s="104">
        <f t="shared" si="122"/>
        <v>-19</v>
      </c>
      <c r="M179" s="56">
        <v>45769</v>
      </c>
      <c r="N179" s="72"/>
      <c r="O179" s="41"/>
      <c r="P179" s="42"/>
      <c r="Q179" s="43"/>
      <c r="R179" s="59"/>
      <c r="S179" s="61">
        <f t="shared" si="143"/>
        <v>0</v>
      </c>
      <c r="T179" s="41"/>
      <c r="U179" s="42"/>
      <c r="V179" s="43"/>
      <c r="W179" s="59"/>
      <c r="X179" s="61">
        <f t="shared" si="144"/>
        <v>0</v>
      </c>
      <c r="Y179" s="104">
        <f t="shared" si="123"/>
        <v>0</v>
      </c>
    </row>
    <row r="180" spans="1:26" x14ac:dyDescent="0.15">
      <c r="A180" s="47" t="s">
        <v>51</v>
      </c>
      <c r="B180" s="16"/>
      <c r="C180" s="29"/>
      <c r="D180" s="17"/>
      <c r="E180" s="20"/>
      <c r="F180" s="45">
        <f t="shared" si="127"/>
        <v>0</v>
      </c>
      <c r="G180" s="16"/>
      <c r="H180" s="29"/>
      <c r="I180" s="17"/>
      <c r="J180" s="20">
        <v>1</v>
      </c>
      <c r="K180" s="45">
        <f t="shared" si="128"/>
        <v>1</v>
      </c>
      <c r="L180" s="104">
        <f t="shared" si="122"/>
        <v>1</v>
      </c>
      <c r="M180" s="56">
        <v>45768</v>
      </c>
      <c r="N180" s="33"/>
      <c r="O180" s="16"/>
      <c r="P180" s="29"/>
      <c r="Q180" s="17"/>
      <c r="R180" s="32"/>
      <c r="S180" s="9">
        <f>SUM(O180:R180)</f>
        <v>0</v>
      </c>
      <c r="T180" s="16"/>
      <c r="U180" s="29"/>
      <c r="V180" s="17"/>
      <c r="W180" s="32"/>
      <c r="X180" s="9">
        <f>SUM(T180:W180)</f>
        <v>0</v>
      </c>
      <c r="Y180" s="104">
        <f t="shared" si="123"/>
        <v>0</v>
      </c>
    </row>
    <row r="181" spans="1:26" x14ac:dyDescent="0.15">
      <c r="A181" s="47" t="s">
        <v>300</v>
      </c>
      <c r="B181" s="16">
        <v>-3</v>
      </c>
      <c r="C181" s="29"/>
      <c r="D181" s="17">
        <v>-1</v>
      </c>
      <c r="E181" s="20">
        <v>-3</v>
      </c>
      <c r="F181" s="45">
        <f t="shared" si="127"/>
        <v>-7</v>
      </c>
      <c r="G181" s="16"/>
      <c r="H181" s="29">
        <v>-4</v>
      </c>
      <c r="I181" s="17"/>
      <c r="J181" s="20">
        <v>-2</v>
      </c>
      <c r="K181" s="45">
        <f t="shared" si="128"/>
        <v>-6</v>
      </c>
      <c r="L181" s="104">
        <f t="shared" si="122"/>
        <v>-13</v>
      </c>
      <c r="M181" s="56">
        <v>45768</v>
      </c>
      <c r="N181" s="11"/>
      <c r="O181" s="16"/>
      <c r="P181" s="17"/>
      <c r="Q181" s="29"/>
      <c r="R181" s="60"/>
      <c r="S181" s="9">
        <f t="shared" ref="S181:S187" si="145">SUM(O181:R181)</f>
        <v>0</v>
      </c>
      <c r="T181" s="16"/>
      <c r="U181" s="17"/>
      <c r="V181" s="29"/>
      <c r="W181" s="60"/>
      <c r="X181" s="9">
        <f t="shared" ref="X181:X187" si="146">SUM(T181:W181)</f>
        <v>0</v>
      </c>
      <c r="Y181" s="104">
        <f t="shared" si="123"/>
        <v>0</v>
      </c>
    </row>
    <row r="182" spans="1:26" x14ac:dyDescent="0.15">
      <c r="A182" s="33" t="s">
        <v>302</v>
      </c>
      <c r="B182" s="16"/>
      <c r="C182" s="29"/>
      <c r="D182" s="17"/>
      <c r="E182" s="20">
        <v>1</v>
      </c>
      <c r="F182" s="45">
        <f t="shared" si="127"/>
        <v>1</v>
      </c>
      <c r="G182" s="16"/>
      <c r="H182" s="29"/>
      <c r="I182" s="17"/>
      <c r="J182" s="20"/>
      <c r="K182" s="45">
        <f t="shared" si="128"/>
        <v>0</v>
      </c>
      <c r="L182" s="104">
        <f t="shared" si="122"/>
        <v>1</v>
      </c>
      <c r="M182" s="56">
        <v>45771</v>
      </c>
      <c r="N182" s="11"/>
      <c r="O182" s="16"/>
      <c r="P182" s="29"/>
      <c r="Q182" s="17"/>
      <c r="R182" s="32"/>
      <c r="S182" s="9">
        <f t="shared" si="145"/>
        <v>0</v>
      </c>
      <c r="T182" s="16"/>
      <c r="U182" s="29"/>
      <c r="V182" s="17"/>
      <c r="W182" s="32"/>
      <c r="X182" s="9">
        <f t="shared" si="146"/>
        <v>0</v>
      </c>
      <c r="Y182" s="104">
        <f t="shared" si="123"/>
        <v>0</v>
      </c>
    </row>
    <row r="183" spans="1:26" x14ac:dyDescent="0.15">
      <c r="A183" s="47" t="s">
        <v>51</v>
      </c>
      <c r="B183" s="16"/>
      <c r="C183" s="29"/>
      <c r="D183" s="17"/>
      <c r="E183" s="20">
        <v>2</v>
      </c>
      <c r="F183" s="45">
        <f t="shared" si="127"/>
        <v>2</v>
      </c>
      <c r="G183" s="16"/>
      <c r="H183" s="29">
        <v>1</v>
      </c>
      <c r="I183" s="17">
        <v>1</v>
      </c>
      <c r="J183" s="20"/>
      <c r="K183" s="45">
        <f t="shared" si="128"/>
        <v>2</v>
      </c>
      <c r="L183" s="104">
        <f t="shared" si="122"/>
        <v>4</v>
      </c>
      <c r="M183" s="58">
        <v>45769</v>
      </c>
      <c r="N183" s="11"/>
      <c r="O183" s="16"/>
      <c r="P183" s="29"/>
      <c r="Q183" s="17"/>
      <c r="R183" s="32"/>
      <c r="S183" s="9">
        <f t="shared" ref="S183:S186" si="147">SUM(O183:R183)</f>
        <v>0</v>
      </c>
      <c r="T183" s="16"/>
      <c r="U183" s="29"/>
      <c r="V183" s="17"/>
      <c r="W183" s="32"/>
      <c r="X183" s="9">
        <f t="shared" ref="X183:X186" si="148">SUM(T183:W183)</f>
        <v>0</v>
      </c>
      <c r="Y183" s="104">
        <f t="shared" ref="Y183:Y186" si="149">S183+X183</f>
        <v>0</v>
      </c>
    </row>
    <row r="184" spans="1:26" x14ac:dyDescent="0.15">
      <c r="A184" s="47" t="s">
        <v>51</v>
      </c>
      <c r="B184" s="16"/>
      <c r="C184" s="29"/>
      <c r="D184" s="17"/>
      <c r="E184" s="20"/>
      <c r="F184" s="45">
        <f t="shared" si="127"/>
        <v>0</v>
      </c>
      <c r="G184" s="16"/>
      <c r="H184" s="29">
        <v>1</v>
      </c>
      <c r="I184" s="17"/>
      <c r="J184" s="20"/>
      <c r="K184" s="45">
        <f t="shared" si="128"/>
        <v>1</v>
      </c>
      <c r="L184" s="104">
        <f t="shared" si="122"/>
        <v>1</v>
      </c>
      <c r="M184" s="58">
        <v>45770</v>
      </c>
      <c r="N184" s="11" t="s">
        <v>185</v>
      </c>
      <c r="O184" s="16"/>
      <c r="P184" s="29"/>
      <c r="Q184" s="17"/>
      <c r="R184" s="32"/>
      <c r="S184" s="9">
        <f t="shared" ref="S184" si="150">SUM(O184:R184)</f>
        <v>0</v>
      </c>
      <c r="T184" s="16"/>
      <c r="U184" s="29"/>
      <c r="V184" s="17"/>
      <c r="W184" s="32"/>
      <c r="X184" s="9">
        <f t="shared" ref="X184" si="151">SUM(T184:W184)</f>
        <v>0</v>
      </c>
      <c r="Y184" s="104">
        <f t="shared" ref="Y184" si="152">S184+X184</f>
        <v>0</v>
      </c>
      <c r="Z184" s="157" t="s">
        <v>186</v>
      </c>
    </row>
    <row r="185" spans="1:26" ht="14.25" thickBot="1" x14ac:dyDescent="0.2">
      <c r="A185" s="47" t="s">
        <v>51</v>
      </c>
      <c r="B185" s="16"/>
      <c r="C185" s="29"/>
      <c r="D185" s="17"/>
      <c r="E185" s="20"/>
      <c r="F185" s="45">
        <f t="shared" si="127"/>
        <v>0</v>
      </c>
      <c r="G185" s="16"/>
      <c r="H185" s="29"/>
      <c r="I185" s="17">
        <v>1</v>
      </c>
      <c r="J185" s="20"/>
      <c r="K185" s="45">
        <f t="shared" si="128"/>
        <v>1</v>
      </c>
      <c r="L185" s="104">
        <f t="shared" si="122"/>
        <v>1</v>
      </c>
      <c r="M185" s="56">
        <v>45771</v>
      </c>
      <c r="N185" s="72" t="s">
        <v>325</v>
      </c>
      <c r="O185" s="166"/>
      <c r="P185" s="167"/>
      <c r="Q185" s="160"/>
      <c r="R185" s="168"/>
      <c r="S185" s="165">
        <f t="shared" si="147"/>
        <v>0</v>
      </c>
      <c r="T185" s="123"/>
      <c r="U185" s="124"/>
      <c r="V185" s="125"/>
      <c r="W185" s="126"/>
      <c r="X185" s="165">
        <f t="shared" si="148"/>
        <v>0</v>
      </c>
      <c r="Y185" s="169">
        <f t="shared" si="149"/>
        <v>0</v>
      </c>
      <c r="Z185" s="224"/>
    </row>
    <row r="186" spans="1:26" ht="14.25" thickBot="1" x14ac:dyDescent="0.2">
      <c r="A186" s="194" t="s">
        <v>319</v>
      </c>
      <c r="B186" s="37"/>
      <c r="C186" s="38"/>
      <c r="D186" s="39"/>
      <c r="E186" s="40"/>
      <c r="F186" s="46">
        <f t="shared" ref="F186" si="153">SUM(B186:E186)</f>
        <v>0</v>
      </c>
      <c r="G186" s="37">
        <v>1</v>
      </c>
      <c r="H186" s="38"/>
      <c r="I186" s="39"/>
      <c r="J186" s="40"/>
      <c r="K186" s="46">
        <f t="shared" ref="K186" si="154">SUM(G186:J186)</f>
        <v>1</v>
      </c>
      <c r="L186" s="101">
        <f t="shared" ref="L186" si="155">F186+K186</f>
        <v>1</v>
      </c>
      <c r="M186" s="56">
        <v>45775</v>
      </c>
      <c r="N186" s="170" t="s">
        <v>91</v>
      </c>
      <c r="O186" s="37"/>
      <c r="P186" s="38"/>
      <c r="Q186" s="39"/>
      <c r="R186" s="129"/>
      <c r="S186" s="10">
        <f t="shared" si="147"/>
        <v>0</v>
      </c>
      <c r="T186" s="123"/>
      <c r="U186" s="124"/>
      <c r="V186" s="125"/>
      <c r="W186" s="126"/>
      <c r="X186" s="10">
        <f t="shared" si="148"/>
        <v>0</v>
      </c>
      <c r="Y186" s="101">
        <f t="shared" si="149"/>
        <v>0</v>
      </c>
      <c r="Z186" s="157" t="s">
        <v>115</v>
      </c>
    </row>
    <row r="187" spans="1:26" ht="14.25" thickBot="1" x14ac:dyDescent="0.2">
      <c r="A187" s="13" t="s">
        <v>8</v>
      </c>
      <c r="B187" s="22">
        <f>SUM(B162:B186)</f>
        <v>-1</v>
      </c>
      <c r="C187" s="30">
        <f>SUM(C162:C186)</f>
        <v>-1</v>
      </c>
      <c r="D187" s="23">
        <f>SUM(D162:D186)</f>
        <v>-2</v>
      </c>
      <c r="E187" s="24">
        <f>SUM(E162:E186)</f>
        <v>0</v>
      </c>
      <c r="F187" s="48">
        <f>SUM(B187:E187)</f>
        <v>-4</v>
      </c>
      <c r="G187" s="22">
        <f>SUM(G162:G186)</f>
        <v>4</v>
      </c>
      <c r="H187" s="30">
        <f>SUM(H162:H186)</f>
        <v>0</v>
      </c>
      <c r="I187" s="23">
        <f>SUM(I162:I186)</f>
        <v>4</v>
      </c>
      <c r="J187" s="24">
        <f>SUM(J162:J186)</f>
        <v>0</v>
      </c>
      <c r="K187" s="48">
        <f>SUM(G187:J187)</f>
        <v>8</v>
      </c>
      <c r="L187" s="122">
        <f t="shared" si="122"/>
        <v>4</v>
      </c>
      <c r="N187" s="49" t="s">
        <v>8</v>
      </c>
      <c r="O187" s="22">
        <f>SUM(O162:O186)</f>
        <v>9</v>
      </c>
      <c r="P187" s="30">
        <f>SUM(P162:P186)</f>
        <v>23</v>
      </c>
      <c r="Q187" s="23">
        <f>SUM(Q162:Q186)</f>
        <v>30</v>
      </c>
      <c r="R187" s="24">
        <f>SUM(R162:R186)</f>
        <v>21</v>
      </c>
      <c r="S187" s="48">
        <f t="shared" si="145"/>
        <v>83</v>
      </c>
      <c r="T187" s="22">
        <f>SUM(T162:T186)</f>
        <v>8</v>
      </c>
      <c r="U187" s="30">
        <f>SUM(U162:U186)</f>
        <v>1</v>
      </c>
      <c r="V187" s="23">
        <f>SUM(V162:V186)</f>
        <v>3</v>
      </c>
      <c r="W187" s="24">
        <f>SUM(W162:W186)</f>
        <v>8</v>
      </c>
      <c r="X187" s="48">
        <f t="shared" si="146"/>
        <v>20</v>
      </c>
      <c r="Y187" s="122">
        <f t="shared" si="123"/>
        <v>103</v>
      </c>
    </row>
    <row r="188" spans="1:26" ht="14.25" thickBot="1" x14ac:dyDescent="0.2">
      <c r="A188" s="14" t="s">
        <v>9</v>
      </c>
      <c r="B188" s="25">
        <f t="shared" ref="B188:K188" si="156">B161-B187</f>
        <v>8</v>
      </c>
      <c r="C188" s="31">
        <f t="shared" si="156"/>
        <v>6</v>
      </c>
      <c r="D188" s="26">
        <f t="shared" si="156"/>
        <v>6</v>
      </c>
      <c r="E188" s="27">
        <f t="shared" si="156"/>
        <v>4</v>
      </c>
      <c r="F188" s="83">
        <f t="shared" si="156"/>
        <v>24</v>
      </c>
      <c r="G188" s="25">
        <f t="shared" si="156"/>
        <v>4</v>
      </c>
      <c r="H188" s="31">
        <f t="shared" si="156"/>
        <v>7</v>
      </c>
      <c r="I188" s="26">
        <f t="shared" si="156"/>
        <v>2</v>
      </c>
      <c r="J188" s="27">
        <f t="shared" si="156"/>
        <v>7</v>
      </c>
      <c r="K188" s="83">
        <f t="shared" si="156"/>
        <v>20</v>
      </c>
      <c r="L188" s="102">
        <f t="shared" si="122"/>
        <v>44</v>
      </c>
      <c r="N188" s="13" t="s">
        <v>9</v>
      </c>
      <c r="O188" s="25">
        <f t="shared" ref="O188:X188" si="157">O161-O187</f>
        <v>47</v>
      </c>
      <c r="P188" s="31">
        <f t="shared" si="157"/>
        <v>73</v>
      </c>
      <c r="Q188" s="26">
        <f t="shared" si="157"/>
        <v>60</v>
      </c>
      <c r="R188" s="27">
        <f t="shared" si="157"/>
        <v>52</v>
      </c>
      <c r="S188" s="36">
        <f t="shared" si="157"/>
        <v>232</v>
      </c>
      <c r="T188" s="25">
        <f t="shared" si="157"/>
        <v>56</v>
      </c>
      <c r="U188" s="31">
        <f t="shared" si="157"/>
        <v>76</v>
      </c>
      <c r="V188" s="26">
        <f t="shared" si="157"/>
        <v>66</v>
      </c>
      <c r="W188" s="27">
        <f t="shared" si="157"/>
        <v>37</v>
      </c>
      <c r="X188" s="36">
        <f t="shared" si="157"/>
        <v>235</v>
      </c>
      <c r="Y188" s="102">
        <f t="shared" si="123"/>
        <v>467</v>
      </c>
    </row>
    <row r="189" spans="1:26" x14ac:dyDescent="0.15">
      <c r="Y189" s="1"/>
    </row>
    <row r="190" spans="1:26" x14ac:dyDescent="0.15">
      <c r="O190" s="55"/>
      <c r="P190" s="55"/>
      <c r="Q190" s="55"/>
      <c r="R190" s="55"/>
      <c r="S190" s="55"/>
      <c r="T190" s="55"/>
      <c r="U190" s="55"/>
      <c r="V190" s="55"/>
      <c r="W190" s="55"/>
    </row>
    <row r="191" spans="1:26" ht="19.5" thickBot="1" x14ac:dyDescent="0.25">
      <c r="A191" s="2" t="s">
        <v>18</v>
      </c>
      <c r="B191" s="2"/>
      <c r="C191" s="1"/>
      <c r="D191" s="1"/>
      <c r="E191" s="1"/>
      <c r="F191" s="84"/>
      <c r="G191" s="2"/>
      <c r="H191" s="1" t="s">
        <v>157</v>
      </c>
      <c r="I191" s="1"/>
      <c r="J191" s="1"/>
      <c r="K191" s="84" t="s">
        <v>13</v>
      </c>
      <c r="L191" s="84"/>
      <c r="N191" s="2" t="s">
        <v>19</v>
      </c>
      <c r="O191" s="71"/>
      <c r="P191" s="71"/>
      <c r="Q191" s="71"/>
      <c r="R191" s="71"/>
      <c r="S191" s="84"/>
      <c r="T191" s="1" t="s">
        <v>157</v>
      </c>
      <c r="U191" s="71"/>
      <c r="V191" s="71"/>
      <c r="W191" s="71"/>
      <c r="X191" s="84" t="s">
        <v>13</v>
      </c>
    </row>
    <row r="192" spans="1:26" ht="14.25" thickBot="1" x14ac:dyDescent="0.2">
      <c r="A192" s="5" t="s">
        <v>0</v>
      </c>
      <c r="B192" s="322" t="s">
        <v>32</v>
      </c>
      <c r="C192" s="323"/>
      <c r="D192" s="323"/>
      <c r="E192" s="323"/>
      <c r="F192" s="324"/>
      <c r="G192" s="325" t="s">
        <v>31</v>
      </c>
      <c r="H192" s="326"/>
      <c r="I192" s="326"/>
      <c r="J192" s="326"/>
      <c r="K192" s="327"/>
      <c r="L192" s="320" t="s">
        <v>30</v>
      </c>
      <c r="N192" s="5" t="s">
        <v>0</v>
      </c>
      <c r="O192" s="322" t="s">
        <v>200</v>
      </c>
      <c r="P192" s="323"/>
      <c r="Q192" s="323"/>
      <c r="R192" s="323"/>
      <c r="S192" s="324"/>
      <c r="T192" s="325" t="s">
        <v>201</v>
      </c>
      <c r="U192" s="326"/>
      <c r="V192" s="326"/>
      <c r="W192" s="326"/>
      <c r="X192" s="327"/>
      <c r="Y192" s="320" t="s">
        <v>30</v>
      </c>
    </row>
    <row r="193" spans="1:27" ht="14.25" thickBot="1" x14ac:dyDescent="0.2">
      <c r="A193" s="5" t="s">
        <v>1</v>
      </c>
      <c r="B193" s="3" t="s">
        <v>22</v>
      </c>
      <c r="C193" s="28" t="s">
        <v>23</v>
      </c>
      <c r="D193" s="4" t="s">
        <v>24</v>
      </c>
      <c r="E193" s="15" t="s">
        <v>25</v>
      </c>
      <c r="F193" s="19" t="s">
        <v>2</v>
      </c>
      <c r="G193" s="3" t="s">
        <v>22</v>
      </c>
      <c r="H193" s="28" t="s">
        <v>23</v>
      </c>
      <c r="I193" s="4" t="s">
        <v>24</v>
      </c>
      <c r="J193" s="15" t="s">
        <v>25</v>
      </c>
      <c r="K193" s="19" t="s">
        <v>2</v>
      </c>
      <c r="L193" s="321"/>
      <c r="N193" s="5" t="s">
        <v>1</v>
      </c>
      <c r="O193" s="3" t="s">
        <v>22</v>
      </c>
      <c r="P193" s="28" t="s">
        <v>23</v>
      </c>
      <c r="Q193" s="4" t="s">
        <v>24</v>
      </c>
      <c r="R193" s="15" t="s">
        <v>25</v>
      </c>
      <c r="S193" s="19" t="s">
        <v>2</v>
      </c>
      <c r="T193" s="3" t="s">
        <v>22</v>
      </c>
      <c r="U193" s="28" t="s">
        <v>23</v>
      </c>
      <c r="V193" s="4" t="s">
        <v>24</v>
      </c>
      <c r="W193" s="15" t="s">
        <v>25</v>
      </c>
      <c r="X193" s="19" t="s">
        <v>2</v>
      </c>
      <c r="Y193" s="321"/>
    </row>
    <row r="194" spans="1:27" x14ac:dyDescent="0.15">
      <c r="A194" s="78" t="s">
        <v>10</v>
      </c>
      <c r="B194" s="79">
        <f>B188</f>
        <v>8</v>
      </c>
      <c r="C194" s="80">
        <f>C188</f>
        <v>6</v>
      </c>
      <c r="D194" s="80">
        <f>D188</f>
        <v>6</v>
      </c>
      <c r="E194" s="81">
        <f>E188</f>
        <v>4</v>
      </c>
      <c r="F194" s="82">
        <f>SUM(B194:E194)</f>
        <v>24</v>
      </c>
      <c r="G194" s="79">
        <f>G188</f>
        <v>4</v>
      </c>
      <c r="H194" s="80">
        <f>H188</f>
        <v>7</v>
      </c>
      <c r="I194" s="80">
        <f>I188</f>
        <v>2</v>
      </c>
      <c r="J194" s="81">
        <f>J188</f>
        <v>7</v>
      </c>
      <c r="K194" s="82">
        <f>SUM(G194:J194)</f>
        <v>20</v>
      </c>
      <c r="L194" s="98">
        <f>F194+K194</f>
        <v>44</v>
      </c>
      <c r="N194" s="78" t="s">
        <v>10</v>
      </c>
      <c r="O194" s="79">
        <f>O188</f>
        <v>47</v>
      </c>
      <c r="P194" s="80">
        <f>P188</f>
        <v>73</v>
      </c>
      <c r="Q194" s="80">
        <f>Q188</f>
        <v>60</v>
      </c>
      <c r="R194" s="81">
        <f>R188</f>
        <v>52</v>
      </c>
      <c r="S194" s="82">
        <f>SUM(O194:R194)</f>
        <v>232</v>
      </c>
      <c r="T194" s="79">
        <f>T188</f>
        <v>56</v>
      </c>
      <c r="U194" s="80">
        <f>U188</f>
        <v>76</v>
      </c>
      <c r="V194" s="80">
        <f>V188</f>
        <v>66</v>
      </c>
      <c r="W194" s="81">
        <f>W188</f>
        <v>37</v>
      </c>
      <c r="X194" s="82">
        <f>SUM(T194:W194)</f>
        <v>235</v>
      </c>
      <c r="Y194" s="98">
        <f>S194+X194</f>
        <v>467</v>
      </c>
    </row>
    <row r="195" spans="1:27" x14ac:dyDescent="0.15">
      <c r="A195" s="47" t="s">
        <v>66</v>
      </c>
      <c r="B195" s="51"/>
      <c r="C195" s="52"/>
      <c r="D195" s="53"/>
      <c r="E195" s="54"/>
      <c r="F195" s="61">
        <f>SUM(B195:E195)</f>
        <v>0</v>
      </c>
      <c r="G195" s="51"/>
      <c r="H195" s="52">
        <v>1</v>
      </c>
      <c r="I195" s="53"/>
      <c r="J195" s="54"/>
      <c r="K195" s="61">
        <f>SUM(G195:J195)</f>
        <v>1</v>
      </c>
      <c r="L195" s="99">
        <f t="shared" ref="L195:L226" si="158">F195+K195</f>
        <v>1</v>
      </c>
      <c r="M195" s="58">
        <v>45772</v>
      </c>
      <c r="N195" s="186" t="s">
        <v>71</v>
      </c>
      <c r="O195" s="166">
        <f>30</f>
        <v>30</v>
      </c>
      <c r="P195" s="167">
        <f>80-35-30</f>
        <v>15</v>
      </c>
      <c r="Q195" s="160">
        <f>70-35-20</f>
        <v>15</v>
      </c>
      <c r="R195" s="179">
        <f>70-60-10</f>
        <v>0</v>
      </c>
      <c r="S195" s="184">
        <f>SUM(O195:R195)</f>
        <v>60</v>
      </c>
      <c r="T195" s="166">
        <v>20</v>
      </c>
      <c r="U195" s="167">
        <v>70</v>
      </c>
      <c r="V195" s="160">
        <v>40</v>
      </c>
      <c r="W195" s="179">
        <v>50</v>
      </c>
      <c r="X195" s="184">
        <f>SUM(T195:W195)</f>
        <v>180</v>
      </c>
      <c r="Y195" s="185">
        <f t="shared" ref="Y195:Y197" si="159">S195+X195</f>
        <v>240</v>
      </c>
      <c r="Z195" s="226" t="s">
        <v>323</v>
      </c>
    </row>
    <row r="196" spans="1:27" x14ac:dyDescent="0.15">
      <c r="A196" s="12" t="s">
        <v>4</v>
      </c>
      <c r="B196" s="6"/>
      <c r="C196" s="18"/>
      <c r="D196" s="7"/>
      <c r="E196" s="8">
        <v>3</v>
      </c>
      <c r="F196" s="9">
        <f>SUM(B196:E196)</f>
        <v>3</v>
      </c>
      <c r="G196" s="6">
        <v>5</v>
      </c>
      <c r="H196" s="18"/>
      <c r="I196" s="7">
        <v>3</v>
      </c>
      <c r="J196" s="8"/>
      <c r="K196" s="9">
        <f>SUM(G196:J196)</f>
        <v>8</v>
      </c>
      <c r="L196" s="100">
        <f t="shared" si="158"/>
        <v>11</v>
      </c>
      <c r="M196" s="56">
        <v>45777</v>
      </c>
      <c r="N196" s="186" t="s">
        <v>72</v>
      </c>
      <c r="O196" s="166">
        <f>30</f>
        <v>30</v>
      </c>
      <c r="P196" s="167">
        <v>80</v>
      </c>
      <c r="Q196" s="160">
        <v>80</v>
      </c>
      <c r="R196" s="179">
        <f>70</f>
        <v>70</v>
      </c>
      <c r="S196" s="184">
        <f>SUM(O196:R196)</f>
        <v>260</v>
      </c>
      <c r="T196" s="166">
        <v>0</v>
      </c>
      <c r="U196" s="167">
        <v>0</v>
      </c>
      <c r="V196" s="160">
        <v>0</v>
      </c>
      <c r="W196" s="179">
        <v>0</v>
      </c>
      <c r="X196" s="184">
        <f>SUM(T196:W196)</f>
        <v>0</v>
      </c>
      <c r="Y196" s="185">
        <f t="shared" si="159"/>
        <v>260</v>
      </c>
      <c r="Z196" s="226" t="s">
        <v>323</v>
      </c>
      <c r="AA196" s="35"/>
    </row>
    <row r="197" spans="1:27" x14ac:dyDescent="0.15">
      <c r="A197" s="12" t="s">
        <v>5</v>
      </c>
      <c r="B197" s="6"/>
      <c r="C197" s="18"/>
      <c r="D197" s="7">
        <v>5</v>
      </c>
      <c r="E197" s="8"/>
      <c r="F197" s="9">
        <f>SUM(B197:E197)</f>
        <v>5</v>
      </c>
      <c r="G197" s="6"/>
      <c r="H197" s="18"/>
      <c r="I197" s="7"/>
      <c r="J197" s="8"/>
      <c r="K197" s="9">
        <f>SUM(G197:J197)</f>
        <v>0</v>
      </c>
      <c r="L197" s="100">
        <f t="shared" si="158"/>
        <v>5</v>
      </c>
      <c r="M197" s="56">
        <v>45779</v>
      </c>
      <c r="N197" s="12" t="s">
        <v>47</v>
      </c>
      <c r="O197" s="16"/>
      <c r="P197" s="29">
        <v>24</v>
      </c>
      <c r="Q197" s="17">
        <v>20</v>
      </c>
      <c r="R197" s="20">
        <v>10</v>
      </c>
      <c r="S197" s="45">
        <f t="shared" ref="S197" si="160">SUM(O197:R197)</f>
        <v>54</v>
      </c>
      <c r="T197" s="16"/>
      <c r="U197" s="29"/>
      <c r="V197" s="17"/>
      <c r="W197" s="20"/>
      <c r="X197" s="45">
        <f t="shared" ref="X197" si="161">SUM(T197:W197)</f>
        <v>0</v>
      </c>
      <c r="Y197" s="104">
        <f t="shared" si="159"/>
        <v>54</v>
      </c>
      <c r="Z197" s="224"/>
      <c r="AA197" s="34"/>
    </row>
    <row r="198" spans="1:27" ht="14.25" thickBot="1" x14ac:dyDescent="0.2">
      <c r="A198" s="12" t="s">
        <v>6</v>
      </c>
      <c r="B198" s="6"/>
      <c r="C198" s="18">
        <v>3</v>
      </c>
      <c r="D198" s="7"/>
      <c r="E198" s="8"/>
      <c r="F198" s="10">
        <f>SUM(B198:E198)</f>
        <v>3</v>
      </c>
      <c r="G198" s="6"/>
      <c r="H198" s="18"/>
      <c r="I198" s="7"/>
      <c r="J198" s="8"/>
      <c r="K198" s="10">
        <f>SUM(G198:J198)</f>
        <v>0</v>
      </c>
      <c r="L198" s="101">
        <f t="shared" si="158"/>
        <v>3</v>
      </c>
      <c r="M198" s="56">
        <v>45786</v>
      </c>
      <c r="N198" s="12" t="s">
        <v>5</v>
      </c>
      <c r="O198" s="16">
        <v>12</v>
      </c>
      <c r="P198" s="29">
        <v>15</v>
      </c>
      <c r="Q198" s="17">
        <v>64</v>
      </c>
      <c r="R198" s="20">
        <v>24</v>
      </c>
      <c r="S198" s="45">
        <f t="shared" ref="S198" si="162">SUM(O198:R198)</f>
        <v>115</v>
      </c>
      <c r="T198" s="16"/>
      <c r="U198" s="29"/>
      <c r="V198" s="17"/>
      <c r="W198" s="20"/>
      <c r="X198" s="45">
        <f t="shared" ref="X198" si="163">SUM(T198:W198)</f>
        <v>0</v>
      </c>
      <c r="Y198" s="104">
        <f t="shared" ref="Y198" si="164">S198+X198</f>
        <v>115</v>
      </c>
      <c r="Z198" s="56" t="s">
        <v>396</v>
      </c>
      <c r="AA198" s="35"/>
    </row>
    <row r="199" spans="1:27" ht="14.25" thickBot="1" x14ac:dyDescent="0.2">
      <c r="A199" s="14" t="s">
        <v>7</v>
      </c>
      <c r="B199" s="62">
        <f t="shared" ref="B199:K199" si="165">SUM(B194:B198)</f>
        <v>8</v>
      </c>
      <c r="C199" s="63">
        <f t="shared" si="165"/>
        <v>9</v>
      </c>
      <c r="D199" s="64">
        <f t="shared" si="165"/>
        <v>11</v>
      </c>
      <c r="E199" s="65">
        <f t="shared" si="165"/>
        <v>7</v>
      </c>
      <c r="F199" s="66">
        <f t="shared" si="165"/>
        <v>35</v>
      </c>
      <c r="G199" s="62">
        <f t="shared" si="165"/>
        <v>9</v>
      </c>
      <c r="H199" s="63">
        <f t="shared" si="165"/>
        <v>8</v>
      </c>
      <c r="I199" s="64">
        <f t="shared" si="165"/>
        <v>5</v>
      </c>
      <c r="J199" s="65">
        <f t="shared" si="165"/>
        <v>7</v>
      </c>
      <c r="K199" s="66">
        <f t="shared" si="165"/>
        <v>29</v>
      </c>
      <c r="L199" s="102">
        <f t="shared" si="158"/>
        <v>64</v>
      </c>
      <c r="N199" s="13" t="s">
        <v>7</v>
      </c>
      <c r="O199" s="25">
        <f t="shared" ref="O199:X199" si="166">SUM(O194:O198)</f>
        <v>119</v>
      </c>
      <c r="P199" s="31">
        <f t="shared" si="166"/>
        <v>207</v>
      </c>
      <c r="Q199" s="26">
        <f t="shared" si="166"/>
        <v>239</v>
      </c>
      <c r="R199" s="67">
        <f t="shared" si="166"/>
        <v>156</v>
      </c>
      <c r="S199" s="68">
        <f t="shared" si="166"/>
        <v>721</v>
      </c>
      <c r="T199" s="25">
        <f t="shared" si="166"/>
        <v>76</v>
      </c>
      <c r="U199" s="31">
        <f t="shared" si="166"/>
        <v>146</v>
      </c>
      <c r="V199" s="26">
        <f t="shared" si="166"/>
        <v>106</v>
      </c>
      <c r="W199" s="67">
        <f t="shared" si="166"/>
        <v>87</v>
      </c>
      <c r="X199" s="68">
        <f t="shared" si="166"/>
        <v>415</v>
      </c>
      <c r="Y199" s="102">
        <f t="shared" ref="Y199:Y226" si="167">S199+X199</f>
        <v>1136</v>
      </c>
      <c r="Z199" s="228"/>
    </row>
    <row r="200" spans="1:27" x14ac:dyDescent="0.15">
      <c r="A200" s="33" t="s">
        <v>324</v>
      </c>
      <c r="B200" s="41"/>
      <c r="C200" s="42"/>
      <c r="D200" s="43">
        <v>1</v>
      </c>
      <c r="E200" s="44"/>
      <c r="F200" s="70">
        <f t="shared" ref="F200:F224" si="168">SUM(B200:E200)</f>
        <v>1</v>
      </c>
      <c r="G200" s="41">
        <v>1</v>
      </c>
      <c r="H200" s="42"/>
      <c r="I200" s="43"/>
      <c r="J200" s="44"/>
      <c r="K200" s="70">
        <f t="shared" ref="K200:K224" si="169">SUM(G200:J200)</f>
        <v>1</v>
      </c>
      <c r="L200" s="103">
        <f t="shared" si="158"/>
        <v>2</v>
      </c>
      <c r="M200" s="56">
        <v>45777</v>
      </c>
      <c r="N200" s="33" t="s">
        <v>297</v>
      </c>
      <c r="O200" s="16">
        <v>25</v>
      </c>
      <c r="P200" s="29">
        <v>50</v>
      </c>
      <c r="Q200" s="17">
        <v>50</v>
      </c>
      <c r="R200" s="32">
        <v>25</v>
      </c>
      <c r="S200" s="9">
        <f t="shared" ref="S200" si="170">SUM(O200:R200)</f>
        <v>150</v>
      </c>
      <c r="T200" s="16"/>
      <c r="U200" s="29"/>
      <c r="V200" s="17"/>
      <c r="W200" s="32"/>
      <c r="X200" s="9">
        <f t="shared" ref="X200" si="171">SUM(T200:W200)</f>
        <v>0</v>
      </c>
      <c r="Y200" s="104">
        <f t="shared" si="167"/>
        <v>150</v>
      </c>
      <c r="Z200" s="56">
        <v>45784</v>
      </c>
    </row>
    <row r="201" spans="1:27" x14ac:dyDescent="0.15">
      <c r="A201" s="47" t="s">
        <v>51</v>
      </c>
      <c r="B201" s="16"/>
      <c r="C201" s="29">
        <v>1</v>
      </c>
      <c r="D201" s="17">
        <v>1</v>
      </c>
      <c r="E201" s="20">
        <v>1</v>
      </c>
      <c r="F201" s="45">
        <f t="shared" si="168"/>
        <v>3</v>
      </c>
      <c r="G201" s="16"/>
      <c r="H201" s="29"/>
      <c r="I201" s="17"/>
      <c r="J201" s="20"/>
      <c r="K201" s="45">
        <f t="shared" si="169"/>
        <v>0</v>
      </c>
      <c r="L201" s="104">
        <f t="shared" si="158"/>
        <v>3</v>
      </c>
      <c r="M201" s="56">
        <v>45775</v>
      </c>
      <c r="N201" s="33" t="s">
        <v>326</v>
      </c>
      <c r="O201" s="16">
        <v>5</v>
      </c>
      <c r="P201" s="29">
        <v>5</v>
      </c>
      <c r="Q201" s="17"/>
      <c r="R201" s="32">
        <v>5</v>
      </c>
      <c r="S201" s="9">
        <f t="shared" ref="S201:S205" si="172">SUM(O201:R201)</f>
        <v>15</v>
      </c>
      <c r="T201" s="16"/>
      <c r="U201" s="29"/>
      <c r="V201" s="17"/>
      <c r="W201" s="32"/>
      <c r="X201" s="9">
        <f t="shared" ref="X201:X205" si="173">SUM(T201:W201)</f>
        <v>0</v>
      </c>
      <c r="Y201" s="104">
        <f t="shared" si="167"/>
        <v>15</v>
      </c>
      <c r="Z201" s="56">
        <v>45793</v>
      </c>
      <c r="AA201" s="35"/>
    </row>
    <row r="202" spans="1:27" x14ac:dyDescent="0.15">
      <c r="A202" s="11" t="s">
        <v>330</v>
      </c>
      <c r="B202" s="16"/>
      <c r="C202" s="29"/>
      <c r="D202" s="17"/>
      <c r="E202" s="20">
        <v>1</v>
      </c>
      <c r="F202" s="45">
        <f t="shared" si="168"/>
        <v>1</v>
      </c>
      <c r="G202" s="16">
        <v>1</v>
      </c>
      <c r="H202" s="29">
        <v>1</v>
      </c>
      <c r="I202" s="17"/>
      <c r="J202" s="20">
        <v>1</v>
      </c>
      <c r="K202" s="45">
        <f t="shared" si="169"/>
        <v>3</v>
      </c>
      <c r="L202" s="104">
        <f t="shared" si="158"/>
        <v>4</v>
      </c>
      <c r="M202" s="56">
        <v>45779</v>
      </c>
      <c r="N202" s="33" t="s">
        <v>334</v>
      </c>
      <c r="O202" s="16"/>
      <c r="P202" s="29"/>
      <c r="Q202" s="17">
        <v>5</v>
      </c>
      <c r="R202" s="32"/>
      <c r="S202" s="9">
        <f t="shared" si="172"/>
        <v>5</v>
      </c>
      <c r="T202" s="16"/>
      <c r="U202" s="29"/>
      <c r="V202" s="17"/>
      <c r="W202" s="32"/>
      <c r="X202" s="9">
        <f t="shared" si="173"/>
        <v>0</v>
      </c>
      <c r="Y202" s="104">
        <f t="shared" si="167"/>
        <v>5</v>
      </c>
      <c r="Z202" s="56">
        <v>45779</v>
      </c>
      <c r="AA202" s="35"/>
    </row>
    <row r="203" spans="1:27" x14ac:dyDescent="0.15">
      <c r="A203" s="47" t="s">
        <v>51</v>
      </c>
      <c r="B203" s="16">
        <v>2</v>
      </c>
      <c r="C203" s="29"/>
      <c r="D203" s="17"/>
      <c r="E203" s="20"/>
      <c r="F203" s="45">
        <f t="shared" si="168"/>
        <v>2</v>
      </c>
      <c r="G203" s="16">
        <v>1</v>
      </c>
      <c r="H203" s="29"/>
      <c r="I203" s="17"/>
      <c r="J203" s="20"/>
      <c r="K203" s="45">
        <f t="shared" si="169"/>
        <v>1</v>
      </c>
      <c r="L203" s="104">
        <f t="shared" si="158"/>
        <v>3</v>
      </c>
      <c r="M203" s="56">
        <v>45777</v>
      </c>
      <c r="N203" s="33" t="s">
        <v>39</v>
      </c>
      <c r="O203" s="16"/>
      <c r="P203" s="29">
        <v>3</v>
      </c>
      <c r="Q203" s="17"/>
      <c r="R203" s="32"/>
      <c r="S203" s="9">
        <f>SUM(O203:R203)</f>
        <v>3</v>
      </c>
      <c r="T203" s="16"/>
      <c r="U203" s="29"/>
      <c r="V203" s="17"/>
      <c r="W203" s="32"/>
      <c r="X203" s="9">
        <f>SUM(T203:W203)</f>
        <v>0</v>
      </c>
      <c r="Y203" s="104">
        <f t="shared" si="167"/>
        <v>3</v>
      </c>
      <c r="Z203" s="56">
        <v>45786</v>
      </c>
    </row>
    <row r="204" spans="1:27" x14ac:dyDescent="0.15">
      <c r="A204" s="33" t="s">
        <v>332</v>
      </c>
      <c r="B204" s="16"/>
      <c r="C204" s="29"/>
      <c r="D204" s="17">
        <v>2</v>
      </c>
      <c r="E204" s="20"/>
      <c r="F204" s="45">
        <f t="shared" si="168"/>
        <v>2</v>
      </c>
      <c r="G204" s="16"/>
      <c r="H204" s="29"/>
      <c r="I204" s="17"/>
      <c r="J204" s="20"/>
      <c r="K204" s="45">
        <f t="shared" si="169"/>
        <v>0</v>
      </c>
      <c r="L204" s="104">
        <f t="shared" si="158"/>
        <v>2</v>
      </c>
      <c r="M204" s="56">
        <v>45779</v>
      </c>
      <c r="N204" s="33" t="s">
        <v>347</v>
      </c>
      <c r="O204" s="16">
        <v>5</v>
      </c>
      <c r="P204" s="29">
        <v>5</v>
      </c>
      <c r="Q204" s="17">
        <v>5</v>
      </c>
      <c r="R204" s="32">
        <v>25</v>
      </c>
      <c r="S204" s="9">
        <f t="shared" si="172"/>
        <v>40</v>
      </c>
      <c r="T204" s="16"/>
      <c r="U204" s="29"/>
      <c r="V204" s="17"/>
      <c r="W204" s="32"/>
      <c r="X204" s="9">
        <f t="shared" si="173"/>
        <v>0</v>
      </c>
      <c r="Y204" s="104">
        <f t="shared" si="167"/>
        <v>40</v>
      </c>
      <c r="Z204" s="56">
        <v>45799</v>
      </c>
    </row>
    <row r="205" spans="1:27" x14ac:dyDescent="0.15">
      <c r="A205" s="33" t="s">
        <v>335</v>
      </c>
      <c r="B205" s="16"/>
      <c r="C205" s="29"/>
      <c r="D205" s="17">
        <v>2</v>
      </c>
      <c r="E205" s="20"/>
      <c r="F205" s="45">
        <f t="shared" si="168"/>
        <v>2</v>
      </c>
      <c r="G205" s="16"/>
      <c r="H205" s="29"/>
      <c r="I205" s="17"/>
      <c r="J205" s="20"/>
      <c r="K205" s="45">
        <f t="shared" si="169"/>
        <v>0</v>
      </c>
      <c r="L205" s="104">
        <f t="shared" si="158"/>
        <v>2</v>
      </c>
      <c r="M205" s="56">
        <v>45786</v>
      </c>
      <c r="N205" s="11" t="s">
        <v>352</v>
      </c>
      <c r="O205" s="16"/>
      <c r="P205" s="29"/>
      <c r="Q205" s="17"/>
      <c r="R205" s="32"/>
      <c r="S205" s="9">
        <f t="shared" si="172"/>
        <v>0</v>
      </c>
      <c r="T205" s="16"/>
      <c r="U205" s="29">
        <v>1</v>
      </c>
      <c r="V205" s="17">
        <v>1</v>
      </c>
      <c r="W205" s="32"/>
      <c r="X205" s="9">
        <f t="shared" si="173"/>
        <v>2</v>
      </c>
      <c r="Y205" s="104">
        <f t="shared" si="167"/>
        <v>2</v>
      </c>
      <c r="Z205" s="56">
        <v>45796</v>
      </c>
    </row>
    <row r="206" spans="1:27" x14ac:dyDescent="0.15">
      <c r="A206" s="47" t="s">
        <v>51</v>
      </c>
      <c r="B206" s="16"/>
      <c r="C206" s="29">
        <v>1</v>
      </c>
      <c r="D206" s="17">
        <v>1</v>
      </c>
      <c r="E206" s="20">
        <v>1</v>
      </c>
      <c r="F206" s="45">
        <f t="shared" si="168"/>
        <v>3</v>
      </c>
      <c r="G206" s="16">
        <v>2</v>
      </c>
      <c r="H206" s="29">
        <v>2</v>
      </c>
      <c r="I206" s="17">
        <v>1</v>
      </c>
      <c r="J206" s="20"/>
      <c r="K206" s="45">
        <f t="shared" si="169"/>
        <v>5</v>
      </c>
      <c r="L206" s="104">
        <f t="shared" si="158"/>
        <v>8</v>
      </c>
      <c r="M206" s="56">
        <v>45784</v>
      </c>
      <c r="N206" s="11" t="s">
        <v>354</v>
      </c>
      <c r="O206" s="16">
        <v>3</v>
      </c>
      <c r="P206" s="29">
        <v>4</v>
      </c>
      <c r="Q206" s="17">
        <v>2</v>
      </c>
      <c r="R206" s="32">
        <v>2</v>
      </c>
      <c r="S206" s="9">
        <f>SUM(O206:R206)</f>
        <v>11</v>
      </c>
      <c r="T206" s="16">
        <v>3</v>
      </c>
      <c r="U206" s="29">
        <v>4</v>
      </c>
      <c r="V206" s="17">
        <v>2</v>
      </c>
      <c r="W206" s="32">
        <v>2</v>
      </c>
      <c r="X206" s="9">
        <f>SUM(T206:W206)</f>
        <v>11</v>
      </c>
      <c r="Y206" s="104">
        <f t="shared" si="167"/>
        <v>22</v>
      </c>
      <c r="Z206" s="56">
        <v>45806</v>
      </c>
    </row>
    <row r="207" spans="1:27" x14ac:dyDescent="0.15">
      <c r="A207" s="33" t="s">
        <v>338</v>
      </c>
      <c r="B207" s="16"/>
      <c r="C207" s="29">
        <v>1</v>
      </c>
      <c r="D207" s="17"/>
      <c r="E207" s="20"/>
      <c r="F207" s="45">
        <f t="shared" si="168"/>
        <v>1</v>
      </c>
      <c r="G207" s="16"/>
      <c r="H207" s="29"/>
      <c r="I207" s="17"/>
      <c r="J207" s="20"/>
      <c r="K207" s="45">
        <f t="shared" si="169"/>
        <v>0</v>
      </c>
      <c r="L207" s="104">
        <f t="shared" si="158"/>
        <v>1</v>
      </c>
      <c r="M207" s="56">
        <v>45786</v>
      </c>
      <c r="N207" s="33" t="s">
        <v>39</v>
      </c>
      <c r="O207" s="16"/>
      <c r="P207" s="29">
        <v>2</v>
      </c>
      <c r="Q207" s="17">
        <v>2</v>
      </c>
      <c r="R207" s="32">
        <v>2</v>
      </c>
      <c r="S207" s="9">
        <f>SUM(O207:R207)</f>
        <v>6</v>
      </c>
      <c r="T207" s="16">
        <v>2</v>
      </c>
      <c r="U207" s="29">
        <v>2</v>
      </c>
      <c r="V207" s="17">
        <v>2</v>
      </c>
      <c r="W207" s="32"/>
      <c r="X207" s="9">
        <f>SUM(T207:W207)</f>
        <v>6</v>
      </c>
      <c r="Y207" s="104">
        <f t="shared" si="167"/>
        <v>12</v>
      </c>
      <c r="Z207" s="56">
        <v>45791</v>
      </c>
      <c r="AA207" s="35"/>
    </row>
    <row r="208" spans="1:27" x14ac:dyDescent="0.15">
      <c r="A208" s="33" t="s">
        <v>339</v>
      </c>
      <c r="B208" s="16"/>
      <c r="C208" s="29">
        <v>2</v>
      </c>
      <c r="D208" s="17"/>
      <c r="E208" s="20"/>
      <c r="F208" s="45">
        <f t="shared" si="168"/>
        <v>2</v>
      </c>
      <c r="G208" s="16"/>
      <c r="H208" s="29">
        <v>1</v>
      </c>
      <c r="I208" s="17"/>
      <c r="J208" s="20"/>
      <c r="K208" s="45">
        <f t="shared" si="169"/>
        <v>1</v>
      </c>
      <c r="L208" s="104">
        <f t="shared" si="158"/>
        <v>3</v>
      </c>
      <c r="M208" s="56">
        <v>45789</v>
      </c>
      <c r="N208" s="33" t="s">
        <v>39</v>
      </c>
      <c r="O208" s="16"/>
      <c r="P208" s="29"/>
      <c r="Q208" s="17"/>
      <c r="R208" s="32">
        <v>3</v>
      </c>
      <c r="S208" s="9">
        <f>SUM(O208:R208)</f>
        <v>3</v>
      </c>
      <c r="T208" s="16"/>
      <c r="U208" s="29"/>
      <c r="V208" s="17">
        <v>3</v>
      </c>
      <c r="W208" s="32"/>
      <c r="X208" s="9">
        <f>SUM(T208:W208)</f>
        <v>3</v>
      </c>
      <c r="Y208" s="104">
        <f t="shared" si="167"/>
        <v>6</v>
      </c>
      <c r="Z208" s="56">
        <v>45796</v>
      </c>
      <c r="AA208" s="35"/>
    </row>
    <row r="209" spans="1:27" x14ac:dyDescent="0.15">
      <c r="A209" s="47" t="s">
        <v>51</v>
      </c>
      <c r="B209" s="16"/>
      <c r="C209" s="29"/>
      <c r="D209" s="17"/>
      <c r="E209" s="20"/>
      <c r="F209" s="45">
        <f t="shared" si="168"/>
        <v>0</v>
      </c>
      <c r="G209" s="16"/>
      <c r="H209" s="29"/>
      <c r="I209" s="17">
        <v>1</v>
      </c>
      <c r="J209" s="20"/>
      <c r="K209" s="45">
        <f t="shared" si="169"/>
        <v>1</v>
      </c>
      <c r="L209" s="104">
        <f t="shared" si="158"/>
        <v>1</v>
      </c>
      <c r="M209" s="56">
        <v>45786</v>
      </c>
      <c r="N209" s="33" t="s">
        <v>362</v>
      </c>
      <c r="O209" s="16">
        <v>3</v>
      </c>
      <c r="P209" s="29">
        <v>5</v>
      </c>
      <c r="Q209" s="17">
        <v>10</v>
      </c>
      <c r="R209" s="32">
        <v>25</v>
      </c>
      <c r="S209" s="9">
        <f t="shared" ref="S209:S215" si="174">SUM(O209:R209)</f>
        <v>43</v>
      </c>
      <c r="T209" s="16"/>
      <c r="U209" s="29"/>
      <c r="V209" s="17"/>
      <c r="W209" s="32"/>
      <c r="X209" s="9">
        <f t="shared" ref="X209:X215" si="175">SUM(T209:W209)</f>
        <v>0</v>
      </c>
      <c r="Y209" s="104">
        <f t="shared" si="167"/>
        <v>43</v>
      </c>
      <c r="Z209" s="56">
        <v>45812</v>
      </c>
      <c r="AA209" s="35"/>
    </row>
    <row r="210" spans="1:27" x14ac:dyDescent="0.15">
      <c r="A210" s="33" t="s">
        <v>341</v>
      </c>
      <c r="B210" s="16"/>
      <c r="C210" s="29"/>
      <c r="D210" s="17"/>
      <c r="E210" s="20"/>
      <c r="F210" s="45">
        <f t="shared" si="168"/>
        <v>0</v>
      </c>
      <c r="G210" s="16">
        <v>1</v>
      </c>
      <c r="H210" s="29"/>
      <c r="I210" s="17"/>
      <c r="J210" s="20"/>
      <c r="K210" s="45">
        <f t="shared" si="169"/>
        <v>1</v>
      </c>
      <c r="L210" s="104">
        <f t="shared" si="158"/>
        <v>1</v>
      </c>
      <c r="M210" s="56">
        <v>45791</v>
      </c>
      <c r="N210" s="11" t="s">
        <v>352</v>
      </c>
      <c r="O210" s="16"/>
      <c r="P210" s="29">
        <v>2</v>
      </c>
      <c r="Q210" s="17"/>
      <c r="R210" s="32">
        <v>3</v>
      </c>
      <c r="S210" s="9">
        <f t="shared" si="174"/>
        <v>5</v>
      </c>
      <c r="T210" s="16"/>
      <c r="U210" s="29"/>
      <c r="V210" s="17"/>
      <c r="W210" s="32">
        <v>3</v>
      </c>
      <c r="X210" s="9">
        <f t="shared" si="175"/>
        <v>3</v>
      </c>
      <c r="Y210" s="104">
        <f t="shared" si="167"/>
        <v>8</v>
      </c>
      <c r="Z210" s="56">
        <v>45803</v>
      </c>
      <c r="AA210" s="35"/>
    </row>
    <row r="211" spans="1:27" x14ac:dyDescent="0.15">
      <c r="A211" s="47" t="s">
        <v>51</v>
      </c>
      <c r="B211" s="16"/>
      <c r="C211" s="29"/>
      <c r="D211" s="17">
        <f>1+1</f>
        <v>2</v>
      </c>
      <c r="E211" s="20">
        <v>1</v>
      </c>
      <c r="F211" s="45">
        <f t="shared" si="168"/>
        <v>3</v>
      </c>
      <c r="G211" s="16"/>
      <c r="H211" s="29">
        <v>1</v>
      </c>
      <c r="I211" s="17"/>
      <c r="J211" s="20"/>
      <c r="K211" s="45">
        <f t="shared" si="169"/>
        <v>1</v>
      </c>
      <c r="L211" s="104">
        <f t="shared" si="158"/>
        <v>4</v>
      </c>
      <c r="M211" s="56">
        <v>45789</v>
      </c>
      <c r="N211" s="33" t="s">
        <v>380</v>
      </c>
      <c r="O211" s="16"/>
      <c r="P211" s="29">
        <v>5</v>
      </c>
      <c r="Q211" s="17"/>
      <c r="R211" s="32"/>
      <c r="S211" s="9">
        <f t="shared" si="174"/>
        <v>5</v>
      </c>
      <c r="T211" s="16"/>
      <c r="U211" s="29"/>
      <c r="V211" s="17"/>
      <c r="W211" s="32"/>
      <c r="X211" s="9">
        <f t="shared" si="175"/>
        <v>0</v>
      </c>
      <c r="Y211" s="104">
        <f t="shared" si="167"/>
        <v>5</v>
      </c>
      <c r="Z211" s="56">
        <v>45820</v>
      </c>
      <c r="AA211" s="35"/>
    </row>
    <row r="212" spans="1:27" x14ac:dyDescent="0.15">
      <c r="A212" s="11" t="s">
        <v>351</v>
      </c>
      <c r="B212" s="16">
        <v>1</v>
      </c>
      <c r="C212" s="29"/>
      <c r="D212" s="17"/>
      <c r="E212" s="20">
        <v>1</v>
      </c>
      <c r="F212" s="45">
        <f t="shared" si="168"/>
        <v>2</v>
      </c>
      <c r="G212" s="16"/>
      <c r="H212" s="29"/>
      <c r="I212" s="17"/>
      <c r="J212" s="20"/>
      <c r="K212" s="45">
        <f t="shared" si="169"/>
        <v>0</v>
      </c>
      <c r="L212" s="104">
        <f t="shared" si="158"/>
        <v>2</v>
      </c>
      <c r="M212" s="56">
        <v>45792</v>
      </c>
      <c r="N212" s="11" t="s">
        <v>383</v>
      </c>
      <c r="O212" s="16"/>
      <c r="P212" s="29"/>
      <c r="Q212" s="17"/>
      <c r="R212" s="20"/>
      <c r="S212" s="45">
        <f t="shared" si="174"/>
        <v>0</v>
      </c>
      <c r="T212" s="16">
        <v>1</v>
      </c>
      <c r="U212" s="29">
        <v>1</v>
      </c>
      <c r="V212" s="17"/>
      <c r="W212" s="20"/>
      <c r="X212" s="45">
        <f t="shared" si="175"/>
        <v>2</v>
      </c>
      <c r="Y212" s="104">
        <f t="shared" si="167"/>
        <v>2</v>
      </c>
      <c r="Z212" s="56">
        <v>45807</v>
      </c>
      <c r="AA212" s="35"/>
    </row>
    <row r="213" spans="1:27" x14ac:dyDescent="0.15">
      <c r="A213" s="33" t="s">
        <v>353</v>
      </c>
      <c r="B213" s="16"/>
      <c r="C213" s="29"/>
      <c r="D213" s="17"/>
      <c r="E213" s="20"/>
      <c r="F213" s="45">
        <f t="shared" si="168"/>
        <v>0</v>
      </c>
      <c r="G213" s="16"/>
      <c r="H213" s="29"/>
      <c r="I213" s="17">
        <v>1</v>
      </c>
      <c r="J213" s="20"/>
      <c r="K213" s="45">
        <f t="shared" si="169"/>
        <v>1</v>
      </c>
      <c r="L213" s="104">
        <f t="shared" si="158"/>
        <v>1</v>
      </c>
      <c r="M213" s="56">
        <v>45792</v>
      </c>
      <c r="N213" s="33" t="s">
        <v>39</v>
      </c>
      <c r="O213" s="16"/>
      <c r="P213" s="29">
        <v>2</v>
      </c>
      <c r="Q213" s="17"/>
      <c r="R213" s="32"/>
      <c r="S213" s="9">
        <f t="shared" si="174"/>
        <v>2</v>
      </c>
      <c r="T213" s="16"/>
      <c r="U213" s="29">
        <v>2</v>
      </c>
      <c r="V213" s="17"/>
      <c r="W213" s="32">
        <v>2</v>
      </c>
      <c r="X213" s="9">
        <f t="shared" si="175"/>
        <v>4</v>
      </c>
      <c r="Y213" s="104">
        <f t="shared" si="167"/>
        <v>6</v>
      </c>
      <c r="Z213" s="56">
        <v>45807</v>
      </c>
      <c r="AA213" s="35"/>
    </row>
    <row r="214" spans="1:27" x14ac:dyDescent="0.15">
      <c r="A214" s="47" t="s">
        <v>51</v>
      </c>
      <c r="B214" s="16"/>
      <c r="C214" s="29">
        <v>1</v>
      </c>
      <c r="D214" s="17"/>
      <c r="E214" s="20"/>
      <c r="F214" s="45">
        <f t="shared" si="168"/>
        <v>1</v>
      </c>
      <c r="G214" s="16"/>
      <c r="H214" s="29"/>
      <c r="I214" s="17"/>
      <c r="J214" s="20"/>
      <c r="K214" s="45">
        <f t="shared" si="169"/>
        <v>0</v>
      </c>
      <c r="L214" s="104">
        <f t="shared" si="158"/>
        <v>1</v>
      </c>
      <c r="M214" s="56">
        <v>45790</v>
      </c>
      <c r="N214" s="137"/>
      <c r="O214" s="16"/>
      <c r="P214" s="29"/>
      <c r="Q214" s="17"/>
      <c r="R214" s="32"/>
      <c r="S214" s="9">
        <f t="shared" si="174"/>
        <v>0</v>
      </c>
      <c r="T214" s="16"/>
      <c r="U214" s="29"/>
      <c r="V214" s="17"/>
      <c r="W214" s="32"/>
      <c r="X214" s="9">
        <f t="shared" si="175"/>
        <v>0</v>
      </c>
      <c r="Y214" s="104">
        <f t="shared" ref="Y214:Y215" si="176">S214+X214</f>
        <v>0</v>
      </c>
      <c r="Z214" s="157"/>
      <c r="AA214" s="35"/>
    </row>
    <row r="215" spans="1:27" x14ac:dyDescent="0.15">
      <c r="A215" s="47" t="s">
        <v>51</v>
      </c>
      <c r="B215" s="16"/>
      <c r="C215" s="29"/>
      <c r="D215" s="17"/>
      <c r="E215" s="20"/>
      <c r="F215" s="45">
        <f t="shared" si="168"/>
        <v>0</v>
      </c>
      <c r="G215" s="16"/>
      <c r="H215" s="29">
        <v>1</v>
      </c>
      <c r="I215" s="17"/>
      <c r="J215" s="20"/>
      <c r="K215" s="45">
        <f t="shared" si="169"/>
        <v>1</v>
      </c>
      <c r="L215" s="104">
        <f t="shared" si="158"/>
        <v>1</v>
      </c>
      <c r="M215" s="56">
        <v>45791</v>
      </c>
      <c r="N215" s="137"/>
      <c r="O215" s="16"/>
      <c r="P215" s="29"/>
      <c r="Q215" s="17"/>
      <c r="R215" s="32"/>
      <c r="S215" s="9">
        <f t="shared" si="174"/>
        <v>0</v>
      </c>
      <c r="T215" s="16"/>
      <c r="U215" s="29"/>
      <c r="V215" s="17"/>
      <c r="W215" s="32"/>
      <c r="X215" s="9">
        <f t="shared" si="175"/>
        <v>0</v>
      </c>
      <c r="Y215" s="104">
        <f t="shared" si="176"/>
        <v>0</v>
      </c>
      <c r="AA215" s="35"/>
    </row>
    <row r="216" spans="1:27" x14ac:dyDescent="0.15">
      <c r="A216" s="47" t="s">
        <v>66</v>
      </c>
      <c r="B216" s="16"/>
      <c r="C216" s="29">
        <v>-1</v>
      </c>
      <c r="D216" s="17"/>
      <c r="E216" s="20"/>
      <c r="F216" s="45">
        <f t="shared" si="168"/>
        <v>-1</v>
      </c>
      <c r="G216" s="16"/>
      <c r="H216" s="29"/>
      <c r="I216" s="17"/>
      <c r="J216" s="20"/>
      <c r="K216" s="45">
        <f t="shared" si="169"/>
        <v>0</v>
      </c>
      <c r="L216" s="104">
        <f t="shared" si="158"/>
        <v>-1</v>
      </c>
      <c r="M216" s="56">
        <v>45790</v>
      </c>
      <c r="N216" s="137"/>
      <c r="O216" s="16"/>
      <c r="P216" s="29"/>
      <c r="Q216" s="17"/>
      <c r="R216" s="32"/>
      <c r="S216" s="9">
        <f t="shared" ref="S216:S217" si="177">SUM(O216:R216)</f>
        <v>0</v>
      </c>
      <c r="T216" s="16"/>
      <c r="U216" s="29"/>
      <c r="V216" s="17"/>
      <c r="W216" s="32"/>
      <c r="X216" s="9">
        <f t="shared" ref="X216:X217" si="178">SUM(T216:W216)</f>
        <v>0</v>
      </c>
      <c r="Y216" s="104">
        <f t="shared" si="167"/>
        <v>0</v>
      </c>
    </row>
    <row r="217" spans="1:27" x14ac:dyDescent="0.15">
      <c r="A217" s="47" t="s">
        <v>356</v>
      </c>
      <c r="B217" s="16"/>
      <c r="C217" s="29"/>
      <c r="D217" s="17"/>
      <c r="E217" s="20"/>
      <c r="F217" s="45">
        <f t="shared" si="168"/>
        <v>0</v>
      </c>
      <c r="G217" s="16"/>
      <c r="H217" s="29"/>
      <c r="I217" s="17">
        <v>1</v>
      </c>
      <c r="J217" s="20"/>
      <c r="K217" s="45">
        <f t="shared" si="169"/>
        <v>1</v>
      </c>
      <c r="L217" s="104">
        <f t="shared" si="158"/>
        <v>1</v>
      </c>
      <c r="M217" s="56">
        <v>45792</v>
      </c>
      <c r="N217" s="72"/>
      <c r="O217" s="41"/>
      <c r="P217" s="42"/>
      <c r="Q217" s="43"/>
      <c r="R217" s="59"/>
      <c r="S217" s="61">
        <f t="shared" si="177"/>
        <v>0</v>
      </c>
      <c r="T217" s="41"/>
      <c r="U217" s="42"/>
      <c r="V217" s="43"/>
      <c r="W217" s="59"/>
      <c r="X217" s="61">
        <f t="shared" si="178"/>
        <v>0</v>
      </c>
      <c r="Y217" s="104">
        <f t="shared" si="167"/>
        <v>0</v>
      </c>
    </row>
    <row r="218" spans="1:27" x14ac:dyDescent="0.15">
      <c r="A218" s="33" t="s">
        <v>357</v>
      </c>
      <c r="B218" s="16"/>
      <c r="C218" s="29"/>
      <c r="D218" s="17"/>
      <c r="E218" s="20">
        <v>1</v>
      </c>
      <c r="F218" s="45">
        <f t="shared" si="168"/>
        <v>1</v>
      </c>
      <c r="G218" s="16"/>
      <c r="H218" s="29"/>
      <c r="I218" s="17"/>
      <c r="J218" s="20"/>
      <c r="K218" s="45">
        <f t="shared" si="169"/>
        <v>0</v>
      </c>
      <c r="L218" s="104">
        <f t="shared" si="158"/>
        <v>1</v>
      </c>
      <c r="M218" s="56">
        <v>45796</v>
      </c>
      <c r="N218" s="72"/>
      <c r="O218" s="41"/>
      <c r="P218" s="42"/>
      <c r="Q218" s="43"/>
      <c r="R218" s="59"/>
      <c r="S218" s="61">
        <f t="shared" ref="S218:S224" si="179">SUM(O218:R218)</f>
        <v>0</v>
      </c>
      <c r="T218" s="41"/>
      <c r="U218" s="42"/>
      <c r="V218" s="43"/>
      <c r="W218" s="59"/>
      <c r="X218" s="61">
        <f t="shared" ref="X218:X224" si="180">SUM(T218:W218)</f>
        <v>0</v>
      </c>
      <c r="Y218" s="104">
        <f t="shared" ref="Y218:Y224" si="181">S218+X218</f>
        <v>0</v>
      </c>
    </row>
    <row r="219" spans="1:27" x14ac:dyDescent="0.15">
      <c r="A219" s="47" t="s">
        <v>51</v>
      </c>
      <c r="B219" s="16"/>
      <c r="C219" s="29">
        <v>1</v>
      </c>
      <c r="D219" s="17"/>
      <c r="E219" s="20"/>
      <c r="F219" s="45">
        <f t="shared" si="168"/>
        <v>1</v>
      </c>
      <c r="G219" s="16"/>
      <c r="H219" s="29"/>
      <c r="I219" s="17"/>
      <c r="J219" s="20">
        <v>1</v>
      </c>
      <c r="K219" s="45">
        <f t="shared" si="169"/>
        <v>1</v>
      </c>
      <c r="L219" s="104">
        <f t="shared" si="158"/>
        <v>2</v>
      </c>
      <c r="M219" s="56">
        <v>45797</v>
      </c>
      <c r="N219" s="72"/>
      <c r="O219" s="41"/>
      <c r="P219" s="42"/>
      <c r="Q219" s="43"/>
      <c r="R219" s="59"/>
      <c r="S219" s="61">
        <f t="shared" si="179"/>
        <v>0</v>
      </c>
      <c r="T219" s="41"/>
      <c r="U219" s="42"/>
      <c r="V219" s="43"/>
      <c r="W219" s="59"/>
      <c r="X219" s="61">
        <f t="shared" si="180"/>
        <v>0</v>
      </c>
      <c r="Y219" s="104">
        <f t="shared" si="181"/>
        <v>0</v>
      </c>
    </row>
    <row r="220" spans="1:27" x14ac:dyDescent="0.15">
      <c r="A220" s="47"/>
      <c r="B220" s="16"/>
      <c r="C220" s="29"/>
      <c r="D220" s="17"/>
      <c r="E220" s="20"/>
      <c r="F220" s="45">
        <f t="shared" ref="F220" si="182">SUM(B220:E220)</f>
        <v>0</v>
      </c>
      <c r="G220" s="16"/>
      <c r="H220" s="29"/>
      <c r="I220" s="17"/>
      <c r="J220" s="20"/>
      <c r="K220" s="45">
        <f t="shared" ref="K220" si="183">SUM(G220:J220)</f>
        <v>0</v>
      </c>
      <c r="L220" s="104">
        <f t="shared" ref="L220" si="184">F220+K220</f>
        <v>0</v>
      </c>
      <c r="N220" s="72"/>
      <c r="O220" s="41"/>
      <c r="P220" s="42"/>
      <c r="Q220" s="43"/>
      <c r="R220" s="59"/>
      <c r="S220" s="61">
        <f t="shared" si="179"/>
        <v>0</v>
      </c>
      <c r="T220" s="41"/>
      <c r="U220" s="42"/>
      <c r="V220" s="43"/>
      <c r="W220" s="59"/>
      <c r="X220" s="61">
        <f t="shared" si="180"/>
        <v>0</v>
      </c>
      <c r="Y220" s="104">
        <f t="shared" si="181"/>
        <v>0</v>
      </c>
    </row>
    <row r="221" spans="1:27" x14ac:dyDescent="0.15">
      <c r="A221" s="47"/>
      <c r="B221" s="16"/>
      <c r="C221" s="29"/>
      <c r="D221" s="17"/>
      <c r="E221" s="20"/>
      <c r="F221" s="45">
        <f t="shared" si="168"/>
        <v>0</v>
      </c>
      <c r="G221" s="16"/>
      <c r="H221" s="29"/>
      <c r="I221" s="17"/>
      <c r="J221" s="20"/>
      <c r="K221" s="45">
        <f t="shared" si="169"/>
        <v>0</v>
      </c>
      <c r="L221" s="104">
        <f t="shared" si="158"/>
        <v>0</v>
      </c>
      <c r="N221" s="72"/>
      <c r="O221" s="41"/>
      <c r="P221" s="42"/>
      <c r="Q221" s="43"/>
      <c r="R221" s="59"/>
      <c r="S221" s="61">
        <f t="shared" ref="S221:S222" si="185">SUM(O221:R221)</f>
        <v>0</v>
      </c>
      <c r="T221" s="41"/>
      <c r="U221" s="42"/>
      <c r="V221" s="43"/>
      <c r="W221" s="59"/>
      <c r="X221" s="61">
        <f t="shared" ref="X221:X222" si="186">SUM(T221:W221)</f>
        <v>0</v>
      </c>
      <c r="Y221" s="104">
        <f t="shared" ref="Y221:Y222" si="187">S221+X221</f>
        <v>0</v>
      </c>
    </row>
    <row r="222" spans="1:27" x14ac:dyDescent="0.15">
      <c r="A222" s="47"/>
      <c r="B222" s="16"/>
      <c r="C222" s="29"/>
      <c r="D222" s="17"/>
      <c r="E222" s="20"/>
      <c r="F222" s="45">
        <f t="shared" si="168"/>
        <v>0</v>
      </c>
      <c r="G222" s="16"/>
      <c r="H222" s="29"/>
      <c r="I222" s="17"/>
      <c r="J222" s="20"/>
      <c r="K222" s="45">
        <f t="shared" si="169"/>
        <v>0</v>
      </c>
      <c r="L222" s="104">
        <f t="shared" si="158"/>
        <v>0</v>
      </c>
      <c r="N222" s="11" t="s">
        <v>233</v>
      </c>
      <c r="O222" s="16"/>
      <c r="P222" s="29"/>
      <c r="Q222" s="17"/>
      <c r="R222" s="32"/>
      <c r="S222" s="9">
        <f t="shared" si="185"/>
        <v>0</v>
      </c>
      <c r="T222" s="16"/>
      <c r="U222" s="29"/>
      <c r="V222" s="17"/>
      <c r="W222" s="32"/>
      <c r="X222" s="9">
        <f t="shared" si="186"/>
        <v>0</v>
      </c>
      <c r="Y222" s="104">
        <f t="shared" si="187"/>
        <v>0</v>
      </c>
      <c r="Z222" s="157" t="s">
        <v>242</v>
      </c>
    </row>
    <row r="223" spans="1:27" x14ac:dyDescent="0.15">
      <c r="A223" s="47"/>
      <c r="B223" s="16"/>
      <c r="C223" s="29"/>
      <c r="D223" s="17"/>
      <c r="E223" s="20"/>
      <c r="F223" s="45">
        <f t="shared" si="168"/>
        <v>0</v>
      </c>
      <c r="G223" s="16"/>
      <c r="H223" s="29"/>
      <c r="I223" s="17"/>
      <c r="J223" s="20"/>
      <c r="K223" s="45">
        <f t="shared" si="169"/>
        <v>0</v>
      </c>
      <c r="L223" s="104">
        <f t="shared" si="158"/>
        <v>0</v>
      </c>
      <c r="N223" s="72" t="s">
        <v>105</v>
      </c>
      <c r="O223" s="166"/>
      <c r="P223" s="167"/>
      <c r="Q223" s="160"/>
      <c r="R223" s="168"/>
      <c r="S223" s="165">
        <f t="shared" si="179"/>
        <v>0</v>
      </c>
      <c r="T223" s="161"/>
      <c r="U223" s="162"/>
      <c r="V223" s="163"/>
      <c r="W223" s="164"/>
      <c r="X223" s="165">
        <f t="shared" si="180"/>
        <v>0</v>
      </c>
      <c r="Y223" s="169">
        <f t="shared" si="181"/>
        <v>0</v>
      </c>
      <c r="Z223" s="224"/>
    </row>
    <row r="224" spans="1:27" ht="14.25" thickBot="1" x14ac:dyDescent="0.2">
      <c r="A224" s="47"/>
      <c r="B224" s="37"/>
      <c r="C224" s="38"/>
      <c r="D224" s="39"/>
      <c r="E224" s="40"/>
      <c r="F224" s="45">
        <f t="shared" si="168"/>
        <v>0</v>
      </c>
      <c r="G224" s="37"/>
      <c r="H224" s="38"/>
      <c r="I224" s="39"/>
      <c r="J224" s="40"/>
      <c r="K224" s="45">
        <f t="shared" si="169"/>
        <v>0</v>
      </c>
      <c r="L224" s="104">
        <f t="shared" si="158"/>
        <v>0</v>
      </c>
      <c r="N224" s="170" t="s">
        <v>36</v>
      </c>
      <c r="O224" s="37"/>
      <c r="P224" s="38"/>
      <c r="Q224" s="39"/>
      <c r="R224" s="129"/>
      <c r="S224" s="10">
        <f t="shared" si="179"/>
        <v>0</v>
      </c>
      <c r="T224" s="123"/>
      <c r="U224" s="125"/>
      <c r="V224" s="124"/>
      <c r="W224" s="200"/>
      <c r="X224" s="10">
        <f t="shared" si="180"/>
        <v>0</v>
      </c>
      <c r="Y224" s="101">
        <f t="shared" si="181"/>
        <v>0</v>
      </c>
      <c r="Z224" s="157" t="s">
        <v>74</v>
      </c>
    </row>
    <row r="225" spans="1:27" ht="14.25" thickBot="1" x14ac:dyDescent="0.2">
      <c r="A225" s="13" t="s">
        <v>8</v>
      </c>
      <c r="B225" s="22">
        <f>SUM(B200:B224)</f>
        <v>3</v>
      </c>
      <c r="C225" s="30">
        <f>SUM(C200:C224)</f>
        <v>6</v>
      </c>
      <c r="D225" s="23">
        <f>SUM(D200:D224)</f>
        <v>9</v>
      </c>
      <c r="E225" s="24">
        <f>SUM(E200:E224)</f>
        <v>6</v>
      </c>
      <c r="F225" s="21">
        <f>SUM(B225:E225)</f>
        <v>24</v>
      </c>
      <c r="G225" s="22">
        <f>SUM(G200:G224)</f>
        <v>6</v>
      </c>
      <c r="H225" s="30">
        <f>SUM(H200:H224)</f>
        <v>6</v>
      </c>
      <c r="I225" s="23">
        <f>SUM(I200:I224)</f>
        <v>4</v>
      </c>
      <c r="J225" s="24">
        <f>SUM(J200:J224)</f>
        <v>2</v>
      </c>
      <c r="K225" s="21">
        <f>SUM(G225:J225)</f>
        <v>18</v>
      </c>
      <c r="L225" s="105">
        <f t="shared" si="158"/>
        <v>42</v>
      </c>
      <c r="N225" s="49" t="s">
        <v>8</v>
      </c>
      <c r="O225" s="22">
        <f>SUM(O200:O224)</f>
        <v>41</v>
      </c>
      <c r="P225" s="30">
        <f>SUM(P200:P224)</f>
        <v>83</v>
      </c>
      <c r="Q225" s="23">
        <f>SUM(Q200:Q224)</f>
        <v>74</v>
      </c>
      <c r="R225" s="24">
        <f>SUM(R200:R224)</f>
        <v>90</v>
      </c>
      <c r="S225" s="48">
        <f t="shared" ref="S225" si="188">SUM(O225:R225)</f>
        <v>288</v>
      </c>
      <c r="T225" s="22">
        <f>SUM(T200:T224)</f>
        <v>6</v>
      </c>
      <c r="U225" s="30">
        <f>SUM(U200:U224)</f>
        <v>10</v>
      </c>
      <c r="V225" s="23">
        <f>SUM(V200:V224)</f>
        <v>8</v>
      </c>
      <c r="W225" s="24">
        <f>SUM(W200:W224)</f>
        <v>7</v>
      </c>
      <c r="X225" s="48">
        <f t="shared" ref="X225" si="189">SUM(T225:W225)</f>
        <v>31</v>
      </c>
      <c r="Y225" s="122">
        <f t="shared" si="167"/>
        <v>319</v>
      </c>
    </row>
    <row r="226" spans="1:27" ht="14.25" thickBot="1" x14ac:dyDescent="0.2">
      <c r="A226" s="14" t="s">
        <v>9</v>
      </c>
      <c r="B226" s="25">
        <f t="shared" ref="B226:K226" si="190">B199-B225</f>
        <v>5</v>
      </c>
      <c r="C226" s="31">
        <f t="shared" si="190"/>
        <v>3</v>
      </c>
      <c r="D226" s="26">
        <f t="shared" si="190"/>
        <v>2</v>
      </c>
      <c r="E226" s="27">
        <f t="shared" si="190"/>
        <v>1</v>
      </c>
      <c r="F226" s="83">
        <f t="shared" si="190"/>
        <v>11</v>
      </c>
      <c r="G226" s="25">
        <f t="shared" si="190"/>
        <v>3</v>
      </c>
      <c r="H226" s="31">
        <f t="shared" si="190"/>
        <v>2</v>
      </c>
      <c r="I226" s="26">
        <f t="shared" si="190"/>
        <v>1</v>
      </c>
      <c r="J226" s="27">
        <f t="shared" si="190"/>
        <v>5</v>
      </c>
      <c r="K226" s="83">
        <f t="shared" si="190"/>
        <v>11</v>
      </c>
      <c r="L226" s="102">
        <f t="shared" si="158"/>
        <v>22</v>
      </c>
      <c r="N226" s="13" t="s">
        <v>9</v>
      </c>
      <c r="O226" s="25">
        <f t="shared" ref="O226:X226" si="191">O199-O225</f>
        <v>78</v>
      </c>
      <c r="P226" s="31">
        <f t="shared" si="191"/>
        <v>124</v>
      </c>
      <c r="Q226" s="26">
        <f t="shared" si="191"/>
        <v>165</v>
      </c>
      <c r="R226" s="27">
        <f t="shared" si="191"/>
        <v>66</v>
      </c>
      <c r="S226" s="36">
        <f t="shared" si="191"/>
        <v>433</v>
      </c>
      <c r="T226" s="25">
        <f t="shared" si="191"/>
        <v>70</v>
      </c>
      <c r="U226" s="31">
        <f t="shared" si="191"/>
        <v>136</v>
      </c>
      <c r="V226" s="26">
        <f t="shared" si="191"/>
        <v>98</v>
      </c>
      <c r="W226" s="27">
        <f t="shared" si="191"/>
        <v>80</v>
      </c>
      <c r="X226" s="36">
        <f t="shared" si="191"/>
        <v>384</v>
      </c>
      <c r="Y226" s="102">
        <f t="shared" si="167"/>
        <v>817</v>
      </c>
    </row>
    <row r="227" spans="1:27" x14ac:dyDescent="0.15">
      <c r="N227" s="189" t="s">
        <v>313</v>
      </c>
      <c r="O227" s="50">
        <f>O225+O187+O149+O111+O73+O35</f>
        <v>146</v>
      </c>
      <c r="P227" s="50">
        <f t="shared" ref="P227:S227" si="192">P225+P187+P149+P111+P73+P35</f>
        <v>257</v>
      </c>
      <c r="Q227" s="50">
        <f t="shared" si="192"/>
        <v>209</v>
      </c>
      <c r="R227" s="50">
        <f t="shared" si="192"/>
        <v>238</v>
      </c>
      <c r="S227" s="50">
        <f t="shared" si="192"/>
        <v>850</v>
      </c>
      <c r="T227" s="188">
        <f>T225+T187+T149+T111+T73+T35</f>
        <v>64</v>
      </c>
      <c r="U227" s="188">
        <f t="shared" ref="U227:X227" si="193">U225+U187+U149+U111+U73+U35</f>
        <v>86</v>
      </c>
      <c r="V227" s="188">
        <f t="shared" si="193"/>
        <v>74</v>
      </c>
      <c r="W227" s="188">
        <f t="shared" si="193"/>
        <v>81</v>
      </c>
      <c r="X227" s="188">
        <f t="shared" si="193"/>
        <v>305</v>
      </c>
    </row>
    <row r="228" spans="1:27" x14ac:dyDescent="0.15">
      <c r="N228" s="189" t="s">
        <v>314</v>
      </c>
      <c r="O228" s="149">
        <f>O227/$S$227*100</f>
        <v>17.176470588235293</v>
      </c>
      <c r="P228" s="149">
        <f t="shared" ref="P228:S228" si="194">P227/$S$227*100</f>
        <v>30.235294117647062</v>
      </c>
      <c r="Q228" s="149">
        <f t="shared" si="194"/>
        <v>24.588235294117649</v>
      </c>
      <c r="R228" s="149">
        <f t="shared" si="194"/>
        <v>28.000000000000004</v>
      </c>
      <c r="S228" s="149">
        <f t="shared" si="194"/>
        <v>100</v>
      </c>
      <c r="T228" s="193">
        <f>T227/$X$227*100</f>
        <v>20.983606557377048</v>
      </c>
      <c r="U228" s="193">
        <f t="shared" ref="U228:X228" si="195">U227/$X$227*100</f>
        <v>28.196721311475407</v>
      </c>
      <c r="V228" s="193">
        <f t="shared" si="195"/>
        <v>24.262295081967213</v>
      </c>
      <c r="W228" s="193">
        <f t="shared" si="195"/>
        <v>26.557377049180324</v>
      </c>
      <c r="X228" s="193">
        <f t="shared" si="195"/>
        <v>100</v>
      </c>
    </row>
    <row r="229" spans="1:27" ht="19.5" thickBot="1" x14ac:dyDescent="0.25">
      <c r="A229" s="2" t="s">
        <v>18</v>
      </c>
      <c r="B229" s="2"/>
      <c r="C229" s="1"/>
      <c r="D229" s="1"/>
      <c r="E229" s="1"/>
      <c r="F229" s="84"/>
      <c r="G229" s="2"/>
      <c r="H229" s="1" t="s">
        <v>157</v>
      </c>
      <c r="I229" s="1"/>
      <c r="J229" s="1"/>
      <c r="K229" s="84" t="s">
        <v>13</v>
      </c>
      <c r="L229" s="84"/>
      <c r="N229" s="2" t="s">
        <v>19</v>
      </c>
      <c r="O229" s="71"/>
      <c r="P229" s="71"/>
      <c r="Q229" s="71"/>
      <c r="R229" s="71"/>
      <c r="S229" s="84"/>
      <c r="T229" s="1" t="s">
        <v>157</v>
      </c>
      <c r="U229" s="71"/>
      <c r="V229" s="71"/>
      <c r="W229" s="71"/>
      <c r="X229" s="84" t="s">
        <v>13</v>
      </c>
    </row>
    <row r="230" spans="1:27" ht="14.25" thickBot="1" x14ac:dyDescent="0.2">
      <c r="A230" s="5" t="s">
        <v>0</v>
      </c>
      <c r="B230" s="322" t="s">
        <v>32</v>
      </c>
      <c r="C230" s="323"/>
      <c r="D230" s="323"/>
      <c r="E230" s="323"/>
      <c r="F230" s="324"/>
      <c r="G230" s="325" t="s">
        <v>31</v>
      </c>
      <c r="H230" s="326"/>
      <c r="I230" s="326"/>
      <c r="J230" s="326"/>
      <c r="K230" s="327"/>
      <c r="L230" s="320" t="s">
        <v>30</v>
      </c>
      <c r="N230" s="5" t="s">
        <v>0</v>
      </c>
      <c r="O230" s="322" t="s">
        <v>200</v>
      </c>
      <c r="P230" s="323"/>
      <c r="Q230" s="323"/>
      <c r="R230" s="323"/>
      <c r="S230" s="324"/>
      <c r="T230" s="325" t="s">
        <v>201</v>
      </c>
      <c r="U230" s="326"/>
      <c r="V230" s="326"/>
      <c r="W230" s="326"/>
      <c r="X230" s="327"/>
      <c r="Y230" s="320" t="s">
        <v>30</v>
      </c>
    </row>
    <row r="231" spans="1:27" ht="14.25" thickBot="1" x14ac:dyDescent="0.2">
      <c r="A231" s="5" t="s">
        <v>1</v>
      </c>
      <c r="B231" s="3" t="s">
        <v>22</v>
      </c>
      <c r="C231" s="28" t="s">
        <v>23</v>
      </c>
      <c r="D231" s="4" t="s">
        <v>24</v>
      </c>
      <c r="E231" s="15" t="s">
        <v>25</v>
      </c>
      <c r="F231" s="19" t="s">
        <v>2</v>
      </c>
      <c r="G231" s="3" t="s">
        <v>22</v>
      </c>
      <c r="H231" s="28" t="s">
        <v>23</v>
      </c>
      <c r="I231" s="4" t="s">
        <v>24</v>
      </c>
      <c r="J231" s="15" t="s">
        <v>25</v>
      </c>
      <c r="K231" s="19" t="s">
        <v>2</v>
      </c>
      <c r="L231" s="321"/>
      <c r="N231" s="5" t="s">
        <v>1</v>
      </c>
      <c r="O231" s="3" t="s">
        <v>22</v>
      </c>
      <c r="P231" s="28" t="s">
        <v>23</v>
      </c>
      <c r="Q231" s="4" t="s">
        <v>24</v>
      </c>
      <c r="R231" s="15" t="s">
        <v>25</v>
      </c>
      <c r="S231" s="19" t="s">
        <v>2</v>
      </c>
      <c r="T231" s="3" t="s">
        <v>22</v>
      </c>
      <c r="U231" s="28" t="s">
        <v>23</v>
      </c>
      <c r="V231" s="4" t="s">
        <v>24</v>
      </c>
      <c r="W231" s="15" t="s">
        <v>25</v>
      </c>
      <c r="X231" s="19" t="s">
        <v>2</v>
      </c>
      <c r="Y231" s="321"/>
    </row>
    <row r="232" spans="1:27" x14ac:dyDescent="0.15">
      <c r="A232" s="78" t="s">
        <v>10</v>
      </c>
      <c r="B232" s="79">
        <f>B226</f>
        <v>5</v>
      </c>
      <c r="C232" s="80">
        <f>C226</f>
        <v>3</v>
      </c>
      <c r="D232" s="80">
        <f>D226</f>
        <v>2</v>
      </c>
      <c r="E232" s="81">
        <f>E226</f>
        <v>1</v>
      </c>
      <c r="F232" s="82">
        <f>SUM(B232:E232)</f>
        <v>11</v>
      </c>
      <c r="G232" s="79">
        <f>G226</f>
        <v>3</v>
      </c>
      <c r="H232" s="80">
        <f>H226</f>
        <v>2</v>
      </c>
      <c r="I232" s="80">
        <f>I226</f>
        <v>1</v>
      </c>
      <c r="J232" s="81">
        <f>J226</f>
        <v>5</v>
      </c>
      <c r="K232" s="82">
        <f>SUM(G232:J232)</f>
        <v>11</v>
      </c>
      <c r="L232" s="98">
        <f>F232+K232</f>
        <v>22</v>
      </c>
      <c r="N232" s="78" t="s">
        <v>10</v>
      </c>
      <c r="O232" s="79">
        <f>O226</f>
        <v>78</v>
      </c>
      <c r="P232" s="80">
        <f>P226</f>
        <v>124</v>
      </c>
      <c r="Q232" s="80">
        <f>Q226</f>
        <v>165</v>
      </c>
      <c r="R232" s="81">
        <f>R226</f>
        <v>66</v>
      </c>
      <c r="S232" s="82">
        <f>SUM(O232:R232)</f>
        <v>433</v>
      </c>
      <c r="T232" s="79">
        <f>T226</f>
        <v>70</v>
      </c>
      <c r="U232" s="80">
        <f>U226</f>
        <v>136</v>
      </c>
      <c r="V232" s="80">
        <f>V226</f>
        <v>98</v>
      </c>
      <c r="W232" s="81">
        <f>W226</f>
        <v>80</v>
      </c>
      <c r="X232" s="82">
        <f>SUM(T232:W232)</f>
        <v>384</v>
      </c>
      <c r="Y232" s="98">
        <f>S232+X232</f>
        <v>817</v>
      </c>
    </row>
    <row r="233" spans="1:27" x14ac:dyDescent="0.15">
      <c r="A233" s="47" t="s">
        <v>3</v>
      </c>
      <c r="B233" s="51"/>
      <c r="C233" s="52">
        <v>2</v>
      </c>
      <c r="D233" s="53">
        <v>2</v>
      </c>
      <c r="E233" s="54">
        <v>2</v>
      </c>
      <c r="F233" s="61">
        <f>SUM(B233:E233)</f>
        <v>6</v>
      </c>
      <c r="G233" s="51">
        <v>2</v>
      </c>
      <c r="H233" s="52">
        <v>2</v>
      </c>
      <c r="I233" s="53">
        <v>2</v>
      </c>
      <c r="J233" s="54"/>
      <c r="K233" s="61">
        <f>SUM(G233:J233)</f>
        <v>6</v>
      </c>
      <c r="L233" s="99">
        <f t="shared" ref="L233:L264" si="196">F233+K233</f>
        <v>12</v>
      </c>
      <c r="M233" s="56">
        <v>45791</v>
      </c>
      <c r="N233" s="12" t="s">
        <v>329</v>
      </c>
      <c r="O233" s="16">
        <v>10</v>
      </c>
      <c r="P233" s="29">
        <v>0</v>
      </c>
      <c r="Q233" s="17">
        <v>25</v>
      </c>
      <c r="R233" s="20">
        <v>25</v>
      </c>
      <c r="S233" s="45">
        <f t="shared" ref="S233:S234" si="197">SUM(O233:R233)</f>
        <v>60</v>
      </c>
      <c r="T233" s="16"/>
      <c r="U233" s="29"/>
      <c r="V233" s="17"/>
      <c r="W233" s="20"/>
      <c r="X233" s="45">
        <f t="shared" ref="X233:X234" si="198">SUM(T233:W233)</f>
        <v>0</v>
      </c>
      <c r="Y233" s="100">
        <f t="shared" ref="Y233:Y264" si="199">S233+X233</f>
        <v>60</v>
      </c>
      <c r="Z233" s="56" t="s">
        <v>458</v>
      </c>
    </row>
    <row r="234" spans="1:27" x14ac:dyDescent="0.15">
      <c r="A234" s="12" t="s">
        <v>4</v>
      </c>
      <c r="B234" s="6"/>
      <c r="C234" s="18"/>
      <c r="D234" s="7"/>
      <c r="E234" s="8">
        <v>3</v>
      </c>
      <c r="F234" s="9">
        <f>SUM(B234:E234)</f>
        <v>3</v>
      </c>
      <c r="G234" s="6"/>
      <c r="H234" s="18"/>
      <c r="I234" s="7">
        <v>3</v>
      </c>
      <c r="J234" s="8"/>
      <c r="K234" s="9">
        <f>SUM(G234:J234)</f>
        <v>3</v>
      </c>
      <c r="L234" s="100">
        <f t="shared" si="196"/>
        <v>6</v>
      </c>
      <c r="M234" s="56">
        <v>45796</v>
      </c>
      <c r="N234" s="12" t="s">
        <v>72</v>
      </c>
      <c r="O234" s="16">
        <v>10</v>
      </c>
      <c r="P234" s="29">
        <v>0</v>
      </c>
      <c r="Q234" s="17">
        <v>0</v>
      </c>
      <c r="R234" s="20">
        <v>45</v>
      </c>
      <c r="S234" s="45">
        <f t="shared" si="197"/>
        <v>55</v>
      </c>
      <c r="T234" s="16"/>
      <c r="U234" s="29"/>
      <c r="V234" s="17"/>
      <c r="W234" s="20"/>
      <c r="X234" s="45">
        <f t="shared" si="198"/>
        <v>0</v>
      </c>
      <c r="Y234" s="100">
        <f t="shared" si="199"/>
        <v>55</v>
      </c>
      <c r="Z234" s="56" t="s">
        <v>458</v>
      </c>
    </row>
    <row r="235" spans="1:27" x14ac:dyDescent="0.15">
      <c r="A235" s="12" t="s">
        <v>360</v>
      </c>
      <c r="B235" s="6">
        <v>1</v>
      </c>
      <c r="C235" s="18">
        <v>2</v>
      </c>
      <c r="D235" s="7"/>
      <c r="E235" s="8">
        <v>3</v>
      </c>
      <c r="F235" s="9">
        <f>SUM(B235:E235)</f>
        <v>6</v>
      </c>
      <c r="G235" s="6">
        <v>1</v>
      </c>
      <c r="H235" s="18">
        <v>2</v>
      </c>
      <c r="I235" s="7">
        <v>1</v>
      </c>
      <c r="J235" s="8"/>
      <c r="K235" s="9">
        <f>SUM(G235:J235)</f>
        <v>4</v>
      </c>
      <c r="L235" s="100">
        <f t="shared" si="196"/>
        <v>10</v>
      </c>
      <c r="M235" s="56">
        <v>45796</v>
      </c>
      <c r="N235" s="12" t="s">
        <v>4</v>
      </c>
      <c r="O235" s="16"/>
      <c r="P235" s="29"/>
      <c r="Q235" s="17"/>
      <c r="R235" s="20"/>
      <c r="S235" s="45">
        <f>SUM(O235:R235)</f>
        <v>0</v>
      </c>
      <c r="T235" s="16"/>
      <c r="U235" s="29"/>
      <c r="V235" s="17"/>
      <c r="W235" s="20"/>
      <c r="X235" s="45">
        <f>SUM(T235:W235)</f>
        <v>0</v>
      </c>
      <c r="Y235" s="104">
        <f t="shared" si="199"/>
        <v>0</v>
      </c>
      <c r="Z235" s="56"/>
    </row>
    <row r="236" spans="1:27" ht="14.25" thickBot="1" x14ac:dyDescent="0.2">
      <c r="A236" s="12" t="s">
        <v>366</v>
      </c>
      <c r="B236" s="6"/>
      <c r="C236" s="18"/>
      <c r="D236" s="7"/>
      <c r="E236" s="8">
        <v>2</v>
      </c>
      <c r="F236" s="10">
        <f>SUM(B236:E236)</f>
        <v>2</v>
      </c>
      <c r="G236" s="6"/>
      <c r="H236" s="18"/>
      <c r="I236" s="7"/>
      <c r="J236" s="8"/>
      <c r="K236" s="10">
        <f>SUM(G236:J236)</f>
        <v>0</v>
      </c>
      <c r="L236" s="101">
        <f t="shared" si="196"/>
        <v>2</v>
      </c>
      <c r="M236" s="58">
        <v>45797</v>
      </c>
      <c r="N236" s="12" t="s">
        <v>5</v>
      </c>
      <c r="O236" s="16"/>
      <c r="P236" s="29"/>
      <c r="Q236" s="17"/>
      <c r="R236" s="20"/>
      <c r="S236" s="45">
        <f>SUM(O236:R236)</f>
        <v>0</v>
      </c>
      <c r="T236" s="16"/>
      <c r="U236" s="29"/>
      <c r="V236" s="17"/>
      <c r="W236" s="20"/>
      <c r="X236" s="45">
        <f>SUM(T236:W236)</f>
        <v>0</v>
      </c>
      <c r="Y236" s="104">
        <f t="shared" si="199"/>
        <v>0</v>
      </c>
      <c r="Z236" s="227"/>
    </row>
    <row r="237" spans="1:27" ht="14.25" thickBot="1" x14ac:dyDescent="0.2">
      <c r="A237" s="14" t="s">
        <v>7</v>
      </c>
      <c r="B237" s="62">
        <f t="shared" ref="B237:K237" si="200">SUM(B232:B236)</f>
        <v>6</v>
      </c>
      <c r="C237" s="63">
        <f t="shared" si="200"/>
        <v>7</v>
      </c>
      <c r="D237" s="64">
        <f t="shared" si="200"/>
        <v>4</v>
      </c>
      <c r="E237" s="65">
        <f t="shared" si="200"/>
        <v>11</v>
      </c>
      <c r="F237" s="66">
        <f t="shared" si="200"/>
        <v>28</v>
      </c>
      <c r="G237" s="62">
        <f t="shared" si="200"/>
        <v>6</v>
      </c>
      <c r="H237" s="63">
        <f t="shared" si="200"/>
        <v>6</v>
      </c>
      <c r="I237" s="64">
        <f t="shared" si="200"/>
        <v>7</v>
      </c>
      <c r="J237" s="65">
        <f t="shared" si="200"/>
        <v>5</v>
      </c>
      <c r="K237" s="66">
        <f t="shared" si="200"/>
        <v>24</v>
      </c>
      <c r="L237" s="102">
        <f t="shared" si="196"/>
        <v>52</v>
      </c>
      <c r="N237" s="13" t="s">
        <v>7</v>
      </c>
      <c r="O237" s="25">
        <f t="shared" ref="O237:X237" si="201">SUM(O232:O236)</f>
        <v>98</v>
      </c>
      <c r="P237" s="31">
        <f t="shared" si="201"/>
        <v>124</v>
      </c>
      <c r="Q237" s="26">
        <f t="shared" si="201"/>
        <v>190</v>
      </c>
      <c r="R237" s="67">
        <f t="shared" si="201"/>
        <v>136</v>
      </c>
      <c r="S237" s="68">
        <f t="shared" si="201"/>
        <v>548</v>
      </c>
      <c r="T237" s="25">
        <f t="shared" si="201"/>
        <v>70</v>
      </c>
      <c r="U237" s="31">
        <f t="shared" si="201"/>
        <v>136</v>
      </c>
      <c r="V237" s="26">
        <f t="shared" si="201"/>
        <v>98</v>
      </c>
      <c r="W237" s="67">
        <f t="shared" si="201"/>
        <v>80</v>
      </c>
      <c r="X237" s="68">
        <f t="shared" si="201"/>
        <v>384</v>
      </c>
      <c r="Y237" s="102">
        <f t="shared" si="199"/>
        <v>932</v>
      </c>
    </row>
    <row r="238" spans="1:27" x14ac:dyDescent="0.15">
      <c r="A238" s="11" t="s">
        <v>358</v>
      </c>
      <c r="B238" s="41"/>
      <c r="C238" s="42"/>
      <c r="D238" s="43"/>
      <c r="E238" s="44">
        <v>1</v>
      </c>
      <c r="F238" s="70">
        <f t="shared" ref="F238:F262" si="202">SUM(B238:E238)</f>
        <v>1</v>
      </c>
      <c r="G238" s="41"/>
      <c r="H238" s="42"/>
      <c r="I238" s="43"/>
      <c r="J238" s="44"/>
      <c r="K238" s="70">
        <f t="shared" ref="K238:K262" si="203">SUM(G238:J238)</f>
        <v>0</v>
      </c>
      <c r="L238" s="103">
        <f t="shared" si="196"/>
        <v>1</v>
      </c>
      <c r="M238" s="56">
        <v>45798</v>
      </c>
      <c r="N238" s="11" t="s">
        <v>394</v>
      </c>
      <c r="O238" s="16"/>
      <c r="P238" s="29">
        <v>1</v>
      </c>
      <c r="Q238" s="17"/>
      <c r="R238" s="32"/>
      <c r="S238" s="9">
        <f t="shared" ref="S238:S240" si="204">SUM(O238:R238)</f>
        <v>1</v>
      </c>
      <c r="T238" s="16"/>
      <c r="U238" s="29"/>
      <c r="V238" s="17"/>
      <c r="W238" s="32"/>
      <c r="X238" s="9">
        <f t="shared" ref="X238:X240" si="205">SUM(T238:W238)</f>
        <v>0</v>
      </c>
      <c r="Y238" s="104">
        <f t="shared" si="199"/>
        <v>1</v>
      </c>
      <c r="Z238" s="56">
        <v>45814</v>
      </c>
    </row>
    <row r="239" spans="1:27" x14ac:dyDescent="0.15">
      <c r="A239" s="33" t="s">
        <v>359</v>
      </c>
      <c r="B239" s="16"/>
      <c r="C239" s="29">
        <v>1</v>
      </c>
      <c r="D239" s="17"/>
      <c r="E239" s="20"/>
      <c r="F239" s="45">
        <f t="shared" si="202"/>
        <v>1</v>
      </c>
      <c r="G239" s="16"/>
      <c r="H239" s="29"/>
      <c r="I239" s="17"/>
      <c r="J239" s="20"/>
      <c r="K239" s="45">
        <f t="shared" si="203"/>
        <v>0</v>
      </c>
      <c r="L239" s="104">
        <f t="shared" si="196"/>
        <v>1</v>
      </c>
      <c r="M239" s="56">
        <v>45798</v>
      </c>
      <c r="N239" s="11" t="s">
        <v>395</v>
      </c>
      <c r="O239" s="16">
        <v>1</v>
      </c>
      <c r="P239" s="29">
        <v>2</v>
      </c>
      <c r="Q239" s="17">
        <v>2</v>
      </c>
      <c r="R239" s="32">
        <v>1</v>
      </c>
      <c r="S239" s="9">
        <f t="shared" si="204"/>
        <v>6</v>
      </c>
      <c r="T239" s="16">
        <v>1</v>
      </c>
      <c r="U239" s="29">
        <v>2</v>
      </c>
      <c r="V239" s="17">
        <v>1</v>
      </c>
      <c r="W239" s="32">
        <v>1</v>
      </c>
      <c r="X239" s="9">
        <f t="shared" si="205"/>
        <v>5</v>
      </c>
      <c r="Y239" s="104">
        <f t="shared" si="199"/>
        <v>11</v>
      </c>
      <c r="Z239" s="56">
        <v>45814</v>
      </c>
      <c r="AA239" s="35"/>
    </row>
    <row r="240" spans="1:27" x14ac:dyDescent="0.15">
      <c r="A240" s="47" t="s">
        <v>51</v>
      </c>
      <c r="B240" s="16"/>
      <c r="C240" s="29"/>
      <c r="D240" s="17"/>
      <c r="E240" s="20">
        <v>1</v>
      </c>
      <c r="F240" s="45">
        <f t="shared" si="202"/>
        <v>1</v>
      </c>
      <c r="G240" s="16"/>
      <c r="H240" s="29">
        <v>1</v>
      </c>
      <c r="I240" s="17"/>
      <c r="J240" s="20"/>
      <c r="K240" s="45">
        <f t="shared" si="203"/>
        <v>1</v>
      </c>
      <c r="L240" s="104">
        <f t="shared" si="196"/>
        <v>2</v>
      </c>
      <c r="M240" s="56">
        <v>45796</v>
      </c>
      <c r="N240" s="33" t="s">
        <v>39</v>
      </c>
      <c r="O240" s="16"/>
      <c r="P240" s="29">
        <v>3</v>
      </c>
      <c r="Q240" s="17"/>
      <c r="R240" s="32">
        <v>3</v>
      </c>
      <c r="S240" s="9">
        <f t="shared" si="204"/>
        <v>6</v>
      </c>
      <c r="T240" s="16">
        <v>3</v>
      </c>
      <c r="U240" s="29">
        <v>3</v>
      </c>
      <c r="V240" s="17"/>
      <c r="W240" s="32"/>
      <c r="X240" s="9">
        <f t="shared" si="205"/>
        <v>6</v>
      </c>
      <c r="Y240" s="104">
        <f t="shared" si="199"/>
        <v>12</v>
      </c>
      <c r="Z240" s="56">
        <v>45815</v>
      </c>
      <c r="AA240" s="35"/>
    </row>
    <row r="241" spans="1:28" x14ac:dyDescent="0.15">
      <c r="A241" s="33" t="s">
        <v>364</v>
      </c>
      <c r="B241" s="16"/>
      <c r="C241" s="29"/>
      <c r="D241" s="17"/>
      <c r="E241" s="20">
        <v>1</v>
      </c>
      <c r="F241" s="45">
        <f t="shared" si="202"/>
        <v>1</v>
      </c>
      <c r="G241" s="16"/>
      <c r="H241" s="29"/>
      <c r="I241" s="17"/>
      <c r="J241" s="20"/>
      <c r="K241" s="45">
        <f t="shared" si="203"/>
        <v>0</v>
      </c>
      <c r="L241" s="104">
        <f t="shared" si="196"/>
        <v>1</v>
      </c>
      <c r="M241" s="56">
        <v>45799</v>
      </c>
      <c r="N241" s="11" t="s">
        <v>399</v>
      </c>
      <c r="O241" s="16">
        <v>2</v>
      </c>
      <c r="P241" s="29">
        <v>4</v>
      </c>
      <c r="Q241" s="17">
        <v>3</v>
      </c>
      <c r="R241" s="32">
        <v>2</v>
      </c>
      <c r="S241" s="9">
        <f t="shared" ref="S241:S243" si="206">SUM(O241:R241)</f>
        <v>11</v>
      </c>
      <c r="T241" s="16">
        <v>2</v>
      </c>
      <c r="U241" s="29">
        <v>2</v>
      </c>
      <c r="V241" s="17">
        <v>2</v>
      </c>
      <c r="W241" s="32">
        <v>2</v>
      </c>
      <c r="X241" s="9">
        <f t="shared" ref="X241:X243" si="207">SUM(T241:W241)</f>
        <v>8</v>
      </c>
      <c r="Y241" s="104">
        <f t="shared" si="199"/>
        <v>19</v>
      </c>
      <c r="Z241" s="56">
        <v>45831</v>
      </c>
      <c r="AA241" s="35"/>
    </row>
    <row r="242" spans="1:28" x14ac:dyDescent="0.15">
      <c r="A242" s="11" t="s">
        <v>367</v>
      </c>
      <c r="B242" s="16"/>
      <c r="C242" s="29"/>
      <c r="D242" s="17"/>
      <c r="E242" s="20">
        <v>2</v>
      </c>
      <c r="F242" s="45">
        <f t="shared" si="202"/>
        <v>2</v>
      </c>
      <c r="G242" s="16"/>
      <c r="H242" s="29"/>
      <c r="I242" s="17"/>
      <c r="J242" s="20"/>
      <c r="K242" s="45">
        <f t="shared" si="203"/>
        <v>0</v>
      </c>
      <c r="L242" s="104">
        <f t="shared" si="196"/>
        <v>2</v>
      </c>
      <c r="M242" s="56">
        <v>45801</v>
      </c>
      <c r="N242" s="33" t="s">
        <v>406</v>
      </c>
      <c r="O242" s="16">
        <v>6</v>
      </c>
      <c r="P242" s="29">
        <v>6</v>
      </c>
      <c r="Q242" s="17">
        <v>6</v>
      </c>
      <c r="R242" s="32"/>
      <c r="S242" s="9">
        <f t="shared" si="206"/>
        <v>18</v>
      </c>
      <c r="T242" s="16"/>
      <c r="U242" s="29"/>
      <c r="V242" s="17"/>
      <c r="W242" s="32"/>
      <c r="X242" s="9">
        <f t="shared" si="207"/>
        <v>0</v>
      </c>
      <c r="Y242" s="104">
        <f t="shared" si="199"/>
        <v>18</v>
      </c>
      <c r="Z242" s="56">
        <v>45828</v>
      </c>
      <c r="AA242" s="35"/>
    </row>
    <row r="243" spans="1:28" x14ac:dyDescent="0.15">
      <c r="A243" s="47" t="s">
        <v>51</v>
      </c>
      <c r="B243" s="16"/>
      <c r="C243" s="29">
        <v>1</v>
      </c>
      <c r="D243" s="17"/>
      <c r="E243" s="20"/>
      <c r="F243" s="45">
        <f t="shared" si="202"/>
        <v>1</v>
      </c>
      <c r="G243" s="16"/>
      <c r="H243" s="29">
        <v>1</v>
      </c>
      <c r="I243" s="17"/>
      <c r="J243" s="20"/>
      <c r="K243" s="45">
        <f t="shared" si="203"/>
        <v>1</v>
      </c>
      <c r="L243" s="104">
        <f t="shared" si="196"/>
        <v>2</v>
      </c>
      <c r="M243" s="56">
        <v>45798</v>
      </c>
      <c r="N243" s="11" t="s">
        <v>408</v>
      </c>
      <c r="O243" s="16">
        <v>1</v>
      </c>
      <c r="P243" s="29"/>
      <c r="Q243" s="17"/>
      <c r="R243" s="32"/>
      <c r="S243" s="9">
        <f t="shared" si="206"/>
        <v>1</v>
      </c>
      <c r="T243" s="16"/>
      <c r="U243" s="29"/>
      <c r="V243" s="17"/>
      <c r="W243" s="32"/>
      <c r="X243" s="9">
        <f t="shared" si="207"/>
        <v>0</v>
      </c>
      <c r="Y243" s="104">
        <f t="shared" si="199"/>
        <v>1</v>
      </c>
      <c r="Z243" s="56">
        <v>45821</v>
      </c>
    </row>
    <row r="244" spans="1:28" x14ac:dyDescent="0.15">
      <c r="A244" s="47" t="s">
        <v>51</v>
      </c>
      <c r="B244" s="16"/>
      <c r="C244" s="29"/>
      <c r="D244" s="17"/>
      <c r="E244" s="20"/>
      <c r="F244" s="45">
        <f t="shared" si="202"/>
        <v>0</v>
      </c>
      <c r="G244" s="16"/>
      <c r="H244" s="29"/>
      <c r="I244" s="17"/>
      <c r="J244" s="20">
        <v>1</v>
      </c>
      <c r="K244" s="45">
        <f t="shared" si="203"/>
        <v>1</v>
      </c>
      <c r="L244" s="104">
        <f t="shared" si="196"/>
        <v>1</v>
      </c>
      <c r="M244" s="56">
        <v>45799</v>
      </c>
      <c r="N244" s="11" t="s">
        <v>409</v>
      </c>
      <c r="O244" s="16">
        <v>2</v>
      </c>
      <c r="P244" s="29"/>
      <c r="Q244" s="17"/>
      <c r="R244" s="32"/>
      <c r="S244" s="9">
        <f>SUM(O244:R244)</f>
        <v>2</v>
      </c>
      <c r="T244" s="16"/>
      <c r="U244" s="29"/>
      <c r="V244" s="17"/>
      <c r="W244" s="32">
        <v>3</v>
      </c>
      <c r="X244" s="9">
        <f>SUM(T244:W244)</f>
        <v>3</v>
      </c>
      <c r="Y244" s="104">
        <f t="shared" si="199"/>
        <v>5</v>
      </c>
      <c r="Z244" s="56">
        <v>45820</v>
      </c>
      <c r="AA244" s="35"/>
    </row>
    <row r="245" spans="1:28" x14ac:dyDescent="0.15">
      <c r="A245" s="33" t="s">
        <v>375</v>
      </c>
      <c r="B245" s="16"/>
      <c r="C245" s="29">
        <v>1</v>
      </c>
      <c r="D245" s="17"/>
      <c r="E245" s="20"/>
      <c r="F245" s="45">
        <f t="shared" si="202"/>
        <v>1</v>
      </c>
      <c r="G245" s="16"/>
      <c r="H245" s="29"/>
      <c r="I245" s="17"/>
      <c r="J245" s="20"/>
      <c r="K245" s="45">
        <f t="shared" si="203"/>
        <v>0</v>
      </c>
      <c r="L245" s="104">
        <f t="shared" si="196"/>
        <v>1</v>
      </c>
      <c r="M245" s="56">
        <v>45803</v>
      </c>
      <c r="N245" s="11" t="s">
        <v>416</v>
      </c>
      <c r="O245" s="16">
        <v>1</v>
      </c>
      <c r="P245" s="29">
        <v>1</v>
      </c>
      <c r="Q245" s="17"/>
      <c r="R245" s="32"/>
      <c r="S245" s="9">
        <f t="shared" ref="S245:S249" si="208">SUM(O245:R245)</f>
        <v>2</v>
      </c>
      <c r="T245" s="16"/>
      <c r="U245" s="29"/>
      <c r="V245" s="17"/>
      <c r="W245" s="32"/>
      <c r="X245" s="9">
        <f t="shared" ref="X245:X249" si="209">SUM(T245:W245)</f>
        <v>0</v>
      </c>
      <c r="Y245" s="104">
        <f t="shared" si="199"/>
        <v>2</v>
      </c>
      <c r="Z245" s="56">
        <v>45821</v>
      </c>
      <c r="AA245" s="35"/>
    </row>
    <row r="246" spans="1:28" x14ac:dyDescent="0.15">
      <c r="A246" s="47" t="s">
        <v>51</v>
      </c>
      <c r="B246" s="16">
        <v>1</v>
      </c>
      <c r="C246" s="29">
        <v>1</v>
      </c>
      <c r="D246" s="17"/>
      <c r="E246" s="20">
        <v>1</v>
      </c>
      <c r="F246" s="45">
        <f t="shared" si="202"/>
        <v>3</v>
      </c>
      <c r="G246" s="16">
        <v>2</v>
      </c>
      <c r="H246" s="29"/>
      <c r="I246" s="17"/>
      <c r="J246" s="20">
        <v>1</v>
      </c>
      <c r="K246" s="45">
        <f t="shared" si="203"/>
        <v>3</v>
      </c>
      <c r="L246" s="104">
        <f t="shared" si="196"/>
        <v>6</v>
      </c>
      <c r="M246" s="56">
        <v>45803</v>
      </c>
      <c r="N246" s="11" t="s">
        <v>417</v>
      </c>
      <c r="O246" s="16"/>
      <c r="P246" s="29"/>
      <c r="Q246" s="17"/>
      <c r="R246" s="32"/>
      <c r="S246" s="9">
        <f t="shared" si="208"/>
        <v>0</v>
      </c>
      <c r="T246" s="16">
        <v>3</v>
      </c>
      <c r="U246" s="29"/>
      <c r="V246" s="17"/>
      <c r="W246" s="32"/>
      <c r="X246" s="9">
        <f t="shared" si="209"/>
        <v>3</v>
      </c>
      <c r="Y246" s="104">
        <f t="shared" si="199"/>
        <v>3</v>
      </c>
      <c r="Z246" s="56">
        <v>45824</v>
      </c>
    </row>
    <row r="247" spans="1:28" x14ac:dyDescent="0.15">
      <c r="A247" s="33" t="s">
        <v>388</v>
      </c>
      <c r="B247" s="16"/>
      <c r="C247" s="29"/>
      <c r="D247" s="17"/>
      <c r="E247" s="20">
        <v>1</v>
      </c>
      <c r="F247" s="45">
        <f t="shared" si="202"/>
        <v>1</v>
      </c>
      <c r="G247" s="16"/>
      <c r="H247" s="29">
        <v>1</v>
      </c>
      <c r="I247" s="17"/>
      <c r="J247" s="20"/>
      <c r="K247" s="45">
        <f t="shared" si="203"/>
        <v>1</v>
      </c>
      <c r="L247" s="104">
        <f t="shared" si="196"/>
        <v>2</v>
      </c>
      <c r="M247" s="56">
        <v>45807</v>
      </c>
      <c r="N247" s="11" t="s">
        <v>424</v>
      </c>
      <c r="O247" s="16">
        <v>2</v>
      </c>
      <c r="P247" s="29">
        <v>2</v>
      </c>
      <c r="Q247" s="17">
        <v>2</v>
      </c>
      <c r="R247" s="32">
        <v>2</v>
      </c>
      <c r="S247" s="9">
        <f t="shared" si="208"/>
        <v>8</v>
      </c>
      <c r="T247" s="16"/>
      <c r="U247" s="29"/>
      <c r="V247" s="17"/>
      <c r="W247" s="32"/>
      <c r="X247" s="9">
        <f t="shared" si="209"/>
        <v>0</v>
      </c>
      <c r="Y247" s="104">
        <f t="shared" si="199"/>
        <v>8</v>
      </c>
      <c r="Z247" s="56">
        <v>45825</v>
      </c>
    </row>
    <row r="248" spans="1:28" x14ac:dyDescent="0.15">
      <c r="A248" s="33" t="s">
        <v>389</v>
      </c>
      <c r="B248" s="16"/>
      <c r="C248" s="29">
        <v>1</v>
      </c>
      <c r="D248" s="17"/>
      <c r="E248" s="20"/>
      <c r="F248" s="45">
        <f t="shared" si="202"/>
        <v>1</v>
      </c>
      <c r="G248" s="16"/>
      <c r="H248" s="29"/>
      <c r="I248" s="17"/>
      <c r="J248" s="20"/>
      <c r="K248" s="45">
        <f t="shared" si="203"/>
        <v>0</v>
      </c>
      <c r="L248" s="104">
        <f t="shared" si="196"/>
        <v>1</v>
      </c>
      <c r="M248" s="56">
        <v>45807</v>
      </c>
      <c r="N248" s="33" t="s">
        <v>39</v>
      </c>
      <c r="O248" s="16"/>
      <c r="P248" s="29"/>
      <c r="Q248" s="17"/>
      <c r="R248" s="32"/>
      <c r="S248" s="9">
        <f>SUM(O248:R248)</f>
        <v>0</v>
      </c>
      <c r="T248" s="16"/>
      <c r="U248" s="29">
        <v>5</v>
      </c>
      <c r="V248" s="17"/>
      <c r="W248" s="32"/>
      <c r="X248" s="9">
        <f>SUM(T248:W248)</f>
        <v>5</v>
      </c>
      <c r="Y248" s="104">
        <f t="shared" si="199"/>
        <v>5</v>
      </c>
      <c r="Z248" s="56">
        <v>45821</v>
      </c>
      <c r="AA248" s="35"/>
      <c r="AB248" s="35"/>
    </row>
    <row r="249" spans="1:28" x14ac:dyDescent="0.15">
      <c r="A249" s="47" t="s">
        <v>51</v>
      </c>
      <c r="B249" s="16">
        <v>1</v>
      </c>
      <c r="C249" s="29"/>
      <c r="D249" s="17"/>
      <c r="E249" s="20"/>
      <c r="F249" s="45">
        <f t="shared" si="202"/>
        <v>1</v>
      </c>
      <c r="G249" s="16"/>
      <c r="H249" s="29"/>
      <c r="I249" s="17"/>
      <c r="J249" s="20"/>
      <c r="K249" s="45">
        <f t="shared" si="203"/>
        <v>0</v>
      </c>
      <c r="L249" s="104">
        <f t="shared" si="196"/>
        <v>1</v>
      </c>
      <c r="M249" s="56">
        <v>45806</v>
      </c>
      <c r="N249" s="11" t="s">
        <v>426</v>
      </c>
      <c r="O249" s="16">
        <v>6</v>
      </c>
      <c r="P249" s="29"/>
      <c r="Q249" s="17"/>
      <c r="R249" s="32"/>
      <c r="S249" s="9">
        <f t="shared" si="208"/>
        <v>6</v>
      </c>
      <c r="T249" s="16"/>
      <c r="U249" s="29">
        <v>5</v>
      </c>
      <c r="V249" s="17"/>
      <c r="W249" s="32"/>
      <c r="X249" s="9">
        <f t="shared" si="209"/>
        <v>5</v>
      </c>
      <c r="Y249" s="104">
        <f t="shared" si="199"/>
        <v>11</v>
      </c>
      <c r="Z249" s="56">
        <v>45824</v>
      </c>
      <c r="AA249" s="35"/>
      <c r="AB249" s="35"/>
    </row>
    <row r="250" spans="1:28" x14ac:dyDescent="0.15">
      <c r="A250" s="47" t="s">
        <v>391</v>
      </c>
      <c r="B250" s="16"/>
      <c r="C250" s="29">
        <v>-2</v>
      </c>
      <c r="D250" s="17"/>
      <c r="E250" s="20"/>
      <c r="F250" s="45">
        <f t="shared" si="202"/>
        <v>-2</v>
      </c>
      <c r="G250" s="16"/>
      <c r="H250" s="29">
        <v>-2</v>
      </c>
      <c r="I250" s="17"/>
      <c r="J250" s="20">
        <v>-2</v>
      </c>
      <c r="K250" s="45">
        <f t="shared" si="203"/>
        <v>-4</v>
      </c>
      <c r="L250" s="104">
        <f t="shared" si="196"/>
        <v>-6</v>
      </c>
      <c r="M250" s="56">
        <v>45807</v>
      </c>
      <c r="N250" s="33" t="s">
        <v>430</v>
      </c>
      <c r="O250" s="16"/>
      <c r="P250" s="29">
        <v>1</v>
      </c>
      <c r="Q250" s="17"/>
      <c r="R250" s="32">
        <v>4</v>
      </c>
      <c r="S250" s="9">
        <f>SUM(O250:R250)</f>
        <v>5</v>
      </c>
      <c r="T250" s="16"/>
      <c r="U250" s="29"/>
      <c r="V250" s="17">
        <v>1</v>
      </c>
      <c r="W250" s="32"/>
      <c r="X250" s="9">
        <f>SUM(T250:W250)</f>
        <v>1</v>
      </c>
      <c r="Y250" s="104">
        <f t="shared" si="199"/>
        <v>6</v>
      </c>
      <c r="Z250" s="56">
        <v>45824</v>
      </c>
      <c r="AA250" s="35"/>
      <c r="AB250" s="35"/>
    </row>
    <row r="251" spans="1:28" x14ac:dyDescent="0.15">
      <c r="A251" s="47" t="s">
        <v>51</v>
      </c>
      <c r="B251" s="16"/>
      <c r="C251" s="29"/>
      <c r="D251" s="17"/>
      <c r="E251" s="20">
        <v>1</v>
      </c>
      <c r="F251" s="45">
        <f t="shared" si="202"/>
        <v>1</v>
      </c>
      <c r="G251" s="16">
        <v>1</v>
      </c>
      <c r="H251" s="29">
        <v>1</v>
      </c>
      <c r="I251" s="17"/>
      <c r="J251" s="20"/>
      <c r="K251" s="45">
        <f t="shared" si="203"/>
        <v>2</v>
      </c>
      <c r="L251" s="104">
        <f t="shared" si="196"/>
        <v>3</v>
      </c>
      <c r="M251" s="56">
        <v>45810</v>
      </c>
      <c r="N251" s="11" t="s">
        <v>433</v>
      </c>
      <c r="O251" s="16"/>
      <c r="P251" s="29"/>
      <c r="Q251" s="17">
        <v>3</v>
      </c>
      <c r="R251" s="32"/>
      <c r="S251" s="9">
        <f>SUM(O251:R251)</f>
        <v>3</v>
      </c>
      <c r="T251" s="16"/>
      <c r="U251" s="29"/>
      <c r="V251" s="17"/>
      <c r="W251" s="32"/>
      <c r="X251" s="9">
        <f>SUM(T251:W251)</f>
        <v>0</v>
      </c>
      <c r="Y251" s="104">
        <f t="shared" si="199"/>
        <v>3</v>
      </c>
      <c r="Z251" s="56">
        <v>45826</v>
      </c>
    </row>
    <row r="252" spans="1:28" x14ac:dyDescent="0.15">
      <c r="A252" s="47" t="s">
        <v>51</v>
      </c>
      <c r="B252" s="16"/>
      <c r="C252" s="29"/>
      <c r="D252" s="17"/>
      <c r="E252" s="20"/>
      <c r="F252" s="45">
        <f t="shared" si="202"/>
        <v>0</v>
      </c>
      <c r="G252" s="16"/>
      <c r="H252" s="29">
        <v>1</v>
      </c>
      <c r="I252" s="17"/>
      <c r="J252" s="20"/>
      <c r="K252" s="45">
        <f t="shared" si="203"/>
        <v>1</v>
      </c>
      <c r="L252" s="104">
        <f t="shared" si="196"/>
        <v>1</v>
      </c>
      <c r="M252" s="56">
        <v>45812</v>
      </c>
      <c r="N252" s="33" t="s">
        <v>435</v>
      </c>
      <c r="O252" s="16">
        <v>2</v>
      </c>
      <c r="P252" s="29">
        <v>2</v>
      </c>
      <c r="Q252" s="17">
        <v>4</v>
      </c>
      <c r="R252" s="32"/>
      <c r="S252" s="9">
        <f t="shared" ref="S252:S263" si="210">SUM(O252:R252)</f>
        <v>8</v>
      </c>
      <c r="T252" s="16"/>
      <c r="U252" s="29"/>
      <c r="V252" s="17"/>
      <c r="W252" s="32"/>
      <c r="X252" s="9">
        <f t="shared" ref="X252:X263" si="211">SUM(T252:W252)</f>
        <v>0</v>
      </c>
      <c r="Y252" s="104">
        <f t="shared" si="199"/>
        <v>8</v>
      </c>
      <c r="Z252" s="56">
        <v>45838</v>
      </c>
    </row>
    <row r="253" spans="1:28" x14ac:dyDescent="0.15">
      <c r="A253" s="33" t="s">
        <v>397</v>
      </c>
      <c r="B253" s="16"/>
      <c r="C253" s="29">
        <v>1</v>
      </c>
      <c r="D253" s="17"/>
      <c r="E253" s="20"/>
      <c r="F253" s="45">
        <f t="shared" si="202"/>
        <v>1</v>
      </c>
      <c r="G253" s="16"/>
      <c r="H253" s="29"/>
      <c r="I253" s="17"/>
      <c r="J253" s="20"/>
      <c r="K253" s="45">
        <f t="shared" si="203"/>
        <v>0</v>
      </c>
      <c r="L253" s="104">
        <f t="shared" si="196"/>
        <v>1</v>
      </c>
      <c r="M253" s="56">
        <v>45814</v>
      </c>
      <c r="N253" s="11" t="s">
        <v>437</v>
      </c>
      <c r="O253" s="16">
        <v>1</v>
      </c>
      <c r="P253" s="29"/>
      <c r="Q253" s="17"/>
      <c r="R253" s="32">
        <v>1</v>
      </c>
      <c r="S253" s="9">
        <f t="shared" si="210"/>
        <v>2</v>
      </c>
      <c r="T253" s="16"/>
      <c r="U253" s="29"/>
      <c r="V253" s="17"/>
      <c r="W253" s="32"/>
      <c r="X253" s="9">
        <f t="shared" si="211"/>
        <v>0</v>
      </c>
      <c r="Y253" s="104">
        <f t="shared" si="199"/>
        <v>2</v>
      </c>
      <c r="Z253" s="56">
        <v>45828</v>
      </c>
    </row>
    <row r="254" spans="1:28" x14ac:dyDescent="0.15">
      <c r="A254" s="47" t="s">
        <v>51</v>
      </c>
      <c r="B254" s="16"/>
      <c r="C254" s="29"/>
      <c r="D254" s="17"/>
      <c r="E254" s="20"/>
      <c r="F254" s="45">
        <f t="shared" si="202"/>
        <v>0</v>
      </c>
      <c r="G254" s="16">
        <v>1</v>
      </c>
      <c r="H254" s="29"/>
      <c r="I254" s="17"/>
      <c r="J254" s="20"/>
      <c r="K254" s="45">
        <f t="shared" si="203"/>
        <v>1</v>
      </c>
      <c r="L254" s="104">
        <f t="shared" si="196"/>
        <v>1</v>
      </c>
      <c r="M254" s="56">
        <v>45813</v>
      </c>
      <c r="N254" s="11" t="s">
        <v>438</v>
      </c>
      <c r="O254" s="16"/>
      <c r="P254" s="29"/>
      <c r="Q254" s="17"/>
      <c r="R254" s="32">
        <v>1</v>
      </c>
      <c r="S254" s="9">
        <f t="shared" si="210"/>
        <v>1</v>
      </c>
      <c r="T254" s="16"/>
      <c r="U254" s="29"/>
      <c r="V254" s="17">
        <v>1</v>
      </c>
      <c r="W254" s="32"/>
      <c r="X254" s="9">
        <f t="shared" si="211"/>
        <v>1</v>
      </c>
      <c r="Y254" s="104">
        <f t="shared" si="199"/>
        <v>2</v>
      </c>
      <c r="Z254" s="56">
        <v>45827</v>
      </c>
    </row>
    <row r="255" spans="1:28" x14ac:dyDescent="0.15">
      <c r="A255" s="47" t="s">
        <v>119</v>
      </c>
      <c r="B255" s="16"/>
      <c r="C255" s="29">
        <v>-3</v>
      </c>
      <c r="D255" s="17"/>
      <c r="E255" s="20">
        <v>-3</v>
      </c>
      <c r="F255" s="45">
        <f t="shared" si="202"/>
        <v>-6</v>
      </c>
      <c r="G255" s="16">
        <v>-3</v>
      </c>
      <c r="H255" s="29">
        <v>-3</v>
      </c>
      <c r="I255" s="17"/>
      <c r="J255" s="20"/>
      <c r="K255" s="45">
        <f t="shared" si="203"/>
        <v>-6</v>
      </c>
      <c r="L255" s="104">
        <f t="shared" si="196"/>
        <v>-12</v>
      </c>
      <c r="M255" s="56">
        <v>45815</v>
      </c>
      <c r="N255" s="11" t="s">
        <v>442</v>
      </c>
      <c r="O255" s="41"/>
      <c r="P255" s="42">
        <v>3</v>
      </c>
      <c r="Q255" s="43">
        <v>3</v>
      </c>
      <c r="R255" s="59"/>
      <c r="S255" s="61">
        <f t="shared" si="210"/>
        <v>6</v>
      </c>
      <c r="T255" s="41"/>
      <c r="U255" s="42"/>
      <c r="V255" s="43"/>
      <c r="W255" s="59"/>
      <c r="X255" s="61">
        <f t="shared" si="211"/>
        <v>0</v>
      </c>
      <c r="Y255" s="104">
        <f t="shared" si="199"/>
        <v>6</v>
      </c>
      <c r="Z255" s="56">
        <v>45828</v>
      </c>
    </row>
    <row r="256" spans="1:28" x14ac:dyDescent="0.15">
      <c r="A256" s="33" t="s">
        <v>401</v>
      </c>
      <c r="B256" s="16"/>
      <c r="C256" s="29"/>
      <c r="D256" s="17"/>
      <c r="E256" s="20">
        <v>1</v>
      </c>
      <c r="F256" s="45">
        <f t="shared" si="202"/>
        <v>1</v>
      </c>
      <c r="G256" s="16"/>
      <c r="H256" s="29"/>
      <c r="I256" s="17"/>
      <c r="J256" s="20"/>
      <c r="K256" s="45">
        <f t="shared" si="203"/>
        <v>0</v>
      </c>
      <c r="L256" s="104">
        <f t="shared" si="196"/>
        <v>1</v>
      </c>
      <c r="M256" s="56">
        <v>45819</v>
      </c>
      <c r="N256" s="11" t="s">
        <v>444</v>
      </c>
      <c r="O256" s="41"/>
      <c r="P256" s="42">
        <v>2</v>
      </c>
      <c r="Q256" s="43"/>
      <c r="R256" s="59"/>
      <c r="S256" s="61">
        <f t="shared" ref="S256:S257" si="212">SUM(O256:R256)</f>
        <v>2</v>
      </c>
      <c r="T256" s="41"/>
      <c r="U256" s="42"/>
      <c r="V256" s="43"/>
      <c r="W256" s="59"/>
      <c r="X256" s="61">
        <f t="shared" ref="X256:X257" si="213">SUM(T256:W256)</f>
        <v>0</v>
      </c>
      <c r="Y256" s="104">
        <f t="shared" ref="Y256:Y257" si="214">S256+X256</f>
        <v>2</v>
      </c>
      <c r="Z256" s="56">
        <v>45827</v>
      </c>
    </row>
    <row r="257" spans="1:26" x14ac:dyDescent="0.15">
      <c r="A257" s="47" t="s">
        <v>51</v>
      </c>
      <c r="B257" s="16"/>
      <c r="C257" s="29"/>
      <c r="D257" s="17">
        <v>1</v>
      </c>
      <c r="E257" s="20">
        <v>1</v>
      </c>
      <c r="F257" s="45">
        <f t="shared" si="202"/>
        <v>2</v>
      </c>
      <c r="G257" s="16"/>
      <c r="H257" s="29">
        <v>1</v>
      </c>
      <c r="I257" s="17">
        <v>1</v>
      </c>
      <c r="J257" s="20"/>
      <c r="K257" s="45">
        <f t="shared" si="203"/>
        <v>2</v>
      </c>
      <c r="L257" s="104">
        <f t="shared" si="196"/>
        <v>4</v>
      </c>
      <c r="M257" s="56">
        <v>45817</v>
      </c>
      <c r="N257" s="11" t="s">
        <v>452</v>
      </c>
      <c r="O257" s="41">
        <v>5</v>
      </c>
      <c r="P257" s="42">
        <v>2</v>
      </c>
      <c r="Q257" s="43"/>
      <c r="R257" s="59"/>
      <c r="S257" s="61">
        <f t="shared" si="212"/>
        <v>7</v>
      </c>
      <c r="T257" s="41"/>
      <c r="U257" s="42"/>
      <c r="V257" s="43"/>
      <c r="W257" s="59"/>
      <c r="X257" s="61">
        <f t="shared" si="213"/>
        <v>0</v>
      </c>
      <c r="Y257" s="104">
        <f t="shared" si="214"/>
        <v>7</v>
      </c>
      <c r="Z257" s="56">
        <v>45828</v>
      </c>
    </row>
    <row r="258" spans="1:26" x14ac:dyDescent="0.15">
      <c r="A258" s="47" t="s">
        <v>51</v>
      </c>
      <c r="B258" s="16"/>
      <c r="C258" s="29"/>
      <c r="D258" s="17"/>
      <c r="E258" s="20"/>
      <c r="F258" s="45">
        <f t="shared" si="202"/>
        <v>0</v>
      </c>
      <c r="G258" s="16"/>
      <c r="H258" s="29"/>
      <c r="I258" s="17"/>
      <c r="J258" s="20">
        <v>1</v>
      </c>
      <c r="K258" s="45">
        <f t="shared" si="203"/>
        <v>1</v>
      </c>
      <c r="L258" s="104">
        <f t="shared" si="196"/>
        <v>1</v>
      </c>
      <c r="M258" s="56">
        <v>45818</v>
      </c>
      <c r="N258" s="11"/>
      <c r="O258" s="16"/>
      <c r="P258" s="29"/>
      <c r="Q258" s="17"/>
      <c r="R258" s="32"/>
      <c r="S258" s="9">
        <f t="shared" si="210"/>
        <v>0</v>
      </c>
      <c r="T258" s="16"/>
      <c r="U258" s="29"/>
      <c r="V258" s="17"/>
      <c r="W258" s="32"/>
      <c r="X258" s="9">
        <f t="shared" si="211"/>
        <v>0</v>
      </c>
      <c r="Y258" s="104">
        <f t="shared" si="199"/>
        <v>0</v>
      </c>
      <c r="Z258" s="157"/>
    </row>
    <row r="259" spans="1:26" x14ac:dyDescent="0.15">
      <c r="A259" s="47" t="s">
        <v>412</v>
      </c>
      <c r="B259" s="41">
        <v>1</v>
      </c>
      <c r="C259" s="42"/>
      <c r="D259" s="43"/>
      <c r="E259" s="44"/>
      <c r="F259" s="70">
        <f t="shared" si="202"/>
        <v>1</v>
      </c>
      <c r="G259" s="41">
        <v>1</v>
      </c>
      <c r="H259" s="42"/>
      <c r="I259" s="43"/>
      <c r="J259" s="44"/>
      <c r="K259" s="70">
        <f t="shared" si="203"/>
        <v>1</v>
      </c>
      <c r="L259" s="103">
        <f t="shared" si="196"/>
        <v>2</v>
      </c>
      <c r="M259" s="56">
        <v>45817</v>
      </c>
      <c r="N259" s="11" t="s">
        <v>320</v>
      </c>
      <c r="O259" s="16"/>
      <c r="P259" s="29"/>
      <c r="Q259" s="17"/>
      <c r="R259" s="32"/>
      <c r="S259" s="9">
        <f t="shared" si="210"/>
        <v>0</v>
      </c>
      <c r="T259" s="16"/>
      <c r="U259" s="29"/>
      <c r="V259" s="17"/>
      <c r="W259" s="32"/>
      <c r="X259" s="9">
        <f t="shared" si="211"/>
        <v>0</v>
      </c>
      <c r="Y259" s="104">
        <f t="shared" si="199"/>
        <v>0</v>
      </c>
      <c r="Z259" s="157" t="s">
        <v>321</v>
      </c>
    </row>
    <row r="260" spans="1:26" x14ac:dyDescent="0.15">
      <c r="A260" s="33" t="s">
        <v>411</v>
      </c>
      <c r="B260" s="16">
        <v>-1</v>
      </c>
      <c r="C260" s="29"/>
      <c r="D260" s="17"/>
      <c r="E260" s="20"/>
      <c r="F260" s="45">
        <f t="shared" si="202"/>
        <v>-1</v>
      </c>
      <c r="G260" s="16">
        <v>-2</v>
      </c>
      <c r="H260" s="29">
        <v>-1</v>
      </c>
      <c r="I260" s="17"/>
      <c r="J260" s="20"/>
      <c r="K260" s="45">
        <f t="shared" si="203"/>
        <v>-3</v>
      </c>
      <c r="L260" s="104">
        <f t="shared" si="196"/>
        <v>-4</v>
      </c>
      <c r="M260" s="56">
        <v>45817</v>
      </c>
      <c r="N260" s="11" t="s">
        <v>309</v>
      </c>
      <c r="O260" s="41"/>
      <c r="P260" s="17"/>
      <c r="Q260" s="29"/>
      <c r="R260" s="60"/>
      <c r="S260" s="9">
        <f t="shared" si="210"/>
        <v>0</v>
      </c>
      <c r="T260" s="16"/>
      <c r="U260" s="17"/>
      <c r="V260" s="29"/>
      <c r="W260" s="60"/>
      <c r="X260" s="9">
        <f t="shared" si="211"/>
        <v>0</v>
      </c>
      <c r="Y260" s="104">
        <f t="shared" si="199"/>
        <v>0</v>
      </c>
      <c r="Z260" s="157" t="s">
        <v>310</v>
      </c>
    </row>
    <row r="261" spans="1:26" x14ac:dyDescent="0.15">
      <c r="A261" s="33" t="s">
        <v>419</v>
      </c>
      <c r="B261" s="16"/>
      <c r="C261" s="29">
        <v>1</v>
      </c>
      <c r="D261" s="17"/>
      <c r="E261" s="20"/>
      <c r="F261" s="45">
        <f t="shared" ref="F261" si="215">SUM(B261:E261)</f>
        <v>1</v>
      </c>
      <c r="G261" s="16">
        <v>1</v>
      </c>
      <c r="H261" s="29"/>
      <c r="I261" s="17"/>
      <c r="J261" s="20"/>
      <c r="K261" s="45">
        <f t="shared" ref="K261" si="216">SUM(G261:J261)</f>
        <v>1</v>
      </c>
      <c r="L261" s="104">
        <f t="shared" ref="L261" si="217">F261+K261</f>
        <v>2</v>
      </c>
      <c r="M261" s="56">
        <v>45821</v>
      </c>
      <c r="N261" s="11" t="s">
        <v>216</v>
      </c>
      <c r="O261" s="41"/>
      <c r="P261" s="42"/>
      <c r="Q261" s="43"/>
      <c r="R261" s="59"/>
      <c r="S261" s="61">
        <f t="shared" si="210"/>
        <v>0</v>
      </c>
      <c r="T261" s="41"/>
      <c r="U261" s="42"/>
      <c r="V261" s="43"/>
      <c r="W261" s="59"/>
      <c r="X261" s="61">
        <f t="shared" si="211"/>
        <v>0</v>
      </c>
      <c r="Y261" s="104">
        <f t="shared" si="199"/>
        <v>0</v>
      </c>
      <c r="Z261" s="157" t="s">
        <v>214</v>
      </c>
    </row>
    <row r="262" spans="1:26" ht="14.25" thickBot="1" x14ac:dyDescent="0.2">
      <c r="A262" s="47" t="s">
        <v>51</v>
      </c>
      <c r="B262" s="37"/>
      <c r="C262" s="38">
        <v>1</v>
      </c>
      <c r="D262" s="39"/>
      <c r="E262" s="40"/>
      <c r="F262" s="45">
        <f t="shared" si="202"/>
        <v>1</v>
      </c>
      <c r="G262" s="37"/>
      <c r="H262" s="38">
        <v>1</v>
      </c>
      <c r="I262" s="39"/>
      <c r="J262" s="40"/>
      <c r="K262" s="45">
        <f t="shared" si="203"/>
        <v>1</v>
      </c>
      <c r="L262" s="104">
        <f t="shared" si="196"/>
        <v>2</v>
      </c>
      <c r="M262" s="58">
        <v>45819</v>
      </c>
      <c r="N262" s="128" t="s">
        <v>229</v>
      </c>
      <c r="O262" s="37"/>
      <c r="P262" s="38"/>
      <c r="Q262" s="39"/>
      <c r="R262" s="129"/>
      <c r="S262" s="10">
        <f t="shared" si="210"/>
        <v>0</v>
      </c>
      <c r="T262" s="37"/>
      <c r="U262" s="38"/>
      <c r="V262" s="39"/>
      <c r="W262" s="129"/>
      <c r="X262" s="10">
        <f t="shared" si="211"/>
        <v>0</v>
      </c>
      <c r="Y262" s="101">
        <f t="shared" si="199"/>
        <v>0</v>
      </c>
      <c r="Z262" s="157" t="s">
        <v>230</v>
      </c>
    </row>
    <row r="263" spans="1:26" ht="14.25" thickBot="1" x14ac:dyDescent="0.2">
      <c r="A263" s="13" t="s">
        <v>8</v>
      </c>
      <c r="B263" s="22">
        <f>SUM(B238:B262)</f>
        <v>2</v>
      </c>
      <c r="C263" s="30">
        <f>SUM(C238:C262)</f>
        <v>3</v>
      </c>
      <c r="D263" s="23">
        <f>SUM(D238:D262)</f>
        <v>1</v>
      </c>
      <c r="E263" s="24">
        <f>SUM(E238:E262)</f>
        <v>7</v>
      </c>
      <c r="F263" s="21">
        <f>SUM(B263:E263)</f>
        <v>13</v>
      </c>
      <c r="G263" s="22">
        <f>SUM(G238:G262)</f>
        <v>1</v>
      </c>
      <c r="H263" s="30">
        <f>SUM(H238:H262)</f>
        <v>1</v>
      </c>
      <c r="I263" s="23">
        <f>SUM(I238:I262)</f>
        <v>1</v>
      </c>
      <c r="J263" s="24">
        <f>SUM(J238:J262)</f>
        <v>1</v>
      </c>
      <c r="K263" s="21">
        <f>SUM(G263:J263)</f>
        <v>4</v>
      </c>
      <c r="L263" s="105">
        <f t="shared" si="196"/>
        <v>17</v>
      </c>
      <c r="N263" s="49" t="s">
        <v>8</v>
      </c>
      <c r="O263" s="22">
        <f>SUM(O238:O262)</f>
        <v>29</v>
      </c>
      <c r="P263" s="30">
        <f>SUM(P238:P262)</f>
        <v>29</v>
      </c>
      <c r="Q263" s="23">
        <f>SUM(Q238:Q262)</f>
        <v>23</v>
      </c>
      <c r="R263" s="24">
        <f>SUM(R238:R262)</f>
        <v>14</v>
      </c>
      <c r="S263" s="48">
        <f t="shared" si="210"/>
        <v>95</v>
      </c>
      <c r="T263" s="22">
        <f>SUM(T238:T262)</f>
        <v>9</v>
      </c>
      <c r="U263" s="30">
        <f>SUM(U238:U262)</f>
        <v>17</v>
      </c>
      <c r="V263" s="23">
        <f>SUM(V238:V262)</f>
        <v>5</v>
      </c>
      <c r="W263" s="24">
        <f>SUM(W238:W262)</f>
        <v>6</v>
      </c>
      <c r="X263" s="48">
        <f t="shared" si="211"/>
        <v>37</v>
      </c>
      <c r="Y263" s="122">
        <f t="shared" si="199"/>
        <v>132</v>
      </c>
    </row>
    <row r="264" spans="1:26" ht="14.25" thickBot="1" x14ac:dyDescent="0.2">
      <c r="A264" s="14" t="s">
        <v>9</v>
      </c>
      <c r="B264" s="25">
        <f t="shared" ref="B264:K264" si="218">B237-B263</f>
        <v>4</v>
      </c>
      <c r="C264" s="31">
        <f t="shared" si="218"/>
        <v>4</v>
      </c>
      <c r="D264" s="26">
        <f t="shared" si="218"/>
        <v>3</v>
      </c>
      <c r="E264" s="27">
        <f t="shared" si="218"/>
        <v>4</v>
      </c>
      <c r="F264" s="83">
        <f t="shared" si="218"/>
        <v>15</v>
      </c>
      <c r="G264" s="25">
        <f t="shared" si="218"/>
        <v>5</v>
      </c>
      <c r="H264" s="31">
        <f t="shared" si="218"/>
        <v>5</v>
      </c>
      <c r="I264" s="26">
        <f t="shared" si="218"/>
        <v>6</v>
      </c>
      <c r="J264" s="27">
        <f t="shared" si="218"/>
        <v>4</v>
      </c>
      <c r="K264" s="83">
        <f t="shared" si="218"/>
        <v>20</v>
      </c>
      <c r="L264" s="102">
        <f t="shared" si="196"/>
        <v>35</v>
      </c>
      <c r="N264" s="13" t="s">
        <v>9</v>
      </c>
      <c r="O264" s="25">
        <f t="shared" ref="O264:X264" si="219">O237-O263</f>
        <v>69</v>
      </c>
      <c r="P264" s="31">
        <f t="shared" si="219"/>
        <v>95</v>
      </c>
      <c r="Q264" s="26">
        <f t="shared" si="219"/>
        <v>167</v>
      </c>
      <c r="R264" s="27">
        <f t="shared" si="219"/>
        <v>122</v>
      </c>
      <c r="S264" s="36">
        <f t="shared" si="219"/>
        <v>453</v>
      </c>
      <c r="T264" s="25">
        <f t="shared" si="219"/>
        <v>61</v>
      </c>
      <c r="U264" s="31">
        <f t="shared" si="219"/>
        <v>119</v>
      </c>
      <c r="V264" s="26">
        <f t="shared" si="219"/>
        <v>93</v>
      </c>
      <c r="W264" s="27">
        <f t="shared" si="219"/>
        <v>74</v>
      </c>
      <c r="X264" s="36">
        <f t="shared" si="219"/>
        <v>347</v>
      </c>
      <c r="Y264" s="102">
        <f t="shared" si="199"/>
        <v>800</v>
      </c>
    </row>
    <row r="267" spans="1:26" ht="19.5" thickBot="1" x14ac:dyDescent="0.25">
      <c r="A267" s="2" t="s">
        <v>18</v>
      </c>
      <c r="B267" s="2"/>
      <c r="C267" s="1"/>
      <c r="D267" s="1"/>
      <c r="E267" s="1"/>
      <c r="F267" s="84"/>
      <c r="G267" s="2"/>
      <c r="H267" s="1" t="s">
        <v>157</v>
      </c>
      <c r="I267" s="1"/>
      <c r="J267" s="1"/>
      <c r="K267" s="84" t="s">
        <v>13</v>
      </c>
      <c r="L267" s="84"/>
      <c r="N267" s="2" t="s">
        <v>19</v>
      </c>
      <c r="O267" s="71"/>
      <c r="P267" s="71"/>
      <c r="Q267" s="71"/>
      <c r="R267" s="71"/>
      <c r="S267" s="84"/>
      <c r="T267" s="1" t="s">
        <v>157</v>
      </c>
      <c r="U267" s="71"/>
      <c r="V267" s="71"/>
      <c r="W267" s="71"/>
      <c r="X267" s="84" t="s">
        <v>13</v>
      </c>
    </row>
    <row r="268" spans="1:26" ht="14.25" thickBot="1" x14ac:dyDescent="0.2">
      <c r="A268" s="5" t="s">
        <v>0</v>
      </c>
      <c r="B268" s="322" t="s">
        <v>32</v>
      </c>
      <c r="C268" s="323"/>
      <c r="D268" s="323"/>
      <c r="E268" s="323"/>
      <c r="F268" s="324"/>
      <c r="G268" s="325" t="s">
        <v>31</v>
      </c>
      <c r="H268" s="326"/>
      <c r="I268" s="326"/>
      <c r="J268" s="326"/>
      <c r="K268" s="327"/>
      <c r="L268" s="320" t="s">
        <v>30</v>
      </c>
      <c r="N268" s="5" t="s">
        <v>0</v>
      </c>
      <c r="O268" s="322" t="s">
        <v>200</v>
      </c>
      <c r="P268" s="323"/>
      <c r="Q268" s="323"/>
      <c r="R268" s="323"/>
      <c r="S268" s="324"/>
      <c r="T268" s="325" t="s">
        <v>201</v>
      </c>
      <c r="U268" s="326"/>
      <c r="V268" s="326"/>
      <c r="W268" s="326"/>
      <c r="X268" s="327"/>
      <c r="Y268" s="320" t="s">
        <v>30</v>
      </c>
    </row>
    <row r="269" spans="1:26" ht="14.25" thickBot="1" x14ac:dyDescent="0.2">
      <c r="A269" s="5" t="s">
        <v>1</v>
      </c>
      <c r="B269" s="3" t="s">
        <v>22</v>
      </c>
      <c r="C269" s="28" t="s">
        <v>23</v>
      </c>
      <c r="D269" s="4" t="s">
        <v>24</v>
      </c>
      <c r="E269" s="15" t="s">
        <v>25</v>
      </c>
      <c r="F269" s="19" t="s">
        <v>2</v>
      </c>
      <c r="G269" s="3" t="s">
        <v>22</v>
      </c>
      <c r="H269" s="28" t="s">
        <v>23</v>
      </c>
      <c r="I269" s="4" t="s">
        <v>24</v>
      </c>
      <c r="J269" s="15" t="s">
        <v>25</v>
      </c>
      <c r="K269" s="19" t="s">
        <v>2</v>
      </c>
      <c r="L269" s="321"/>
      <c r="N269" s="5" t="s">
        <v>1</v>
      </c>
      <c r="O269" s="3" t="s">
        <v>22</v>
      </c>
      <c r="P269" s="28" t="s">
        <v>23</v>
      </c>
      <c r="Q269" s="4" t="s">
        <v>24</v>
      </c>
      <c r="R269" s="15" t="s">
        <v>25</v>
      </c>
      <c r="S269" s="19" t="s">
        <v>2</v>
      </c>
      <c r="T269" s="3" t="s">
        <v>22</v>
      </c>
      <c r="U269" s="28" t="s">
        <v>23</v>
      </c>
      <c r="V269" s="4" t="s">
        <v>24</v>
      </c>
      <c r="W269" s="15" t="s">
        <v>25</v>
      </c>
      <c r="X269" s="19" t="s">
        <v>2</v>
      </c>
      <c r="Y269" s="321"/>
    </row>
    <row r="270" spans="1:26" x14ac:dyDescent="0.15">
      <c r="A270" s="78" t="s">
        <v>10</v>
      </c>
      <c r="B270" s="79">
        <f>B264</f>
        <v>4</v>
      </c>
      <c r="C270" s="80">
        <f>C264</f>
        <v>4</v>
      </c>
      <c r="D270" s="80">
        <f>D264</f>
        <v>3</v>
      </c>
      <c r="E270" s="81">
        <f>E264</f>
        <v>4</v>
      </c>
      <c r="F270" s="82">
        <f>SUM(B270:E270)</f>
        <v>15</v>
      </c>
      <c r="G270" s="79">
        <f>G264</f>
        <v>5</v>
      </c>
      <c r="H270" s="80">
        <f>H264</f>
        <v>5</v>
      </c>
      <c r="I270" s="80">
        <f>I264</f>
        <v>6</v>
      </c>
      <c r="J270" s="81">
        <f>J264</f>
        <v>4</v>
      </c>
      <c r="K270" s="82">
        <f>SUM(G270:J270)</f>
        <v>20</v>
      </c>
      <c r="L270" s="98">
        <f>F270+K270</f>
        <v>35</v>
      </c>
      <c r="N270" s="78" t="s">
        <v>10</v>
      </c>
      <c r="O270" s="79">
        <f>O264</f>
        <v>69</v>
      </c>
      <c r="P270" s="80">
        <f>P264</f>
        <v>95</v>
      </c>
      <c r="Q270" s="80">
        <f>Q264</f>
        <v>167</v>
      </c>
      <c r="R270" s="81">
        <f>R264</f>
        <v>122</v>
      </c>
      <c r="S270" s="82">
        <f>SUM(O270:R270)</f>
        <v>453</v>
      </c>
      <c r="T270" s="79">
        <f>T264</f>
        <v>61</v>
      </c>
      <c r="U270" s="80">
        <f>U264</f>
        <v>119</v>
      </c>
      <c r="V270" s="80">
        <f>V264</f>
        <v>93</v>
      </c>
      <c r="W270" s="81">
        <f>W264</f>
        <v>74</v>
      </c>
      <c r="X270" s="82">
        <f>SUM(T270:W270)</f>
        <v>347</v>
      </c>
      <c r="Y270" s="98">
        <f>S270+X270</f>
        <v>800</v>
      </c>
    </row>
    <row r="271" spans="1:26" x14ac:dyDescent="0.15">
      <c r="A271" s="47" t="s">
        <v>366</v>
      </c>
      <c r="B271" s="51">
        <v>2</v>
      </c>
      <c r="C271" s="52">
        <v>4</v>
      </c>
      <c r="D271" s="53">
        <v>2</v>
      </c>
      <c r="E271" s="54">
        <v>2</v>
      </c>
      <c r="F271" s="61">
        <f>SUM(B271:E271)</f>
        <v>10</v>
      </c>
      <c r="G271" s="51"/>
      <c r="H271" s="52"/>
      <c r="I271" s="53"/>
      <c r="J271" s="54"/>
      <c r="K271" s="61">
        <f>SUM(G271:J271)</f>
        <v>0</v>
      </c>
      <c r="L271" s="99">
        <f t="shared" ref="L271:L302" si="220">F271+K271</f>
        <v>10</v>
      </c>
      <c r="M271" s="56">
        <v>45826</v>
      </c>
      <c r="N271" s="12" t="s">
        <v>496</v>
      </c>
      <c r="O271" s="16">
        <v>5</v>
      </c>
      <c r="P271" s="29"/>
      <c r="Q271" s="17"/>
      <c r="R271" s="20"/>
      <c r="S271" s="45">
        <f t="shared" ref="S271" si="221">SUM(O271:R271)</f>
        <v>5</v>
      </c>
      <c r="T271" s="16"/>
      <c r="U271" s="29"/>
      <c r="V271" s="17"/>
      <c r="W271" s="20"/>
      <c r="X271" s="45">
        <f t="shared" ref="X271" si="222">SUM(T271:W271)</f>
        <v>0</v>
      </c>
      <c r="Y271" s="100">
        <f t="shared" ref="Y271:Y272" si="223">S271+X271</f>
        <v>5</v>
      </c>
      <c r="Z271" s="56">
        <v>45843</v>
      </c>
    </row>
    <row r="272" spans="1:26" x14ac:dyDescent="0.15">
      <c r="A272" s="12" t="s">
        <v>4</v>
      </c>
      <c r="B272" s="6"/>
      <c r="C272" s="18"/>
      <c r="D272" s="7"/>
      <c r="E272" s="8"/>
      <c r="F272" s="9">
        <f>SUM(B272:E272)</f>
        <v>0</v>
      </c>
      <c r="G272" s="6"/>
      <c r="H272" s="18">
        <v>5</v>
      </c>
      <c r="I272" s="7"/>
      <c r="J272" s="8"/>
      <c r="K272" s="9">
        <f>SUM(G272:J272)</f>
        <v>5</v>
      </c>
      <c r="L272" s="100">
        <f t="shared" ref="L272" si="224">F272+K272</f>
        <v>5</v>
      </c>
      <c r="M272" s="56">
        <v>45821</v>
      </c>
      <c r="N272" s="12" t="s">
        <v>3</v>
      </c>
      <c r="O272" s="16">
        <v>40</v>
      </c>
      <c r="P272" s="29">
        <v>40</v>
      </c>
      <c r="Q272" s="17"/>
      <c r="R272" s="20"/>
      <c r="S272" s="45">
        <f>SUM(O272:R272)</f>
        <v>80</v>
      </c>
      <c r="T272" s="16"/>
      <c r="U272" s="29"/>
      <c r="V272" s="17"/>
      <c r="W272" s="20"/>
      <c r="X272" s="45">
        <f>SUM(T272:W272)</f>
        <v>0</v>
      </c>
      <c r="Y272" s="100">
        <f t="shared" si="223"/>
        <v>80</v>
      </c>
      <c r="Z272" s="56" t="s">
        <v>524</v>
      </c>
    </row>
    <row r="273" spans="1:28" x14ac:dyDescent="0.15">
      <c r="A273" s="12" t="s">
        <v>66</v>
      </c>
      <c r="B273" s="6">
        <v>1</v>
      </c>
      <c r="C273" s="18"/>
      <c r="D273" s="7"/>
      <c r="E273" s="8"/>
      <c r="F273" s="9">
        <f>SUM(B273:E273)</f>
        <v>1</v>
      </c>
      <c r="G273" s="6">
        <v>1</v>
      </c>
      <c r="H273" s="18"/>
      <c r="I273" s="7"/>
      <c r="J273" s="8"/>
      <c r="K273" s="9">
        <f>SUM(G273:J273)</f>
        <v>1</v>
      </c>
      <c r="L273" s="100">
        <f t="shared" si="220"/>
        <v>2</v>
      </c>
      <c r="M273" s="58">
        <v>45821</v>
      </c>
      <c r="N273" s="12" t="s">
        <v>4</v>
      </c>
      <c r="O273" s="16"/>
      <c r="P273" s="29"/>
      <c r="Q273" s="17"/>
      <c r="R273" s="20"/>
      <c r="S273" s="45">
        <f t="shared" ref="S273:S274" si="225">SUM(O273:R273)</f>
        <v>0</v>
      </c>
      <c r="T273" s="16"/>
      <c r="U273" s="29"/>
      <c r="V273" s="17"/>
      <c r="W273" s="20"/>
      <c r="X273" s="45">
        <f>SUM(T273:W273)</f>
        <v>0</v>
      </c>
      <c r="Y273" s="104">
        <f t="shared" ref="Y273" si="226">S273+X273</f>
        <v>0</v>
      </c>
      <c r="Z273" s="56"/>
    </row>
    <row r="274" spans="1:28" ht="14.25" thickBot="1" x14ac:dyDescent="0.2">
      <c r="A274" s="47" t="s">
        <v>449</v>
      </c>
      <c r="B274" s="6">
        <v>1</v>
      </c>
      <c r="C274" s="29"/>
      <c r="D274" s="17"/>
      <c r="E274" s="20"/>
      <c r="F274" s="45">
        <f t="shared" ref="F274" si="227">SUM(B274:E274)</f>
        <v>1</v>
      </c>
      <c r="G274" s="6">
        <v>1</v>
      </c>
      <c r="H274" s="29"/>
      <c r="I274" s="17"/>
      <c r="J274" s="20"/>
      <c r="K274" s="45">
        <f t="shared" ref="K274" si="228">SUM(G274:J274)</f>
        <v>1</v>
      </c>
      <c r="L274" s="104">
        <f t="shared" si="220"/>
        <v>2</v>
      </c>
      <c r="M274" s="56">
        <v>45826</v>
      </c>
      <c r="N274" s="12" t="s">
        <v>5</v>
      </c>
      <c r="O274" s="16"/>
      <c r="P274" s="29"/>
      <c r="Q274" s="17"/>
      <c r="R274" s="20"/>
      <c r="S274" s="45">
        <f t="shared" si="225"/>
        <v>0</v>
      </c>
      <c r="T274" s="16"/>
      <c r="U274" s="29"/>
      <c r="V274" s="17"/>
      <c r="W274" s="20"/>
      <c r="X274" s="45">
        <f t="shared" ref="X274" si="229">SUM(T274:W274)</f>
        <v>0</v>
      </c>
      <c r="Y274" s="100">
        <f t="shared" ref="Y274" si="230">S274+X274</f>
        <v>0</v>
      </c>
    </row>
    <row r="275" spans="1:28" ht="14.25" thickBot="1" x14ac:dyDescent="0.2">
      <c r="A275" s="14" t="s">
        <v>7</v>
      </c>
      <c r="B275" s="62">
        <f t="shared" ref="B275:K275" si="231">SUM(B270:B274)</f>
        <v>8</v>
      </c>
      <c r="C275" s="63">
        <f t="shared" si="231"/>
        <v>8</v>
      </c>
      <c r="D275" s="64">
        <f t="shared" si="231"/>
        <v>5</v>
      </c>
      <c r="E275" s="65">
        <f t="shared" si="231"/>
        <v>6</v>
      </c>
      <c r="F275" s="66">
        <f t="shared" si="231"/>
        <v>27</v>
      </c>
      <c r="G275" s="62">
        <f t="shared" si="231"/>
        <v>7</v>
      </c>
      <c r="H275" s="63">
        <f t="shared" si="231"/>
        <v>10</v>
      </c>
      <c r="I275" s="64">
        <f t="shared" si="231"/>
        <v>6</v>
      </c>
      <c r="J275" s="65">
        <f t="shared" si="231"/>
        <v>4</v>
      </c>
      <c r="K275" s="66">
        <f t="shared" si="231"/>
        <v>27</v>
      </c>
      <c r="L275" s="102">
        <f t="shared" si="220"/>
        <v>54</v>
      </c>
      <c r="N275" s="13" t="s">
        <v>7</v>
      </c>
      <c r="O275" s="25">
        <f t="shared" ref="O275:X275" si="232">SUM(O270:O274)</f>
        <v>114</v>
      </c>
      <c r="P275" s="31">
        <f t="shared" si="232"/>
        <v>135</v>
      </c>
      <c r="Q275" s="26">
        <f t="shared" si="232"/>
        <v>167</v>
      </c>
      <c r="R275" s="67">
        <f t="shared" si="232"/>
        <v>122</v>
      </c>
      <c r="S275" s="68">
        <f t="shared" si="232"/>
        <v>538</v>
      </c>
      <c r="T275" s="25">
        <f t="shared" si="232"/>
        <v>61</v>
      </c>
      <c r="U275" s="31">
        <f t="shared" si="232"/>
        <v>119</v>
      </c>
      <c r="V275" s="26">
        <f t="shared" si="232"/>
        <v>93</v>
      </c>
      <c r="W275" s="67">
        <f t="shared" si="232"/>
        <v>74</v>
      </c>
      <c r="X275" s="68">
        <f t="shared" si="232"/>
        <v>347</v>
      </c>
      <c r="Y275" s="102">
        <f t="shared" ref="Y275:Y302" si="233">S275+X275</f>
        <v>885</v>
      </c>
    </row>
    <row r="276" spans="1:28" x14ac:dyDescent="0.15">
      <c r="A276" s="33" t="s">
        <v>422</v>
      </c>
      <c r="B276" s="16"/>
      <c r="C276" s="29"/>
      <c r="D276" s="17"/>
      <c r="E276" s="20"/>
      <c r="F276" s="45">
        <f t="shared" ref="F276:F277" si="234">SUM(B276:E276)</f>
        <v>0</v>
      </c>
      <c r="G276" s="16"/>
      <c r="H276" s="29">
        <v>1</v>
      </c>
      <c r="I276" s="17">
        <v>1</v>
      </c>
      <c r="J276" s="20"/>
      <c r="K276" s="45">
        <f t="shared" ref="K276:K277" si="235">SUM(G276:J276)</f>
        <v>2</v>
      </c>
      <c r="L276" s="104">
        <f t="shared" ref="L276:L277" si="236">F276+K276</f>
        <v>2</v>
      </c>
      <c r="M276" s="56">
        <v>45821</v>
      </c>
      <c r="N276" s="33" t="s">
        <v>39</v>
      </c>
      <c r="O276" s="16"/>
      <c r="P276" s="29"/>
      <c r="Q276" s="17">
        <v>3</v>
      </c>
      <c r="R276" s="32"/>
      <c r="S276" s="9">
        <f t="shared" ref="S276" si="237">SUM(O276:R276)</f>
        <v>3</v>
      </c>
      <c r="T276" s="16"/>
      <c r="U276" s="29">
        <v>3</v>
      </c>
      <c r="V276" s="17">
        <v>5</v>
      </c>
      <c r="W276" s="32">
        <v>3</v>
      </c>
      <c r="X276" s="9">
        <f t="shared" ref="X276" si="238">SUM(T276:W276)</f>
        <v>11</v>
      </c>
      <c r="Y276" s="103">
        <f t="shared" si="233"/>
        <v>14</v>
      </c>
      <c r="Z276" s="56">
        <v>45829</v>
      </c>
    </row>
    <row r="277" spans="1:28" x14ac:dyDescent="0.15">
      <c r="A277" s="47" t="s">
        <v>51</v>
      </c>
      <c r="B277" s="16"/>
      <c r="C277" s="29"/>
      <c r="D277" s="17"/>
      <c r="E277" s="20"/>
      <c r="F277" s="45">
        <f t="shared" si="234"/>
        <v>0</v>
      </c>
      <c r="G277" s="16"/>
      <c r="H277" s="29">
        <v>2</v>
      </c>
      <c r="I277" s="17"/>
      <c r="J277" s="20"/>
      <c r="K277" s="45">
        <f t="shared" si="235"/>
        <v>2</v>
      </c>
      <c r="L277" s="104">
        <f t="shared" si="236"/>
        <v>2</v>
      </c>
      <c r="M277" s="56">
        <v>45820</v>
      </c>
      <c r="N277" s="11" t="s">
        <v>461</v>
      </c>
      <c r="O277" s="16"/>
      <c r="P277" s="29">
        <v>1</v>
      </c>
      <c r="Q277" s="17"/>
      <c r="R277" s="32">
        <v>5</v>
      </c>
      <c r="S277" s="9">
        <f t="shared" ref="S277:S281" si="239">SUM(O277:R277)</f>
        <v>6</v>
      </c>
      <c r="T277" s="16"/>
      <c r="U277" s="29"/>
      <c r="V277" s="17"/>
      <c r="W277" s="32"/>
      <c r="X277" s="9">
        <f t="shared" ref="X277:X281" si="240">SUM(T277:W277)</f>
        <v>0</v>
      </c>
      <c r="Y277" s="104">
        <f t="shared" si="233"/>
        <v>6</v>
      </c>
      <c r="Z277" s="56">
        <v>45832</v>
      </c>
      <c r="AA277" s="35"/>
      <c r="AB277" s="35"/>
    </row>
    <row r="278" spans="1:28" x14ac:dyDescent="0.15">
      <c r="A278" s="33" t="s">
        <v>430</v>
      </c>
      <c r="B278" s="16"/>
      <c r="C278" s="29"/>
      <c r="D278" s="17"/>
      <c r="E278" s="20"/>
      <c r="F278" s="45">
        <f t="shared" ref="F278:F300" si="241">SUM(B278:E278)</f>
        <v>0</v>
      </c>
      <c r="G278" s="16">
        <v>1</v>
      </c>
      <c r="H278" s="29">
        <v>1</v>
      </c>
      <c r="I278" s="17"/>
      <c r="J278" s="20"/>
      <c r="K278" s="45">
        <f t="shared" ref="K278:K300" si="242">SUM(G278:J278)</f>
        <v>2</v>
      </c>
      <c r="L278" s="104">
        <f t="shared" si="220"/>
        <v>2</v>
      </c>
      <c r="M278" s="56">
        <v>45826</v>
      </c>
      <c r="N278" s="33" t="s">
        <v>462</v>
      </c>
      <c r="O278" s="16">
        <v>4</v>
      </c>
      <c r="P278" s="29"/>
      <c r="Q278" s="17"/>
      <c r="R278" s="32">
        <v>2</v>
      </c>
      <c r="S278" s="9">
        <f t="shared" si="239"/>
        <v>6</v>
      </c>
      <c r="T278" s="16"/>
      <c r="U278" s="29"/>
      <c r="V278" s="17"/>
      <c r="W278" s="32"/>
      <c r="X278" s="9">
        <f t="shared" si="240"/>
        <v>0</v>
      </c>
      <c r="Y278" s="104">
        <f t="shared" si="233"/>
        <v>6</v>
      </c>
      <c r="Z278" s="56">
        <v>45848</v>
      </c>
    </row>
    <row r="279" spans="1:28" x14ac:dyDescent="0.15">
      <c r="A279" s="33" t="s">
        <v>440</v>
      </c>
      <c r="B279" s="16"/>
      <c r="C279" s="29"/>
      <c r="D279" s="17"/>
      <c r="E279" s="20"/>
      <c r="F279" s="45">
        <f t="shared" si="241"/>
        <v>0</v>
      </c>
      <c r="G279" s="16"/>
      <c r="H279" s="29"/>
      <c r="I279" s="17">
        <v>2</v>
      </c>
      <c r="J279" s="20"/>
      <c r="K279" s="45">
        <f t="shared" si="242"/>
        <v>2</v>
      </c>
      <c r="L279" s="104">
        <f t="shared" si="220"/>
        <v>2</v>
      </c>
      <c r="M279" s="56">
        <v>45827</v>
      </c>
      <c r="N279" s="11" t="s">
        <v>469</v>
      </c>
      <c r="O279" s="16"/>
      <c r="P279" s="29">
        <v>1</v>
      </c>
      <c r="Q279" s="17"/>
      <c r="R279" s="32"/>
      <c r="S279" s="9">
        <f t="shared" si="239"/>
        <v>1</v>
      </c>
      <c r="T279" s="16"/>
      <c r="U279" s="29"/>
      <c r="V279" s="17"/>
      <c r="W279" s="32">
        <v>1</v>
      </c>
      <c r="X279" s="9">
        <f t="shared" si="240"/>
        <v>1</v>
      </c>
      <c r="Y279" s="104">
        <f t="shared" si="233"/>
        <v>2</v>
      </c>
      <c r="Z279" s="56">
        <v>45834</v>
      </c>
    </row>
    <row r="280" spans="1:28" x14ac:dyDescent="0.15">
      <c r="A280" s="33" t="s">
        <v>443</v>
      </c>
      <c r="B280" s="16"/>
      <c r="C280" s="29"/>
      <c r="D280" s="17">
        <v>2</v>
      </c>
      <c r="E280" s="20"/>
      <c r="F280" s="45">
        <f t="shared" si="241"/>
        <v>2</v>
      </c>
      <c r="G280" s="16"/>
      <c r="H280" s="29"/>
      <c r="I280" s="17">
        <v>1</v>
      </c>
      <c r="J280" s="20"/>
      <c r="K280" s="45">
        <f t="shared" si="242"/>
        <v>1</v>
      </c>
      <c r="L280" s="104">
        <f t="shared" si="220"/>
        <v>3</v>
      </c>
      <c r="M280" s="56">
        <v>45828</v>
      </c>
      <c r="N280" s="11" t="s">
        <v>472</v>
      </c>
      <c r="O280" s="16">
        <v>2</v>
      </c>
      <c r="P280" s="29">
        <v>4</v>
      </c>
      <c r="Q280" s="17">
        <v>2</v>
      </c>
      <c r="R280" s="32">
        <v>1</v>
      </c>
      <c r="S280" s="9">
        <f t="shared" si="239"/>
        <v>9</v>
      </c>
      <c r="T280" s="16"/>
      <c r="U280" s="29"/>
      <c r="V280" s="17"/>
      <c r="W280" s="32">
        <v>1</v>
      </c>
      <c r="X280" s="9">
        <f t="shared" si="240"/>
        <v>1</v>
      </c>
      <c r="Y280" s="104">
        <f t="shared" si="233"/>
        <v>10</v>
      </c>
      <c r="Z280" s="56">
        <v>45834</v>
      </c>
    </row>
    <row r="281" spans="1:28" x14ac:dyDescent="0.15">
      <c r="A281" s="33" t="s">
        <v>451</v>
      </c>
      <c r="B281" s="16"/>
      <c r="C281" s="29"/>
      <c r="D281" s="17"/>
      <c r="E281" s="20">
        <v>1</v>
      </c>
      <c r="F281" s="45">
        <f t="shared" si="241"/>
        <v>1</v>
      </c>
      <c r="G281" s="16"/>
      <c r="H281" s="29">
        <v>2</v>
      </c>
      <c r="I281" s="17">
        <v>1</v>
      </c>
      <c r="J281" s="20"/>
      <c r="K281" s="45">
        <f t="shared" si="242"/>
        <v>3</v>
      </c>
      <c r="L281" s="104">
        <f t="shared" si="220"/>
        <v>4</v>
      </c>
      <c r="M281" s="56">
        <v>45828</v>
      </c>
      <c r="N281" s="11" t="s">
        <v>475</v>
      </c>
      <c r="O281" s="16">
        <v>10</v>
      </c>
      <c r="P281" s="29">
        <v>20</v>
      </c>
      <c r="Q281" s="17">
        <v>20</v>
      </c>
      <c r="R281" s="32">
        <v>20</v>
      </c>
      <c r="S281" s="9">
        <f t="shared" si="239"/>
        <v>70</v>
      </c>
      <c r="T281" s="16"/>
      <c r="U281" s="29"/>
      <c r="V281" s="17"/>
      <c r="W281" s="32"/>
      <c r="X281" s="9">
        <f t="shared" si="240"/>
        <v>0</v>
      </c>
      <c r="Y281" s="104">
        <f t="shared" si="233"/>
        <v>70</v>
      </c>
      <c r="Z281" s="56">
        <v>45838</v>
      </c>
    </row>
    <row r="282" spans="1:28" x14ac:dyDescent="0.15">
      <c r="A282" s="47" t="s">
        <v>51</v>
      </c>
      <c r="B282" s="16"/>
      <c r="C282" s="29"/>
      <c r="D282" s="17">
        <v>1</v>
      </c>
      <c r="E282" s="20"/>
      <c r="F282" s="45">
        <f t="shared" si="241"/>
        <v>1</v>
      </c>
      <c r="G282" s="16"/>
      <c r="H282" s="29"/>
      <c r="I282" s="17"/>
      <c r="J282" s="20"/>
      <c r="K282" s="45">
        <f t="shared" si="242"/>
        <v>0</v>
      </c>
      <c r="L282" s="104">
        <f t="shared" si="220"/>
        <v>1</v>
      </c>
      <c r="M282" s="56">
        <v>45827</v>
      </c>
      <c r="N282" s="33" t="s">
        <v>478</v>
      </c>
      <c r="O282" s="16">
        <v>3</v>
      </c>
      <c r="P282" s="29">
        <v>3</v>
      </c>
      <c r="Q282" s="17">
        <v>3</v>
      </c>
      <c r="R282" s="32">
        <v>3</v>
      </c>
      <c r="S282" s="9">
        <f>SUM(O282:R282)</f>
        <v>12</v>
      </c>
      <c r="T282" s="16"/>
      <c r="U282" s="29"/>
      <c r="V282" s="17"/>
      <c r="W282" s="32"/>
      <c r="X282" s="9">
        <f>SUM(T282:W282)</f>
        <v>0</v>
      </c>
      <c r="Y282" s="104">
        <f t="shared" si="233"/>
        <v>12</v>
      </c>
      <c r="Z282" s="56">
        <v>45847</v>
      </c>
    </row>
    <row r="283" spans="1:28" x14ac:dyDescent="0.15">
      <c r="A283" s="47" t="s">
        <v>454</v>
      </c>
      <c r="B283" s="16"/>
      <c r="C283" s="29">
        <v>-1</v>
      </c>
      <c r="D283" s="17"/>
      <c r="E283" s="20"/>
      <c r="F283" s="45">
        <f t="shared" si="241"/>
        <v>-1</v>
      </c>
      <c r="G283" s="16"/>
      <c r="H283" s="29"/>
      <c r="I283" s="17"/>
      <c r="J283" s="20"/>
      <c r="K283" s="45">
        <f t="shared" si="242"/>
        <v>0</v>
      </c>
      <c r="L283" s="104">
        <f t="shared" si="220"/>
        <v>-1</v>
      </c>
      <c r="M283" s="56">
        <v>45825</v>
      </c>
      <c r="N283" s="11" t="s">
        <v>479</v>
      </c>
      <c r="O283" s="16"/>
      <c r="P283" s="29">
        <v>2</v>
      </c>
      <c r="Q283" s="17">
        <v>1</v>
      </c>
      <c r="R283" s="32"/>
      <c r="S283" s="9">
        <f t="shared" ref="S283:S287" si="243">SUM(O283:R283)</f>
        <v>3</v>
      </c>
      <c r="T283" s="16"/>
      <c r="U283" s="29"/>
      <c r="V283" s="17"/>
      <c r="W283" s="32"/>
      <c r="X283" s="9">
        <f t="shared" ref="X283:X287" si="244">SUM(T283:W283)</f>
        <v>0</v>
      </c>
      <c r="Y283" s="104">
        <f t="shared" si="233"/>
        <v>3</v>
      </c>
      <c r="Z283" s="56">
        <v>45842</v>
      </c>
      <c r="AA283" s="35"/>
      <c r="AB283" s="35"/>
    </row>
    <row r="284" spans="1:28" x14ac:dyDescent="0.15">
      <c r="A284" s="47" t="s">
        <v>51</v>
      </c>
      <c r="B284" s="16"/>
      <c r="C284" s="29">
        <v>1</v>
      </c>
      <c r="D284" s="17"/>
      <c r="E284" s="20"/>
      <c r="F284" s="45">
        <f t="shared" si="241"/>
        <v>1</v>
      </c>
      <c r="G284" s="16"/>
      <c r="H284" s="29">
        <v>1</v>
      </c>
      <c r="I284" s="17"/>
      <c r="J284" s="20">
        <v>1</v>
      </c>
      <c r="K284" s="45">
        <f t="shared" si="242"/>
        <v>2</v>
      </c>
      <c r="L284" s="104">
        <f t="shared" si="220"/>
        <v>3</v>
      </c>
      <c r="M284" s="56">
        <v>45828</v>
      </c>
      <c r="N284" s="33" t="s">
        <v>39</v>
      </c>
      <c r="O284" s="16"/>
      <c r="P284" s="29"/>
      <c r="Q284" s="17"/>
      <c r="R284" s="32">
        <v>3</v>
      </c>
      <c r="S284" s="9">
        <f t="shared" si="243"/>
        <v>3</v>
      </c>
      <c r="T284" s="16">
        <v>3</v>
      </c>
      <c r="U284" s="29"/>
      <c r="V284" s="17"/>
      <c r="W284" s="32">
        <v>5</v>
      </c>
      <c r="X284" s="9">
        <f t="shared" si="244"/>
        <v>8</v>
      </c>
      <c r="Y284" s="104">
        <f t="shared" si="233"/>
        <v>11</v>
      </c>
      <c r="Z284" s="56">
        <v>45840</v>
      </c>
      <c r="AA284" s="35"/>
      <c r="AB284" s="35"/>
    </row>
    <row r="285" spans="1:28" x14ac:dyDescent="0.15">
      <c r="A285" s="33" t="s">
        <v>456</v>
      </c>
      <c r="B285" s="16"/>
      <c r="C285" s="29"/>
      <c r="D285" s="17">
        <v>-3</v>
      </c>
      <c r="E285" s="20"/>
      <c r="F285" s="45">
        <f t="shared" si="241"/>
        <v>-3</v>
      </c>
      <c r="G285" s="16"/>
      <c r="H285" s="29">
        <v>-3</v>
      </c>
      <c r="I285" s="17">
        <v>-5</v>
      </c>
      <c r="J285" s="20">
        <v>-3</v>
      </c>
      <c r="K285" s="45">
        <f t="shared" si="242"/>
        <v>-11</v>
      </c>
      <c r="L285" s="104">
        <f t="shared" si="220"/>
        <v>-14</v>
      </c>
      <c r="M285" s="56">
        <v>45829</v>
      </c>
      <c r="N285" s="33" t="s">
        <v>39</v>
      </c>
      <c r="O285" s="16"/>
      <c r="P285" s="29"/>
      <c r="Q285" s="17"/>
      <c r="R285" s="32">
        <v>3</v>
      </c>
      <c r="S285" s="9">
        <f t="shared" si="243"/>
        <v>3</v>
      </c>
      <c r="T285" s="16"/>
      <c r="U285" s="29"/>
      <c r="V285" s="17">
        <v>3</v>
      </c>
      <c r="W285" s="32"/>
      <c r="X285" s="9">
        <f t="shared" si="244"/>
        <v>3</v>
      </c>
      <c r="Y285" s="104">
        <f t="shared" si="233"/>
        <v>6</v>
      </c>
      <c r="Z285" s="56">
        <v>45841</v>
      </c>
      <c r="AA285" s="35"/>
      <c r="AB285" s="35"/>
    </row>
    <row r="286" spans="1:28" x14ac:dyDescent="0.15">
      <c r="A286" s="47" t="s">
        <v>51</v>
      </c>
      <c r="B286" s="16"/>
      <c r="C286" s="29">
        <v>1</v>
      </c>
      <c r="D286" s="17"/>
      <c r="E286" s="20"/>
      <c r="F286" s="45">
        <f t="shared" si="241"/>
        <v>1</v>
      </c>
      <c r="G286" s="16"/>
      <c r="H286" s="29"/>
      <c r="I286" s="17"/>
      <c r="J286" s="20"/>
      <c r="K286" s="45">
        <f t="shared" si="242"/>
        <v>0</v>
      </c>
      <c r="L286" s="104">
        <f t="shared" si="220"/>
        <v>1</v>
      </c>
      <c r="M286" s="56">
        <v>45829</v>
      </c>
      <c r="N286" s="11" t="s">
        <v>492</v>
      </c>
      <c r="O286" s="16">
        <v>2</v>
      </c>
      <c r="P286" s="29">
        <v>2</v>
      </c>
      <c r="Q286" s="17"/>
      <c r="R286" s="32">
        <v>2</v>
      </c>
      <c r="S286" s="9">
        <f t="shared" si="243"/>
        <v>6</v>
      </c>
      <c r="T286" s="16"/>
      <c r="U286" s="29"/>
      <c r="V286" s="17"/>
      <c r="W286" s="32"/>
      <c r="X286" s="9">
        <f t="shared" si="244"/>
        <v>0</v>
      </c>
      <c r="Y286" s="104">
        <f t="shared" si="233"/>
        <v>6</v>
      </c>
      <c r="Z286" s="56">
        <v>45842</v>
      </c>
      <c r="AA286" s="35"/>
    </row>
    <row r="287" spans="1:28" x14ac:dyDescent="0.15">
      <c r="A287" s="33" t="s">
        <v>466</v>
      </c>
      <c r="B287" s="16"/>
      <c r="C287" s="29"/>
      <c r="D287" s="17"/>
      <c r="E287" s="20"/>
      <c r="F287" s="45">
        <f t="shared" si="241"/>
        <v>0</v>
      </c>
      <c r="G287" s="16"/>
      <c r="H287" s="29"/>
      <c r="I287" s="17"/>
      <c r="J287" s="20">
        <v>1</v>
      </c>
      <c r="K287" s="45">
        <f t="shared" si="242"/>
        <v>1</v>
      </c>
      <c r="L287" s="104">
        <f t="shared" si="220"/>
        <v>1</v>
      </c>
      <c r="M287" s="56">
        <v>45834</v>
      </c>
      <c r="N287" s="11" t="s">
        <v>493</v>
      </c>
      <c r="O287" s="16"/>
      <c r="P287" s="29">
        <v>10</v>
      </c>
      <c r="Q287" s="17"/>
      <c r="R287" s="32">
        <v>5</v>
      </c>
      <c r="S287" s="9">
        <f t="shared" si="243"/>
        <v>15</v>
      </c>
      <c r="T287" s="16"/>
      <c r="U287" s="29"/>
      <c r="V287" s="17"/>
      <c r="W287" s="32"/>
      <c r="X287" s="9">
        <f t="shared" si="244"/>
        <v>0</v>
      </c>
      <c r="Y287" s="104">
        <f t="shared" si="233"/>
        <v>15</v>
      </c>
      <c r="Z287" s="56">
        <v>45845</v>
      </c>
    </row>
    <row r="288" spans="1:28" x14ac:dyDescent="0.15">
      <c r="A288" s="47" t="s">
        <v>468</v>
      </c>
      <c r="B288" s="16">
        <v>-2</v>
      </c>
      <c r="C288" s="29"/>
      <c r="D288" s="17"/>
      <c r="E288" s="20"/>
      <c r="F288" s="45">
        <f t="shared" si="241"/>
        <v>-2</v>
      </c>
      <c r="G288" s="16">
        <v>2</v>
      </c>
      <c r="H288" s="29"/>
      <c r="I288" s="17"/>
      <c r="J288" s="20"/>
      <c r="K288" s="45">
        <f t="shared" si="242"/>
        <v>2</v>
      </c>
      <c r="L288" s="104">
        <f t="shared" si="220"/>
        <v>0</v>
      </c>
      <c r="M288" s="56">
        <v>45827</v>
      </c>
      <c r="N288" s="33" t="s">
        <v>39</v>
      </c>
      <c r="O288" s="16"/>
      <c r="P288" s="29">
        <v>3</v>
      </c>
      <c r="Q288" s="17"/>
      <c r="R288" s="32"/>
      <c r="S288" s="9">
        <f>SUM(O288:R288)</f>
        <v>3</v>
      </c>
      <c r="T288" s="16"/>
      <c r="U288" s="29"/>
      <c r="V288" s="17"/>
      <c r="W288" s="32"/>
      <c r="X288" s="9">
        <f>SUM(T288:W288)</f>
        <v>0</v>
      </c>
      <c r="Y288" s="104">
        <f t="shared" si="233"/>
        <v>3</v>
      </c>
      <c r="Z288" s="56">
        <v>45843</v>
      </c>
    </row>
    <row r="289" spans="1:27" x14ac:dyDescent="0.15">
      <c r="A289" s="47" t="s">
        <v>468</v>
      </c>
      <c r="B289" s="16"/>
      <c r="C289" s="29"/>
      <c r="D289" s="17"/>
      <c r="E289" s="20">
        <v>1</v>
      </c>
      <c r="F289" s="45">
        <f t="shared" si="241"/>
        <v>1</v>
      </c>
      <c r="G289" s="16"/>
      <c r="H289" s="29">
        <v>-1</v>
      </c>
      <c r="I289" s="17"/>
      <c r="J289" s="20"/>
      <c r="K289" s="45">
        <f t="shared" si="242"/>
        <v>-1</v>
      </c>
      <c r="L289" s="104">
        <f t="shared" si="220"/>
        <v>0</v>
      </c>
      <c r="M289" s="58">
        <v>45828</v>
      </c>
      <c r="N289" s="11" t="s">
        <v>499</v>
      </c>
      <c r="O289" s="16"/>
      <c r="P289" s="29">
        <v>1</v>
      </c>
      <c r="Q289" s="17"/>
      <c r="R289" s="32">
        <v>1</v>
      </c>
      <c r="S289" s="9">
        <f>SUM(O289:R289)</f>
        <v>2</v>
      </c>
      <c r="T289" s="16"/>
      <c r="U289" s="29"/>
      <c r="V289" s="17"/>
      <c r="W289" s="32"/>
      <c r="X289" s="9">
        <f>SUM(T289:W289)</f>
        <v>0</v>
      </c>
      <c r="Y289" s="104">
        <f t="shared" si="233"/>
        <v>2</v>
      </c>
      <c r="Z289" s="56">
        <v>45846</v>
      </c>
    </row>
    <row r="290" spans="1:27" x14ac:dyDescent="0.15">
      <c r="A290" s="47" t="s">
        <v>51</v>
      </c>
      <c r="B290" s="16"/>
      <c r="C290" s="29"/>
      <c r="D290" s="17"/>
      <c r="E290" s="20"/>
      <c r="F290" s="45">
        <f t="shared" si="241"/>
        <v>0</v>
      </c>
      <c r="G290" s="16"/>
      <c r="H290" s="29"/>
      <c r="I290" s="17"/>
      <c r="J290" s="20">
        <v>1</v>
      </c>
      <c r="K290" s="45">
        <f t="shared" si="242"/>
        <v>1</v>
      </c>
      <c r="L290" s="104">
        <f t="shared" si="220"/>
        <v>1</v>
      </c>
      <c r="M290" s="56">
        <v>45832</v>
      </c>
      <c r="N290" s="33" t="s">
        <v>501</v>
      </c>
      <c r="O290" s="16"/>
      <c r="P290" s="29"/>
      <c r="Q290" s="17">
        <v>4</v>
      </c>
      <c r="R290" s="32">
        <v>4</v>
      </c>
      <c r="S290" s="9">
        <f t="shared" ref="S290:S291" si="245">SUM(O290:R290)</f>
        <v>8</v>
      </c>
      <c r="T290" s="16"/>
      <c r="U290" s="29"/>
      <c r="V290" s="17"/>
      <c r="W290" s="32"/>
      <c r="X290" s="9">
        <f t="shared" ref="X290:X291" si="246">SUM(T290:W290)</f>
        <v>0</v>
      </c>
      <c r="Y290" s="104">
        <f t="shared" si="233"/>
        <v>8</v>
      </c>
      <c r="Z290" s="56">
        <v>45854</v>
      </c>
    </row>
    <row r="291" spans="1:27" x14ac:dyDescent="0.15">
      <c r="A291" s="33" t="s">
        <v>473</v>
      </c>
      <c r="B291" s="16"/>
      <c r="C291" s="29">
        <v>1</v>
      </c>
      <c r="D291" s="17"/>
      <c r="E291" s="20"/>
      <c r="F291" s="45">
        <f t="shared" ref="F291" si="247">SUM(B291:E291)</f>
        <v>1</v>
      </c>
      <c r="G291" s="16">
        <v>1</v>
      </c>
      <c r="H291" s="29"/>
      <c r="I291" s="17"/>
      <c r="J291" s="20"/>
      <c r="K291" s="45">
        <f t="shared" ref="K291" si="248">SUM(G291:J291)</f>
        <v>1</v>
      </c>
      <c r="L291" s="104">
        <f t="shared" ref="L291" si="249">F291+K291</f>
        <v>2</v>
      </c>
      <c r="M291" s="56">
        <v>45838</v>
      </c>
      <c r="N291" s="11" t="s">
        <v>502</v>
      </c>
      <c r="O291" s="16"/>
      <c r="P291" s="29"/>
      <c r="Q291" s="17"/>
      <c r="R291" s="32">
        <v>1</v>
      </c>
      <c r="S291" s="9">
        <f t="shared" si="245"/>
        <v>1</v>
      </c>
      <c r="T291" s="16"/>
      <c r="U291" s="29"/>
      <c r="V291" s="17"/>
      <c r="W291" s="32"/>
      <c r="X291" s="9">
        <f t="shared" si="246"/>
        <v>0</v>
      </c>
      <c r="Y291" s="104">
        <f t="shared" si="233"/>
        <v>1</v>
      </c>
      <c r="Z291" s="56">
        <v>45848</v>
      </c>
      <c r="AA291" s="35"/>
    </row>
    <row r="292" spans="1:27" x14ac:dyDescent="0.15">
      <c r="A292" s="47" t="s">
        <v>51</v>
      </c>
      <c r="B292" s="16"/>
      <c r="C292" s="29"/>
      <c r="D292" s="17"/>
      <c r="E292" s="20">
        <v>1</v>
      </c>
      <c r="F292" s="45">
        <f t="shared" si="241"/>
        <v>1</v>
      </c>
      <c r="G292" s="16"/>
      <c r="H292" s="29"/>
      <c r="I292" s="17">
        <v>1</v>
      </c>
      <c r="J292" s="20"/>
      <c r="K292" s="45">
        <f t="shared" si="242"/>
        <v>1</v>
      </c>
      <c r="L292" s="104">
        <f t="shared" si="220"/>
        <v>2</v>
      </c>
      <c r="M292" s="56">
        <v>45835</v>
      </c>
      <c r="N292" s="11" t="s">
        <v>503</v>
      </c>
      <c r="O292" s="16">
        <v>1</v>
      </c>
      <c r="P292" s="29"/>
      <c r="Q292" s="17">
        <v>1</v>
      </c>
      <c r="R292" s="32">
        <v>1</v>
      </c>
      <c r="S292" s="9">
        <f t="shared" ref="S292" si="250">SUM(O292:R292)</f>
        <v>3</v>
      </c>
      <c r="T292" s="16"/>
      <c r="U292" s="29"/>
      <c r="V292" s="17"/>
      <c r="W292" s="32"/>
      <c r="X292" s="9">
        <f t="shared" ref="X292" si="251">SUM(T292:W292)</f>
        <v>0</v>
      </c>
      <c r="Y292" s="104">
        <f t="shared" ref="Y292" si="252">S292+X292</f>
        <v>3</v>
      </c>
      <c r="Z292" s="56">
        <v>45849</v>
      </c>
      <c r="AA292" s="35"/>
    </row>
    <row r="293" spans="1:27" x14ac:dyDescent="0.15">
      <c r="A293" s="47" t="s">
        <v>51</v>
      </c>
      <c r="B293" s="16"/>
      <c r="C293" s="29"/>
      <c r="D293" s="17"/>
      <c r="E293" s="20"/>
      <c r="F293" s="45">
        <f t="shared" si="241"/>
        <v>0</v>
      </c>
      <c r="G293" s="16"/>
      <c r="H293" s="29">
        <v>1</v>
      </c>
      <c r="I293" s="17">
        <v>1</v>
      </c>
      <c r="J293" s="20">
        <v>1</v>
      </c>
      <c r="K293" s="45">
        <f t="shared" si="242"/>
        <v>3</v>
      </c>
      <c r="L293" s="104">
        <f t="shared" si="220"/>
        <v>3</v>
      </c>
      <c r="M293" s="56">
        <v>45838</v>
      </c>
      <c r="N293" s="11" t="s">
        <v>505</v>
      </c>
      <c r="O293" s="16">
        <v>2</v>
      </c>
      <c r="P293" s="29">
        <v>2</v>
      </c>
      <c r="Q293" s="17">
        <v>2</v>
      </c>
      <c r="R293" s="32">
        <v>2</v>
      </c>
      <c r="S293" s="9">
        <f t="shared" ref="S293" si="253">SUM(O293:R293)</f>
        <v>8</v>
      </c>
      <c r="T293" s="16">
        <v>2</v>
      </c>
      <c r="U293" s="29">
        <v>2</v>
      </c>
      <c r="V293" s="17">
        <v>2</v>
      </c>
      <c r="W293" s="32">
        <v>2</v>
      </c>
      <c r="X293" s="9">
        <f t="shared" ref="X293" si="254">SUM(T293:W293)</f>
        <v>8</v>
      </c>
      <c r="Y293" s="104">
        <f t="shared" ref="Y293" si="255">S293+X293</f>
        <v>16</v>
      </c>
      <c r="Z293" s="56">
        <v>45848</v>
      </c>
      <c r="AA293" s="35"/>
    </row>
    <row r="294" spans="1:27" x14ac:dyDescent="0.15">
      <c r="A294" s="33" t="s">
        <v>476</v>
      </c>
      <c r="B294" s="16"/>
      <c r="C294" s="29"/>
      <c r="D294" s="17"/>
      <c r="E294" s="20">
        <v>1</v>
      </c>
      <c r="F294" s="45">
        <f t="shared" si="241"/>
        <v>1</v>
      </c>
      <c r="G294" s="16"/>
      <c r="H294" s="29"/>
      <c r="I294" s="17"/>
      <c r="J294" s="20">
        <v>1</v>
      </c>
      <c r="K294" s="45">
        <f t="shared" si="242"/>
        <v>1</v>
      </c>
      <c r="L294" s="104">
        <f t="shared" si="220"/>
        <v>2</v>
      </c>
      <c r="M294" s="56">
        <v>45841</v>
      </c>
      <c r="N294" s="11" t="s">
        <v>507</v>
      </c>
      <c r="O294" s="16"/>
      <c r="P294" s="29">
        <v>3</v>
      </c>
      <c r="Q294" s="17">
        <v>2</v>
      </c>
      <c r="R294" s="32">
        <v>1</v>
      </c>
      <c r="S294" s="9">
        <f t="shared" ref="S294:S301" si="256">SUM(O294:R294)</f>
        <v>6</v>
      </c>
      <c r="T294" s="16"/>
      <c r="U294" s="29"/>
      <c r="V294" s="17"/>
      <c r="W294" s="32"/>
      <c r="X294" s="9">
        <f t="shared" ref="X294:X301" si="257">SUM(T294:W294)</f>
        <v>0</v>
      </c>
      <c r="Y294" s="104">
        <f t="shared" si="233"/>
        <v>6</v>
      </c>
      <c r="Z294" s="56">
        <v>45849</v>
      </c>
      <c r="AA294" s="35" t="s">
        <v>407</v>
      </c>
    </row>
    <row r="295" spans="1:27" x14ac:dyDescent="0.15">
      <c r="A295" s="47" t="s">
        <v>51</v>
      </c>
      <c r="B295" s="16"/>
      <c r="C295" s="29"/>
      <c r="D295" s="17"/>
      <c r="E295" s="20"/>
      <c r="F295" s="45">
        <f t="shared" si="241"/>
        <v>0</v>
      </c>
      <c r="G295" s="16"/>
      <c r="H295" s="29"/>
      <c r="I295" s="17"/>
      <c r="J295" s="20">
        <v>1</v>
      </c>
      <c r="K295" s="45">
        <f t="shared" si="242"/>
        <v>1</v>
      </c>
      <c r="L295" s="104">
        <f t="shared" si="220"/>
        <v>1</v>
      </c>
      <c r="M295" s="56">
        <v>45839</v>
      </c>
      <c r="N295" s="11" t="s">
        <v>521</v>
      </c>
      <c r="O295" s="16"/>
      <c r="P295" s="29"/>
      <c r="Q295" s="17"/>
      <c r="R295" s="32">
        <v>2</v>
      </c>
      <c r="S295" s="9">
        <f t="shared" ref="S295" si="258">SUM(O295:R295)</f>
        <v>2</v>
      </c>
      <c r="T295" s="16"/>
      <c r="U295" s="29"/>
      <c r="V295" s="17"/>
      <c r="W295" s="32"/>
      <c r="X295" s="9">
        <f t="shared" ref="X295" si="259">SUM(T295:W295)</f>
        <v>0</v>
      </c>
      <c r="Y295" s="104">
        <f t="shared" ref="Y295" si="260">S295+X295</f>
        <v>2</v>
      </c>
      <c r="Z295" s="56">
        <v>45854</v>
      </c>
    </row>
    <row r="296" spans="1:27" x14ac:dyDescent="0.15">
      <c r="A296" s="47" t="s">
        <v>481</v>
      </c>
      <c r="B296" s="16"/>
      <c r="C296" s="29"/>
      <c r="D296" s="17"/>
      <c r="E296" s="20">
        <v>-3</v>
      </c>
      <c r="F296" s="45">
        <f t="shared" si="241"/>
        <v>-3</v>
      </c>
      <c r="G296" s="16">
        <v>-3</v>
      </c>
      <c r="H296" s="29"/>
      <c r="I296" s="17"/>
      <c r="J296" s="20">
        <v>-5</v>
      </c>
      <c r="K296" s="45">
        <f t="shared" si="242"/>
        <v>-8</v>
      </c>
      <c r="L296" s="104">
        <f t="shared" si="220"/>
        <v>-11</v>
      </c>
      <c r="M296" s="56">
        <v>45840</v>
      </c>
      <c r="N296" s="11" t="s">
        <v>522</v>
      </c>
      <c r="O296" s="41"/>
      <c r="P296" s="42"/>
      <c r="Q296" s="43"/>
      <c r="R296" s="59">
        <v>1</v>
      </c>
      <c r="S296" s="61">
        <f t="shared" ref="S296" si="261">SUM(O296:R296)</f>
        <v>1</v>
      </c>
      <c r="T296" s="41"/>
      <c r="U296" s="42">
        <v>3</v>
      </c>
      <c r="V296" s="43"/>
      <c r="W296" s="59"/>
      <c r="X296" s="61">
        <f t="shared" ref="X296" si="262">SUM(T296:W296)</f>
        <v>3</v>
      </c>
      <c r="Y296" s="104">
        <f t="shared" ref="Y296" si="263">S296+X296</f>
        <v>4</v>
      </c>
      <c r="Z296" s="56">
        <v>45854</v>
      </c>
    </row>
    <row r="297" spans="1:27" x14ac:dyDescent="0.15">
      <c r="A297" s="11" t="s">
        <v>484</v>
      </c>
      <c r="B297" s="16"/>
      <c r="C297" s="29"/>
      <c r="D297" s="17"/>
      <c r="E297" s="32">
        <v>3</v>
      </c>
      <c r="F297" s="9">
        <f t="shared" si="241"/>
        <v>3</v>
      </c>
      <c r="G297" s="16"/>
      <c r="H297" s="29"/>
      <c r="I297" s="17"/>
      <c r="J297" s="32"/>
      <c r="K297" s="9">
        <f t="shared" si="242"/>
        <v>0</v>
      </c>
      <c r="L297" s="104">
        <f t="shared" si="220"/>
        <v>3</v>
      </c>
      <c r="M297" s="56">
        <v>45841</v>
      </c>
      <c r="N297" s="11" t="s">
        <v>311</v>
      </c>
      <c r="O297" s="41"/>
      <c r="P297" s="42"/>
      <c r="Q297" s="43"/>
      <c r="R297" s="59"/>
      <c r="S297" s="61">
        <f t="shared" ref="S297:S298" si="264">SUM(O297:R297)</f>
        <v>0</v>
      </c>
      <c r="T297" s="41"/>
      <c r="U297" s="42"/>
      <c r="V297" s="43"/>
      <c r="W297" s="59"/>
      <c r="X297" s="61">
        <f t="shared" ref="X297:X298" si="265">SUM(T297:W297)</f>
        <v>0</v>
      </c>
      <c r="Y297" s="104">
        <f t="shared" ref="Y297:Y298" si="266">S297+X297</f>
        <v>0</v>
      </c>
      <c r="Z297" s="157" t="s">
        <v>241</v>
      </c>
    </row>
    <row r="298" spans="1:27" x14ac:dyDescent="0.15">
      <c r="A298" s="11" t="s">
        <v>485</v>
      </c>
      <c r="B298" s="16"/>
      <c r="C298" s="29"/>
      <c r="D298" s="17"/>
      <c r="E298" s="20"/>
      <c r="F298" s="45">
        <f t="shared" si="241"/>
        <v>0</v>
      </c>
      <c r="G298" s="16"/>
      <c r="H298" s="29"/>
      <c r="I298" s="17">
        <v>2</v>
      </c>
      <c r="J298" s="20"/>
      <c r="K298" s="45">
        <f t="shared" si="242"/>
        <v>2</v>
      </c>
      <c r="L298" s="104">
        <f t="shared" si="220"/>
        <v>2</v>
      </c>
      <c r="M298" s="56">
        <v>45841</v>
      </c>
      <c r="N298" s="11" t="s">
        <v>282</v>
      </c>
      <c r="O298" s="16"/>
      <c r="P298" s="17"/>
      <c r="Q298" s="29"/>
      <c r="R298" s="60"/>
      <c r="S298" s="9">
        <f t="shared" si="264"/>
        <v>0</v>
      </c>
      <c r="T298" s="16"/>
      <c r="U298" s="17"/>
      <c r="V298" s="29"/>
      <c r="W298" s="60"/>
      <c r="X298" s="9">
        <f t="shared" si="265"/>
        <v>0</v>
      </c>
      <c r="Y298" s="104">
        <f t="shared" si="266"/>
        <v>0</v>
      </c>
      <c r="Z298" s="157" t="s">
        <v>279</v>
      </c>
    </row>
    <row r="299" spans="1:27" x14ac:dyDescent="0.15">
      <c r="A299" s="47" t="s">
        <v>51</v>
      </c>
      <c r="B299" s="16"/>
      <c r="C299" s="29">
        <v>1</v>
      </c>
      <c r="D299" s="17"/>
      <c r="E299" s="20"/>
      <c r="F299" s="45">
        <f t="shared" si="241"/>
        <v>1</v>
      </c>
      <c r="G299" s="16"/>
      <c r="H299" s="29"/>
      <c r="I299" s="17"/>
      <c r="J299" s="20"/>
      <c r="K299" s="45">
        <f t="shared" si="242"/>
        <v>0</v>
      </c>
      <c r="L299" s="104">
        <f t="shared" si="220"/>
        <v>1</v>
      </c>
      <c r="M299" s="56">
        <v>45840</v>
      </c>
      <c r="N299" s="72" t="s">
        <v>248</v>
      </c>
      <c r="O299" s="171"/>
      <c r="P299" s="172"/>
      <c r="Q299" s="173"/>
      <c r="R299" s="174"/>
      <c r="S299" s="175">
        <f t="shared" si="256"/>
        <v>0</v>
      </c>
      <c r="T299" s="216"/>
      <c r="U299" s="217"/>
      <c r="V299" s="218"/>
      <c r="W299" s="219"/>
      <c r="X299" s="175">
        <f t="shared" si="257"/>
        <v>0</v>
      </c>
      <c r="Y299" s="169">
        <f t="shared" si="233"/>
        <v>0</v>
      </c>
      <c r="Z299" s="157"/>
    </row>
    <row r="300" spans="1:27" ht="14.25" thickBot="1" x14ac:dyDescent="0.2">
      <c r="A300" s="47" t="s">
        <v>487</v>
      </c>
      <c r="B300" s="37"/>
      <c r="C300" s="38"/>
      <c r="D300" s="39"/>
      <c r="E300" s="40">
        <v>-3</v>
      </c>
      <c r="F300" s="45">
        <f t="shared" si="241"/>
        <v>-3</v>
      </c>
      <c r="G300" s="37"/>
      <c r="H300" s="38"/>
      <c r="I300" s="39">
        <v>-3</v>
      </c>
      <c r="J300" s="40"/>
      <c r="K300" s="45">
        <f t="shared" si="242"/>
        <v>-3</v>
      </c>
      <c r="L300" s="104">
        <f t="shared" si="220"/>
        <v>-6</v>
      </c>
      <c r="M300" s="56">
        <v>45841</v>
      </c>
      <c r="N300" s="128" t="s">
        <v>240</v>
      </c>
      <c r="O300" s="37"/>
      <c r="P300" s="38"/>
      <c r="Q300" s="39"/>
      <c r="R300" s="154"/>
      <c r="S300" s="10">
        <f t="shared" si="256"/>
        <v>0</v>
      </c>
      <c r="T300" s="220"/>
      <c r="U300" s="221"/>
      <c r="V300" s="222"/>
      <c r="W300" s="223"/>
      <c r="X300" s="10">
        <f t="shared" si="257"/>
        <v>0</v>
      </c>
      <c r="Y300" s="101">
        <f t="shared" si="233"/>
        <v>0</v>
      </c>
      <c r="Z300" s="157" t="s">
        <v>241</v>
      </c>
    </row>
    <row r="301" spans="1:27" ht="14.25" thickBot="1" x14ac:dyDescent="0.2">
      <c r="A301" s="13" t="s">
        <v>8</v>
      </c>
      <c r="B301" s="22">
        <f>SUM(B276:B300)</f>
        <v>-2</v>
      </c>
      <c r="C301" s="30">
        <f>SUM(C276:C300)</f>
        <v>3</v>
      </c>
      <c r="D301" s="23">
        <f>SUM(D276:D300)</f>
        <v>0</v>
      </c>
      <c r="E301" s="24">
        <f>SUM(E276:E300)</f>
        <v>1</v>
      </c>
      <c r="F301" s="21">
        <f>SUM(B301:E301)</f>
        <v>2</v>
      </c>
      <c r="G301" s="22">
        <f>SUM(G276:G300)</f>
        <v>1</v>
      </c>
      <c r="H301" s="30">
        <f>SUM(H276:H300)</f>
        <v>4</v>
      </c>
      <c r="I301" s="23">
        <f>SUM(I276:I300)</f>
        <v>1</v>
      </c>
      <c r="J301" s="24">
        <f>SUM(J276:J300)</f>
        <v>-2</v>
      </c>
      <c r="K301" s="21">
        <f>SUM(G301:J301)</f>
        <v>4</v>
      </c>
      <c r="L301" s="105">
        <f t="shared" si="220"/>
        <v>6</v>
      </c>
      <c r="N301" s="49" t="s">
        <v>8</v>
      </c>
      <c r="O301" s="22">
        <f>SUM(O276:O300)</f>
        <v>24</v>
      </c>
      <c r="P301" s="30">
        <f>SUM(P276:P300)</f>
        <v>52</v>
      </c>
      <c r="Q301" s="23">
        <f>SUM(Q276:Q300)</f>
        <v>38</v>
      </c>
      <c r="R301" s="24">
        <f>SUM(R276:R300)</f>
        <v>57</v>
      </c>
      <c r="S301" s="48">
        <f t="shared" si="256"/>
        <v>171</v>
      </c>
      <c r="T301" s="22">
        <f>SUM(T276:T300)</f>
        <v>5</v>
      </c>
      <c r="U301" s="30">
        <f>SUM(U276:U300)</f>
        <v>8</v>
      </c>
      <c r="V301" s="23">
        <f>SUM(V276:V300)</f>
        <v>10</v>
      </c>
      <c r="W301" s="24">
        <f>SUM(W276:W300)</f>
        <v>12</v>
      </c>
      <c r="X301" s="48">
        <f t="shared" si="257"/>
        <v>35</v>
      </c>
      <c r="Y301" s="122">
        <f t="shared" si="233"/>
        <v>206</v>
      </c>
    </row>
    <row r="302" spans="1:27" ht="14.25" thickBot="1" x14ac:dyDescent="0.2">
      <c r="A302" s="14" t="s">
        <v>9</v>
      </c>
      <c r="B302" s="25">
        <f t="shared" ref="B302:K302" si="267">B275-B301</f>
        <v>10</v>
      </c>
      <c r="C302" s="31">
        <f t="shared" si="267"/>
        <v>5</v>
      </c>
      <c r="D302" s="26">
        <f t="shared" si="267"/>
        <v>5</v>
      </c>
      <c r="E302" s="27">
        <f t="shared" si="267"/>
        <v>5</v>
      </c>
      <c r="F302" s="83">
        <f t="shared" si="267"/>
        <v>25</v>
      </c>
      <c r="G302" s="25">
        <f t="shared" si="267"/>
        <v>6</v>
      </c>
      <c r="H302" s="31">
        <f t="shared" si="267"/>
        <v>6</v>
      </c>
      <c r="I302" s="26">
        <f t="shared" si="267"/>
        <v>5</v>
      </c>
      <c r="J302" s="27">
        <f t="shared" si="267"/>
        <v>6</v>
      </c>
      <c r="K302" s="83">
        <f t="shared" si="267"/>
        <v>23</v>
      </c>
      <c r="L302" s="102">
        <f t="shared" si="220"/>
        <v>48</v>
      </c>
      <c r="N302" s="13" t="s">
        <v>9</v>
      </c>
      <c r="O302" s="25">
        <f t="shared" ref="O302:X302" si="268">O275-O301</f>
        <v>90</v>
      </c>
      <c r="P302" s="31">
        <f t="shared" si="268"/>
        <v>83</v>
      </c>
      <c r="Q302" s="26">
        <f t="shared" si="268"/>
        <v>129</v>
      </c>
      <c r="R302" s="27">
        <f t="shared" si="268"/>
        <v>65</v>
      </c>
      <c r="S302" s="36">
        <f t="shared" si="268"/>
        <v>367</v>
      </c>
      <c r="T302" s="25">
        <f t="shared" si="268"/>
        <v>56</v>
      </c>
      <c r="U302" s="31">
        <f t="shared" si="268"/>
        <v>111</v>
      </c>
      <c r="V302" s="26">
        <f t="shared" si="268"/>
        <v>83</v>
      </c>
      <c r="W302" s="27">
        <f t="shared" si="268"/>
        <v>62</v>
      </c>
      <c r="X302" s="36">
        <f t="shared" si="268"/>
        <v>312</v>
      </c>
      <c r="Y302" s="102">
        <f t="shared" si="233"/>
        <v>679</v>
      </c>
    </row>
    <row r="305" spans="1:28" ht="19.5" thickBot="1" x14ac:dyDescent="0.25">
      <c r="A305" s="2" t="s">
        <v>18</v>
      </c>
      <c r="B305" s="2"/>
      <c r="C305" s="1"/>
      <c r="D305" s="1"/>
      <c r="E305" s="1"/>
      <c r="F305" s="84"/>
      <c r="G305" s="2"/>
      <c r="H305" s="1" t="s">
        <v>157</v>
      </c>
      <c r="I305" s="1"/>
      <c r="J305" s="1"/>
      <c r="K305" s="84" t="s">
        <v>13</v>
      </c>
      <c r="L305" s="84"/>
      <c r="N305" s="2" t="s">
        <v>19</v>
      </c>
      <c r="O305" s="71"/>
      <c r="P305" s="71"/>
      <c r="Q305" s="71"/>
      <c r="R305" s="71"/>
      <c r="S305" s="84"/>
      <c r="T305" s="1" t="s">
        <v>157</v>
      </c>
      <c r="U305" s="71"/>
      <c r="V305" s="71"/>
      <c r="W305" s="71"/>
      <c r="X305" s="84" t="s">
        <v>13</v>
      </c>
    </row>
    <row r="306" spans="1:28" ht="14.25" thickBot="1" x14ac:dyDescent="0.2">
      <c r="A306" s="5" t="s">
        <v>0</v>
      </c>
      <c r="B306" s="322" t="s">
        <v>32</v>
      </c>
      <c r="C306" s="323"/>
      <c r="D306" s="323"/>
      <c r="E306" s="323"/>
      <c r="F306" s="324"/>
      <c r="G306" s="325" t="s">
        <v>31</v>
      </c>
      <c r="H306" s="326"/>
      <c r="I306" s="326"/>
      <c r="J306" s="326"/>
      <c r="K306" s="327"/>
      <c r="L306" s="320" t="s">
        <v>30</v>
      </c>
      <c r="N306" s="5" t="s">
        <v>0</v>
      </c>
      <c r="O306" s="322" t="s">
        <v>200</v>
      </c>
      <c r="P306" s="323"/>
      <c r="Q306" s="323"/>
      <c r="R306" s="323"/>
      <c r="S306" s="324"/>
      <c r="T306" s="325" t="s">
        <v>201</v>
      </c>
      <c r="U306" s="326"/>
      <c r="V306" s="326"/>
      <c r="W306" s="326"/>
      <c r="X306" s="327"/>
      <c r="Y306" s="320" t="s">
        <v>30</v>
      </c>
    </row>
    <row r="307" spans="1:28" ht="14.25" thickBot="1" x14ac:dyDescent="0.2">
      <c r="A307" s="5" t="s">
        <v>1</v>
      </c>
      <c r="B307" s="3" t="s">
        <v>22</v>
      </c>
      <c r="C307" s="28" t="s">
        <v>23</v>
      </c>
      <c r="D307" s="4" t="s">
        <v>24</v>
      </c>
      <c r="E307" s="15" t="s">
        <v>25</v>
      </c>
      <c r="F307" s="19" t="s">
        <v>2</v>
      </c>
      <c r="G307" s="3" t="s">
        <v>22</v>
      </c>
      <c r="H307" s="28" t="s">
        <v>23</v>
      </c>
      <c r="I307" s="4" t="s">
        <v>24</v>
      </c>
      <c r="J307" s="15" t="s">
        <v>25</v>
      </c>
      <c r="K307" s="19" t="s">
        <v>2</v>
      </c>
      <c r="L307" s="321"/>
      <c r="N307" s="5" t="s">
        <v>1</v>
      </c>
      <c r="O307" s="3" t="s">
        <v>22</v>
      </c>
      <c r="P307" s="28" t="s">
        <v>23</v>
      </c>
      <c r="Q307" s="4" t="s">
        <v>24</v>
      </c>
      <c r="R307" s="15" t="s">
        <v>25</v>
      </c>
      <c r="S307" s="19" t="s">
        <v>2</v>
      </c>
      <c r="T307" s="3" t="s">
        <v>22</v>
      </c>
      <c r="U307" s="28" t="s">
        <v>23</v>
      </c>
      <c r="V307" s="4" t="s">
        <v>24</v>
      </c>
      <c r="W307" s="15" t="s">
        <v>25</v>
      </c>
      <c r="X307" s="19" t="s">
        <v>2</v>
      </c>
      <c r="Y307" s="321"/>
    </row>
    <row r="308" spans="1:28" x14ac:dyDescent="0.15">
      <c r="A308" s="78" t="s">
        <v>10</v>
      </c>
      <c r="B308" s="79">
        <f>B302</f>
        <v>10</v>
      </c>
      <c r="C308" s="80">
        <f>C302</f>
        <v>5</v>
      </c>
      <c r="D308" s="80">
        <f>D302</f>
        <v>5</v>
      </c>
      <c r="E308" s="81">
        <f>E302</f>
        <v>5</v>
      </c>
      <c r="F308" s="82">
        <f>SUM(B308:E308)</f>
        <v>25</v>
      </c>
      <c r="G308" s="79">
        <f>G302</f>
        <v>6</v>
      </c>
      <c r="H308" s="80">
        <f>H302</f>
        <v>6</v>
      </c>
      <c r="I308" s="80">
        <f>I302</f>
        <v>5</v>
      </c>
      <c r="J308" s="81">
        <f>J302</f>
        <v>6</v>
      </c>
      <c r="K308" s="82">
        <f>SUM(G308:J308)</f>
        <v>23</v>
      </c>
      <c r="L308" s="98">
        <f>F308+K308</f>
        <v>48</v>
      </c>
      <c r="N308" s="78" t="s">
        <v>10</v>
      </c>
      <c r="O308" s="79">
        <f>O302</f>
        <v>90</v>
      </c>
      <c r="P308" s="80">
        <f>P302</f>
        <v>83</v>
      </c>
      <c r="Q308" s="80">
        <f>Q302</f>
        <v>129</v>
      </c>
      <c r="R308" s="81">
        <f>R302</f>
        <v>65</v>
      </c>
      <c r="S308" s="82">
        <f>SUM(O308:R308)</f>
        <v>367</v>
      </c>
      <c r="T308" s="79">
        <f>T302</f>
        <v>56</v>
      </c>
      <c r="U308" s="80">
        <f>U302</f>
        <v>111</v>
      </c>
      <c r="V308" s="80">
        <f>V302</f>
        <v>83</v>
      </c>
      <c r="W308" s="81">
        <f>W302</f>
        <v>62</v>
      </c>
      <c r="X308" s="82">
        <f>SUM(T308:W308)</f>
        <v>312</v>
      </c>
      <c r="Y308" s="98">
        <f>S308+X308</f>
        <v>679</v>
      </c>
    </row>
    <row r="309" spans="1:28" x14ac:dyDescent="0.15">
      <c r="A309" s="47" t="s">
        <v>3</v>
      </c>
      <c r="B309" s="51"/>
      <c r="C309" s="52">
        <v>3</v>
      </c>
      <c r="D309" s="53"/>
      <c r="E309" s="54"/>
      <c r="F309" s="61">
        <f>SUM(B309:E309)</f>
        <v>3</v>
      </c>
      <c r="G309" s="51"/>
      <c r="H309" s="52"/>
      <c r="I309" s="53"/>
      <c r="J309" s="54"/>
      <c r="K309" s="61">
        <f>SUM(G309:J309)</f>
        <v>0</v>
      </c>
      <c r="L309" s="99">
        <f t="shared" ref="L309:L340" si="269">F309+K309</f>
        <v>3</v>
      </c>
      <c r="M309" s="56">
        <v>45843</v>
      </c>
      <c r="N309" s="12" t="s">
        <v>533</v>
      </c>
      <c r="O309" s="16">
        <v>5</v>
      </c>
      <c r="P309" s="29">
        <v>4</v>
      </c>
      <c r="Q309" s="17">
        <v>4</v>
      </c>
      <c r="R309" s="20">
        <v>4</v>
      </c>
      <c r="S309" s="45">
        <f>SUM(O309:R309)</f>
        <v>17</v>
      </c>
      <c r="T309" s="16"/>
      <c r="U309" s="29"/>
      <c r="V309" s="17"/>
      <c r="W309" s="20"/>
      <c r="X309" s="45">
        <f>SUM(T309:W309)</f>
        <v>0</v>
      </c>
      <c r="Y309" s="100">
        <f t="shared" ref="Y309" si="270">S309+X309</f>
        <v>17</v>
      </c>
      <c r="Z309" s="56">
        <v>45854</v>
      </c>
    </row>
    <row r="310" spans="1:28" x14ac:dyDescent="0.15">
      <c r="A310" s="47" t="s">
        <v>4</v>
      </c>
      <c r="B310" s="6"/>
      <c r="C310" s="18">
        <v>5</v>
      </c>
      <c r="D310" s="7">
        <v>5</v>
      </c>
      <c r="E310" s="8">
        <v>5</v>
      </c>
      <c r="F310" s="9">
        <f>SUM(B310:E310)</f>
        <v>15</v>
      </c>
      <c r="G310" s="6"/>
      <c r="H310" s="18"/>
      <c r="I310" s="7"/>
      <c r="J310" s="8"/>
      <c r="K310" s="9">
        <f>SUM(G310:J310)</f>
        <v>0</v>
      </c>
      <c r="L310" s="100">
        <f t="shared" ref="L310:L312" si="271">F310+K310</f>
        <v>15</v>
      </c>
      <c r="M310" s="56">
        <v>45853</v>
      </c>
      <c r="N310" s="12" t="s">
        <v>71</v>
      </c>
      <c r="O310" s="16">
        <v>0</v>
      </c>
      <c r="P310" s="29">
        <v>20</v>
      </c>
      <c r="Q310" s="17">
        <v>10</v>
      </c>
      <c r="R310" s="20">
        <v>30</v>
      </c>
      <c r="S310" s="45">
        <f t="shared" ref="S310:S312" si="272">SUM(O310:R310)</f>
        <v>60</v>
      </c>
      <c r="T310" s="16"/>
      <c r="U310" s="29"/>
      <c r="V310" s="17"/>
      <c r="W310" s="20"/>
      <c r="X310" s="45">
        <f t="shared" ref="X310:X312" si="273">SUM(T310:W310)</f>
        <v>0</v>
      </c>
      <c r="Y310" s="100">
        <f t="shared" ref="Y310:Y340" si="274">S310+X310</f>
        <v>60</v>
      </c>
      <c r="Z310" s="56" t="s">
        <v>539</v>
      </c>
    </row>
    <row r="311" spans="1:28" x14ac:dyDescent="0.15">
      <c r="A311" s="12" t="s">
        <v>5</v>
      </c>
      <c r="B311" s="6"/>
      <c r="C311" s="18"/>
      <c r="D311" s="7"/>
      <c r="E311" s="8"/>
      <c r="F311" s="9">
        <f>SUM(B311:E311)</f>
        <v>0</v>
      </c>
      <c r="G311" s="6">
        <v>3</v>
      </c>
      <c r="H311" s="18">
        <v>5</v>
      </c>
      <c r="I311" s="7"/>
      <c r="J311" s="8"/>
      <c r="K311" s="9">
        <f>SUM(G311:J311)</f>
        <v>8</v>
      </c>
      <c r="L311" s="104">
        <f t="shared" si="271"/>
        <v>8</v>
      </c>
      <c r="M311" s="56">
        <v>45854</v>
      </c>
      <c r="N311" s="12" t="s">
        <v>72</v>
      </c>
      <c r="O311" s="16">
        <v>39</v>
      </c>
      <c r="P311" s="29">
        <v>60</v>
      </c>
      <c r="Q311" s="17">
        <v>26</v>
      </c>
      <c r="R311" s="20">
        <v>58</v>
      </c>
      <c r="S311" s="45">
        <f t="shared" si="272"/>
        <v>183</v>
      </c>
      <c r="T311" s="16"/>
      <c r="U311" s="29"/>
      <c r="V311" s="17"/>
      <c r="W311" s="20"/>
      <c r="X311" s="45">
        <f t="shared" si="273"/>
        <v>0</v>
      </c>
      <c r="Y311" s="100">
        <f t="shared" si="274"/>
        <v>183</v>
      </c>
      <c r="Z311" s="56" t="s">
        <v>539</v>
      </c>
    </row>
    <row r="312" spans="1:28" ht="14.25" thickBot="1" x14ac:dyDescent="0.2">
      <c r="A312" s="12" t="s">
        <v>6</v>
      </c>
      <c r="B312" s="6">
        <v>3</v>
      </c>
      <c r="C312" s="18">
        <v>3</v>
      </c>
      <c r="D312" s="7">
        <v>3</v>
      </c>
      <c r="E312" s="8">
        <v>3</v>
      </c>
      <c r="F312" s="10">
        <f>SUM(B312:E312)</f>
        <v>12</v>
      </c>
      <c r="G312" s="6"/>
      <c r="H312" s="18"/>
      <c r="I312" s="7"/>
      <c r="J312" s="8">
        <v>3</v>
      </c>
      <c r="K312" s="10">
        <f>SUM(G312:J312)</f>
        <v>3</v>
      </c>
      <c r="L312" s="101">
        <f t="shared" si="271"/>
        <v>15</v>
      </c>
      <c r="M312" s="56">
        <v>45862</v>
      </c>
      <c r="N312" s="12" t="s">
        <v>5</v>
      </c>
      <c r="O312" s="16">
        <v>1</v>
      </c>
      <c r="P312" s="29">
        <v>1</v>
      </c>
      <c r="Q312" s="17">
        <v>5</v>
      </c>
      <c r="R312" s="20"/>
      <c r="S312" s="45">
        <f t="shared" si="272"/>
        <v>7</v>
      </c>
      <c r="T312" s="16"/>
      <c r="U312" s="29"/>
      <c r="V312" s="17"/>
      <c r="W312" s="20"/>
      <c r="X312" s="45">
        <f t="shared" si="273"/>
        <v>0</v>
      </c>
      <c r="Y312" s="100">
        <f t="shared" si="274"/>
        <v>7</v>
      </c>
      <c r="Z312" s="56" t="s">
        <v>552</v>
      </c>
      <c r="AA312" s="35"/>
    </row>
    <row r="313" spans="1:28" ht="14.25" thickBot="1" x14ac:dyDescent="0.2">
      <c r="A313" s="14" t="s">
        <v>7</v>
      </c>
      <c r="B313" s="62">
        <f t="shared" ref="B313:K313" si="275">SUM(B308:B312)</f>
        <v>13</v>
      </c>
      <c r="C313" s="63">
        <f t="shared" si="275"/>
        <v>16</v>
      </c>
      <c r="D313" s="64">
        <f t="shared" si="275"/>
        <v>13</v>
      </c>
      <c r="E313" s="65">
        <f t="shared" si="275"/>
        <v>13</v>
      </c>
      <c r="F313" s="66">
        <f t="shared" si="275"/>
        <v>55</v>
      </c>
      <c r="G313" s="62">
        <f t="shared" si="275"/>
        <v>9</v>
      </c>
      <c r="H313" s="63">
        <f t="shared" si="275"/>
        <v>11</v>
      </c>
      <c r="I313" s="64">
        <f t="shared" si="275"/>
        <v>5</v>
      </c>
      <c r="J313" s="65">
        <f t="shared" si="275"/>
        <v>9</v>
      </c>
      <c r="K313" s="66">
        <f t="shared" si="275"/>
        <v>34</v>
      </c>
      <c r="L313" s="102">
        <f t="shared" si="269"/>
        <v>89</v>
      </c>
      <c r="N313" s="13" t="s">
        <v>7</v>
      </c>
      <c r="O313" s="25">
        <f t="shared" ref="O313:X313" si="276">SUM(O308:O312)</f>
        <v>135</v>
      </c>
      <c r="P313" s="31">
        <f t="shared" si="276"/>
        <v>168</v>
      </c>
      <c r="Q313" s="26">
        <f t="shared" si="276"/>
        <v>174</v>
      </c>
      <c r="R313" s="67">
        <f t="shared" si="276"/>
        <v>157</v>
      </c>
      <c r="S313" s="68">
        <f t="shared" si="276"/>
        <v>634</v>
      </c>
      <c r="T313" s="25">
        <f t="shared" si="276"/>
        <v>56</v>
      </c>
      <c r="U313" s="31">
        <f t="shared" si="276"/>
        <v>111</v>
      </c>
      <c r="V313" s="26">
        <f t="shared" si="276"/>
        <v>83</v>
      </c>
      <c r="W313" s="67">
        <f t="shared" si="276"/>
        <v>62</v>
      </c>
      <c r="X313" s="68">
        <f t="shared" si="276"/>
        <v>312</v>
      </c>
      <c r="Y313" s="102">
        <f t="shared" si="274"/>
        <v>946</v>
      </c>
    </row>
    <row r="314" spans="1:28" x14ac:dyDescent="0.15">
      <c r="A314" s="47" t="s">
        <v>490</v>
      </c>
      <c r="B314" s="41"/>
      <c r="C314" s="42">
        <v>1</v>
      </c>
      <c r="D314" s="43"/>
      <c r="E314" s="44"/>
      <c r="F314" s="70">
        <f t="shared" ref="F314:F338" si="277">SUM(B314:E314)</f>
        <v>1</v>
      </c>
      <c r="G314" s="41"/>
      <c r="H314" s="42">
        <v>-1</v>
      </c>
      <c r="I314" s="43"/>
      <c r="J314" s="44"/>
      <c r="K314" s="70">
        <f t="shared" ref="K314:K338" si="278">SUM(G314:J314)</f>
        <v>-1</v>
      </c>
      <c r="L314" s="103">
        <f t="shared" si="269"/>
        <v>0</v>
      </c>
      <c r="M314" s="58">
        <v>45840</v>
      </c>
      <c r="N314" s="11" t="s">
        <v>488</v>
      </c>
      <c r="O314" s="16">
        <v>5</v>
      </c>
      <c r="P314" s="29">
        <v>10</v>
      </c>
      <c r="Q314" s="17">
        <v>5</v>
      </c>
      <c r="R314" s="32">
        <v>20</v>
      </c>
      <c r="S314" s="9">
        <f t="shared" ref="S314:S317" si="279">SUM(O314:R314)</f>
        <v>40</v>
      </c>
      <c r="T314" s="16">
        <v>10</v>
      </c>
      <c r="U314" s="29">
        <v>15</v>
      </c>
      <c r="V314" s="17">
        <v>10</v>
      </c>
      <c r="W314" s="32">
        <v>10</v>
      </c>
      <c r="X314" s="9">
        <f t="shared" ref="X314:X317" si="280">SUM(T314:W314)</f>
        <v>45</v>
      </c>
      <c r="Y314" s="103">
        <f t="shared" si="274"/>
        <v>85</v>
      </c>
      <c r="Z314" s="56">
        <v>45860</v>
      </c>
    </row>
    <row r="315" spans="1:28" x14ac:dyDescent="0.15">
      <c r="A315" s="47" t="s">
        <v>529</v>
      </c>
      <c r="B315" s="16"/>
      <c r="C315" s="29"/>
      <c r="D315" s="17"/>
      <c r="E315" s="20"/>
      <c r="F315" s="45">
        <f t="shared" si="277"/>
        <v>0</v>
      </c>
      <c r="G315" s="16"/>
      <c r="H315" s="29"/>
      <c r="I315" s="17">
        <v>-1</v>
      </c>
      <c r="J315" s="20">
        <v>-1</v>
      </c>
      <c r="K315" s="45">
        <f t="shared" si="278"/>
        <v>-2</v>
      </c>
      <c r="L315" s="104">
        <f t="shared" si="269"/>
        <v>-2</v>
      </c>
      <c r="M315" s="58">
        <v>45840</v>
      </c>
      <c r="N315" s="11" t="s">
        <v>518</v>
      </c>
      <c r="O315" s="16"/>
      <c r="P315" s="29">
        <v>5</v>
      </c>
      <c r="Q315" s="17">
        <v>10</v>
      </c>
      <c r="R315" s="32">
        <v>10</v>
      </c>
      <c r="S315" s="9">
        <f t="shared" si="279"/>
        <v>25</v>
      </c>
      <c r="T315" s="16"/>
      <c r="U315" s="29"/>
      <c r="V315" s="17">
        <v>10</v>
      </c>
      <c r="W315" s="32">
        <v>5</v>
      </c>
      <c r="X315" s="9">
        <f t="shared" si="280"/>
        <v>15</v>
      </c>
      <c r="Y315" s="104">
        <f t="shared" si="274"/>
        <v>40</v>
      </c>
      <c r="Z315" s="56">
        <v>45860</v>
      </c>
      <c r="AA315" s="35"/>
    </row>
    <row r="316" spans="1:28" x14ac:dyDescent="0.15">
      <c r="A316" s="47" t="s">
        <v>51</v>
      </c>
      <c r="B316" s="16"/>
      <c r="C316" s="29">
        <v>1</v>
      </c>
      <c r="D316" s="17"/>
      <c r="E316" s="20">
        <v>1</v>
      </c>
      <c r="F316" s="45">
        <f t="shared" ref="F316:F323" si="281">SUM(B316:E316)</f>
        <v>2</v>
      </c>
      <c r="G316" s="16"/>
      <c r="H316" s="29"/>
      <c r="I316" s="17"/>
      <c r="J316" s="20"/>
      <c r="K316" s="45">
        <f t="shared" ref="K316:K323" si="282">SUM(G316:J316)</f>
        <v>0</v>
      </c>
      <c r="L316" s="104">
        <f t="shared" ref="L316:L323" si="283">F316+K316</f>
        <v>2</v>
      </c>
      <c r="M316" s="58">
        <v>45841</v>
      </c>
      <c r="N316" s="33" t="s">
        <v>523</v>
      </c>
      <c r="O316" s="16"/>
      <c r="P316" s="29">
        <v>2</v>
      </c>
      <c r="Q316" s="17">
        <v>3</v>
      </c>
      <c r="R316" s="32"/>
      <c r="S316" s="9">
        <f t="shared" si="279"/>
        <v>5</v>
      </c>
      <c r="T316" s="16"/>
      <c r="U316" s="29"/>
      <c r="V316" s="17"/>
      <c r="W316" s="32"/>
      <c r="X316" s="9">
        <f t="shared" si="280"/>
        <v>0</v>
      </c>
      <c r="Y316" s="104">
        <f t="shared" si="274"/>
        <v>5</v>
      </c>
      <c r="Z316" s="56">
        <v>45862</v>
      </c>
      <c r="AA316" s="35"/>
    </row>
    <row r="317" spans="1:28" x14ac:dyDescent="0.15">
      <c r="A317" s="47" t="s">
        <v>495</v>
      </c>
      <c r="B317" s="16">
        <v>5</v>
      </c>
      <c r="C317" s="29"/>
      <c r="D317" s="17"/>
      <c r="E317" s="20"/>
      <c r="F317" s="45">
        <f t="shared" si="281"/>
        <v>5</v>
      </c>
      <c r="G317" s="16"/>
      <c r="H317" s="29"/>
      <c r="I317" s="17"/>
      <c r="J317" s="20"/>
      <c r="K317" s="45">
        <f t="shared" si="282"/>
        <v>0</v>
      </c>
      <c r="L317" s="104">
        <f t="shared" si="283"/>
        <v>5</v>
      </c>
      <c r="M317" s="58">
        <v>45843</v>
      </c>
      <c r="N317" s="11" t="s">
        <v>525</v>
      </c>
      <c r="O317" s="16"/>
      <c r="P317" s="29">
        <v>2</v>
      </c>
      <c r="Q317" s="17">
        <v>2</v>
      </c>
      <c r="R317" s="32">
        <v>3</v>
      </c>
      <c r="S317" s="9">
        <f t="shared" si="279"/>
        <v>7</v>
      </c>
      <c r="T317" s="16"/>
      <c r="U317" s="29"/>
      <c r="V317" s="17"/>
      <c r="W317" s="32"/>
      <c r="X317" s="9">
        <f t="shared" si="280"/>
        <v>0</v>
      </c>
      <c r="Y317" s="104">
        <f t="shared" si="274"/>
        <v>7</v>
      </c>
      <c r="Z317" s="56">
        <v>45856</v>
      </c>
      <c r="AA317" s="35"/>
    </row>
    <row r="318" spans="1:28" x14ac:dyDescent="0.15">
      <c r="A318" s="47" t="s">
        <v>51</v>
      </c>
      <c r="B318" s="16"/>
      <c r="C318" s="29"/>
      <c r="D318" s="17"/>
      <c r="E318" s="20">
        <v>1</v>
      </c>
      <c r="F318" s="45">
        <f t="shared" si="281"/>
        <v>1</v>
      </c>
      <c r="G318" s="16"/>
      <c r="H318" s="29"/>
      <c r="I318" s="17"/>
      <c r="J318" s="20">
        <v>1</v>
      </c>
      <c r="K318" s="45">
        <f t="shared" si="282"/>
        <v>1</v>
      </c>
      <c r="L318" s="104">
        <f t="shared" si="283"/>
        <v>2</v>
      </c>
      <c r="M318" s="58">
        <v>45845</v>
      </c>
      <c r="N318" s="33" t="s">
        <v>39</v>
      </c>
      <c r="O318" s="16"/>
      <c r="P318" s="29">
        <v>5</v>
      </c>
      <c r="Q318" s="17">
        <v>5</v>
      </c>
      <c r="R318" s="32">
        <v>5</v>
      </c>
      <c r="S318" s="9">
        <f>SUM(O318:R318)</f>
        <v>15</v>
      </c>
      <c r="T318" s="16"/>
      <c r="U318" s="29"/>
      <c r="V318" s="17"/>
      <c r="W318" s="32"/>
      <c r="X318" s="9">
        <f>SUM(T318:W318)</f>
        <v>0</v>
      </c>
      <c r="Y318" s="104">
        <f t="shared" si="274"/>
        <v>15</v>
      </c>
      <c r="Z318" s="56">
        <v>45853</v>
      </c>
      <c r="AA318" s="35"/>
    </row>
    <row r="319" spans="1:28" x14ac:dyDescent="0.15">
      <c r="A319" s="47" t="s">
        <v>51</v>
      </c>
      <c r="B319" s="16"/>
      <c r="C319" s="29">
        <v>1</v>
      </c>
      <c r="D319" s="17"/>
      <c r="E319" s="20"/>
      <c r="F319" s="45">
        <f t="shared" si="281"/>
        <v>1</v>
      </c>
      <c r="G319" s="16"/>
      <c r="H319" s="29">
        <v>2</v>
      </c>
      <c r="I319" s="17"/>
      <c r="J319" s="20"/>
      <c r="K319" s="45">
        <f t="shared" si="282"/>
        <v>2</v>
      </c>
      <c r="L319" s="104">
        <f t="shared" si="283"/>
        <v>3</v>
      </c>
      <c r="M319" s="58">
        <v>45848</v>
      </c>
      <c r="N319" s="33" t="s">
        <v>39</v>
      </c>
      <c r="O319" s="16"/>
      <c r="P319" s="29"/>
      <c r="Q319" s="17"/>
      <c r="R319" s="32"/>
      <c r="S319" s="9">
        <f>SUM(O319:R319)</f>
        <v>0</v>
      </c>
      <c r="T319" s="16">
        <v>3</v>
      </c>
      <c r="U319" s="29">
        <v>5</v>
      </c>
      <c r="V319" s="17"/>
      <c r="W319" s="32"/>
      <c r="X319" s="9">
        <f>SUM(T319:W319)</f>
        <v>8</v>
      </c>
      <c r="Y319" s="104">
        <f t="shared" si="274"/>
        <v>8</v>
      </c>
      <c r="Z319" s="56">
        <v>45854</v>
      </c>
      <c r="AA319" s="35"/>
    </row>
    <row r="320" spans="1:28" x14ac:dyDescent="0.15">
      <c r="A320" s="47" t="s">
        <v>51</v>
      </c>
      <c r="B320" s="16"/>
      <c r="C320" s="29">
        <v>1</v>
      </c>
      <c r="D320" s="17">
        <v>1</v>
      </c>
      <c r="E320" s="20"/>
      <c r="F320" s="45">
        <f t="shared" si="281"/>
        <v>2</v>
      </c>
      <c r="G320" s="16"/>
      <c r="H320" s="29"/>
      <c r="I320" s="17"/>
      <c r="J320" s="20"/>
      <c r="K320" s="45">
        <f t="shared" si="282"/>
        <v>0</v>
      </c>
      <c r="L320" s="104">
        <f t="shared" si="283"/>
        <v>2</v>
      </c>
      <c r="M320" s="58">
        <v>45849</v>
      </c>
      <c r="N320" s="11" t="s">
        <v>527</v>
      </c>
      <c r="O320" s="16">
        <v>2</v>
      </c>
      <c r="P320" s="29"/>
      <c r="Q320" s="17">
        <v>10</v>
      </c>
      <c r="R320" s="32">
        <v>3</v>
      </c>
      <c r="S320" s="9">
        <f>SUM(O320:R320)</f>
        <v>15</v>
      </c>
      <c r="T320" s="16"/>
      <c r="U320" s="29">
        <v>5</v>
      </c>
      <c r="V320" s="17"/>
      <c r="W320" s="32">
        <v>3</v>
      </c>
      <c r="X320" s="9">
        <f>SUM(T320:W320)</f>
        <v>8</v>
      </c>
      <c r="Y320" s="104">
        <f t="shared" si="274"/>
        <v>23</v>
      </c>
      <c r="Z320" s="56">
        <v>45862</v>
      </c>
      <c r="AA320" s="35"/>
      <c r="AB320" s="35"/>
    </row>
    <row r="321" spans="1:27" x14ac:dyDescent="0.15">
      <c r="A321" s="33" t="s">
        <v>477</v>
      </c>
      <c r="B321" s="16">
        <v>1</v>
      </c>
      <c r="C321" s="29">
        <v>2</v>
      </c>
      <c r="D321" s="17">
        <v>2</v>
      </c>
      <c r="E321" s="20">
        <v>2</v>
      </c>
      <c r="F321" s="45">
        <f t="shared" si="281"/>
        <v>7</v>
      </c>
      <c r="G321" s="16">
        <v>1</v>
      </c>
      <c r="H321" s="29">
        <v>1</v>
      </c>
      <c r="I321" s="17">
        <v>1</v>
      </c>
      <c r="J321" s="20">
        <v>2</v>
      </c>
      <c r="K321" s="45">
        <f t="shared" si="282"/>
        <v>5</v>
      </c>
      <c r="L321" s="104">
        <f t="shared" si="283"/>
        <v>12</v>
      </c>
      <c r="M321" s="56">
        <v>45854</v>
      </c>
      <c r="N321" s="11" t="s">
        <v>535</v>
      </c>
      <c r="O321" s="16"/>
      <c r="P321" s="29"/>
      <c r="Q321" s="17"/>
      <c r="R321" s="32">
        <v>2</v>
      </c>
      <c r="S321" s="9">
        <f t="shared" ref="S321:S325" si="284">SUM(O321:R321)</f>
        <v>2</v>
      </c>
      <c r="T321" s="16"/>
      <c r="U321" s="29"/>
      <c r="V321" s="17"/>
      <c r="W321" s="32"/>
      <c r="X321" s="9">
        <f t="shared" ref="X321:X325" si="285">SUM(T321:W321)</f>
        <v>0</v>
      </c>
      <c r="Y321" s="104">
        <f t="shared" si="274"/>
        <v>2</v>
      </c>
      <c r="Z321" s="56">
        <v>45862</v>
      </c>
    </row>
    <row r="322" spans="1:27" x14ac:dyDescent="0.15">
      <c r="A322" s="47" t="s">
        <v>51</v>
      </c>
      <c r="B322" s="16"/>
      <c r="C322" s="29">
        <v>1</v>
      </c>
      <c r="D322" s="17">
        <v>1</v>
      </c>
      <c r="E322" s="20"/>
      <c r="F322" s="45">
        <f t="shared" si="281"/>
        <v>2</v>
      </c>
      <c r="G322" s="16">
        <v>1</v>
      </c>
      <c r="H322" s="29">
        <v>2</v>
      </c>
      <c r="I322" s="17"/>
      <c r="J322" s="20"/>
      <c r="K322" s="45">
        <f t="shared" si="282"/>
        <v>3</v>
      </c>
      <c r="L322" s="104">
        <f t="shared" si="283"/>
        <v>5</v>
      </c>
      <c r="M322" s="56">
        <v>45852</v>
      </c>
      <c r="N322" s="33" t="s">
        <v>536</v>
      </c>
      <c r="O322" s="16">
        <v>4</v>
      </c>
      <c r="P322" s="29">
        <v>6</v>
      </c>
      <c r="Q322" s="17">
        <v>8</v>
      </c>
      <c r="R322" s="32">
        <v>4</v>
      </c>
      <c r="S322" s="9">
        <f t="shared" si="284"/>
        <v>22</v>
      </c>
      <c r="T322" s="16"/>
      <c r="U322" s="29"/>
      <c r="V322" s="17"/>
      <c r="W322" s="32"/>
      <c r="X322" s="9">
        <f t="shared" si="285"/>
        <v>0</v>
      </c>
      <c r="Y322" s="104">
        <f t="shared" si="274"/>
        <v>22</v>
      </c>
      <c r="Z322" s="56">
        <v>45873</v>
      </c>
    </row>
    <row r="323" spans="1:27" x14ac:dyDescent="0.15">
      <c r="A323" s="47" t="s">
        <v>51</v>
      </c>
      <c r="B323" s="16"/>
      <c r="C323" s="29"/>
      <c r="D323" s="17"/>
      <c r="E323" s="20">
        <v>1</v>
      </c>
      <c r="F323" s="45">
        <f t="shared" si="281"/>
        <v>1</v>
      </c>
      <c r="G323" s="16"/>
      <c r="H323" s="29">
        <v>1</v>
      </c>
      <c r="I323" s="17"/>
      <c r="J323" s="20"/>
      <c r="K323" s="45">
        <f t="shared" si="282"/>
        <v>1</v>
      </c>
      <c r="L323" s="104">
        <f t="shared" si="283"/>
        <v>2</v>
      </c>
      <c r="M323" s="58">
        <v>45853</v>
      </c>
      <c r="N323" s="33" t="s">
        <v>39</v>
      </c>
      <c r="O323" s="16">
        <v>3</v>
      </c>
      <c r="P323" s="29">
        <v>3</v>
      </c>
      <c r="Q323" s="17">
        <v>3</v>
      </c>
      <c r="R323" s="32">
        <v>3</v>
      </c>
      <c r="S323" s="9">
        <f>SUM(O323:R323)</f>
        <v>12</v>
      </c>
      <c r="T323" s="16"/>
      <c r="U323" s="29"/>
      <c r="V323" s="17"/>
      <c r="W323" s="32">
        <v>3</v>
      </c>
      <c r="X323" s="9">
        <f>SUM(T323:W323)</f>
        <v>3</v>
      </c>
      <c r="Y323" s="104">
        <f t="shared" si="274"/>
        <v>15</v>
      </c>
      <c r="Z323" s="56">
        <v>45862</v>
      </c>
    </row>
    <row r="324" spans="1:27" x14ac:dyDescent="0.15">
      <c r="A324" s="47" t="s">
        <v>468</v>
      </c>
      <c r="B324" s="16"/>
      <c r="C324" s="29">
        <v>1</v>
      </c>
      <c r="D324" s="17"/>
      <c r="E324" s="20"/>
      <c r="F324" s="45">
        <f t="shared" si="277"/>
        <v>1</v>
      </c>
      <c r="G324" s="16"/>
      <c r="H324" s="29">
        <v>-1</v>
      </c>
      <c r="I324" s="17">
        <v>-1</v>
      </c>
      <c r="J324" s="20">
        <v>1</v>
      </c>
      <c r="K324" s="45">
        <f t="shared" si="278"/>
        <v>-1</v>
      </c>
      <c r="L324" s="104">
        <f t="shared" si="269"/>
        <v>0</v>
      </c>
      <c r="M324" s="58">
        <v>45856</v>
      </c>
      <c r="N324" s="11" t="s">
        <v>542</v>
      </c>
      <c r="O324" s="16"/>
      <c r="P324" s="29">
        <v>5</v>
      </c>
      <c r="Q324" s="17">
        <v>5</v>
      </c>
      <c r="R324" s="32">
        <v>10</v>
      </c>
      <c r="S324" s="9">
        <f t="shared" si="284"/>
        <v>20</v>
      </c>
      <c r="T324" s="16"/>
      <c r="U324" s="29">
        <v>5</v>
      </c>
      <c r="V324" s="17"/>
      <c r="W324" s="32">
        <v>5</v>
      </c>
      <c r="X324" s="9">
        <f t="shared" si="285"/>
        <v>10</v>
      </c>
      <c r="Y324" s="104">
        <f t="shared" si="274"/>
        <v>30</v>
      </c>
      <c r="Z324" s="56">
        <v>45868</v>
      </c>
      <c r="AA324" s="35"/>
    </row>
    <row r="325" spans="1:27" x14ac:dyDescent="0.15">
      <c r="A325" s="47" t="s">
        <v>51</v>
      </c>
      <c r="B325" s="16"/>
      <c r="C325" s="29">
        <v>1</v>
      </c>
      <c r="D325" s="17"/>
      <c r="E325" s="20"/>
      <c r="F325" s="45">
        <f t="shared" si="277"/>
        <v>1</v>
      </c>
      <c r="G325" s="16"/>
      <c r="H325" s="29"/>
      <c r="I325" s="17"/>
      <c r="J325" s="20"/>
      <c r="K325" s="45">
        <f t="shared" si="278"/>
        <v>0</v>
      </c>
      <c r="L325" s="104">
        <f t="shared" si="269"/>
        <v>1</v>
      </c>
      <c r="M325" s="58">
        <v>45857</v>
      </c>
      <c r="N325" s="33" t="s">
        <v>546</v>
      </c>
      <c r="O325" s="16">
        <v>3</v>
      </c>
      <c r="P325" s="29">
        <v>2</v>
      </c>
      <c r="Q325" s="17">
        <v>3</v>
      </c>
      <c r="R325" s="32"/>
      <c r="S325" s="9">
        <f t="shared" si="284"/>
        <v>8</v>
      </c>
      <c r="T325" s="16"/>
      <c r="U325" s="29"/>
      <c r="V325" s="17"/>
      <c r="W325" s="32"/>
      <c r="X325" s="9">
        <f t="shared" si="285"/>
        <v>0</v>
      </c>
      <c r="Y325" s="104">
        <f t="shared" si="274"/>
        <v>8</v>
      </c>
      <c r="Z325" s="56">
        <v>45875</v>
      </c>
      <c r="AA325" s="35"/>
    </row>
    <row r="326" spans="1:27" x14ac:dyDescent="0.15">
      <c r="A326" s="47" t="s">
        <v>51</v>
      </c>
      <c r="B326" s="16"/>
      <c r="C326" s="29">
        <v>1</v>
      </c>
      <c r="D326" s="17">
        <v>1</v>
      </c>
      <c r="E326" s="20"/>
      <c r="F326" s="45">
        <f t="shared" si="277"/>
        <v>2</v>
      </c>
      <c r="G326" s="16"/>
      <c r="H326" s="29"/>
      <c r="I326" s="17"/>
      <c r="J326" s="20">
        <v>1</v>
      </c>
      <c r="K326" s="45">
        <f t="shared" si="278"/>
        <v>1</v>
      </c>
      <c r="L326" s="104">
        <f t="shared" si="269"/>
        <v>3</v>
      </c>
      <c r="M326" s="56">
        <v>45860</v>
      </c>
      <c r="N326" s="11" t="s">
        <v>550</v>
      </c>
      <c r="O326" s="16"/>
      <c r="P326" s="29">
        <v>3</v>
      </c>
      <c r="Q326" s="17"/>
      <c r="R326" s="32"/>
      <c r="S326" s="9">
        <f>SUM(O326:R326)</f>
        <v>3</v>
      </c>
      <c r="T326" s="16"/>
      <c r="U326" s="29"/>
      <c r="V326" s="17"/>
      <c r="W326" s="32"/>
      <c r="X326" s="9">
        <f>SUM(T326:W326)</f>
        <v>0</v>
      </c>
      <c r="Y326" s="104">
        <f t="shared" si="274"/>
        <v>3</v>
      </c>
      <c r="Z326" s="56">
        <v>45874</v>
      </c>
      <c r="AA326" s="35"/>
    </row>
    <row r="327" spans="1:27" x14ac:dyDescent="0.15">
      <c r="A327" s="33" t="s">
        <v>480</v>
      </c>
      <c r="B327" s="16"/>
      <c r="C327" s="29"/>
      <c r="D327" s="17">
        <v>2</v>
      </c>
      <c r="E327" s="20">
        <v>2</v>
      </c>
      <c r="F327" s="45">
        <f t="shared" si="277"/>
        <v>4</v>
      </c>
      <c r="G327" s="16"/>
      <c r="H327" s="29"/>
      <c r="I327" s="17">
        <v>2</v>
      </c>
      <c r="J327" s="20"/>
      <c r="K327" s="45">
        <f t="shared" si="278"/>
        <v>2</v>
      </c>
      <c r="L327" s="104">
        <f t="shared" si="269"/>
        <v>6</v>
      </c>
      <c r="M327" s="56">
        <v>45863</v>
      </c>
      <c r="N327" s="33" t="s">
        <v>39</v>
      </c>
      <c r="O327" s="16"/>
      <c r="P327" s="29"/>
      <c r="Q327" s="17"/>
      <c r="R327" s="32"/>
      <c r="S327" s="9">
        <f t="shared" ref="S327" si="286">SUM(O327:R327)</f>
        <v>0</v>
      </c>
      <c r="T327" s="16"/>
      <c r="U327" s="29"/>
      <c r="V327" s="17">
        <v>3</v>
      </c>
      <c r="W327" s="32"/>
      <c r="X327" s="9">
        <f t="shared" ref="X327" si="287">SUM(T327:W327)</f>
        <v>3</v>
      </c>
      <c r="Y327" s="104">
        <f t="shared" si="274"/>
        <v>3</v>
      </c>
      <c r="Z327" s="56">
        <v>45870</v>
      </c>
      <c r="AA327" s="35"/>
    </row>
    <row r="328" spans="1:27" x14ac:dyDescent="0.15">
      <c r="A328" s="47" t="s">
        <v>51</v>
      </c>
      <c r="B328" s="16">
        <v>1</v>
      </c>
      <c r="C328" s="29"/>
      <c r="D328" s="17">
        <v>1</v>
      </c>
      <c r="E328" s="20"/>
      <c r="F328" s="45">
        <f t="shared" si="277"/>
        <v>2</v>
      </c>
      <c r="G328" s="16"/>
      <c r="H328" s="29"/>
      <c r="I328" s="17"/>
      <c r="J328" s="20"/>
      <c r="K328" s="45">
        <f t="shared" si="278"/>
        <v>0</v>
      </c>
      <c r="L328" s="104">
        <f t="shared" si="269"/>
        <v>2</v>
      </c>
      <c r="M328" s="58">
        <v>45863</v>
      </c>
      <c r="N328" s="33" t="s">
        <v>562</v>
      </c>
      <c r="O328" s="16">
        <v>3</v>
      </c>
      <c r="P328" s="29">
        <v>3</v>
      </c>
      <c r="Q328" s="17">
        <v>3</v>
      </c>
      <c r="R328" s="32">
        <v>6</v>
      </c>
      <c r="S328" s="9">
        <f t="shared" ref="S328:S331" si="288">SUM(O328:R328)</f>
        <v>15</v>
      </c>
      <c r="T328" s="16"/>
      <c r="U328" s="29"/>
      <c r="V328" s="17"/>
      <c r="W328" s="32"/>
      <c r="X328" s="9">
        <f t="shared" ref="X328:X331" si="289">SUM(T328:W328)</f>
        <v>0</v>
      </c>
      <c r="Y328" s="104">
        <f t="shared" si="274"/>
        <v>15</v>
      </c>
      <c r="Z328" s="56">
        <v>45890</v>
      </c>
      <c r="AA328" s="35"/>
    </row>
    <row r="329" spans="1:27" x14ac:dyDescent="0.15">
      <c r="A329" s="47" t="s">
        <v>468</v>
      </c>
      <c r="B329" s="16"/>
      <c r="C329" s="29"/>
      <c r="D329" s="17"/>
      <c r="E329" s="20"/>
      <c r="F329" s="45">
        <f t="shared" si="277"/>
        <v>0</v>
      </c>
      <c r="G329" s="16">
        <v>1</v>
      </c>
      <c r="H329" s="29">
        <v>-1</v>
      </c>
      <c r="I329" s="17"/>
      <c r="J329" s="20"/>
      <c r="K329" s="45">
        <f t="shared" si="278"/>
        <v>0</v>
      </c>
      <c r="L329" s="104">
        <f t="shared" si="269"/>
        <v>0</v>
      </c>
      <c r="M329" s="58">
        <v>45861</v>
      </c>
      <c r="N329" s="11" t="s">
        <v>570</v>
      </c>
      <c r="O329" s="16"/>
      <c r="P329" s="29">
        <v>2</v>
      </c>
      <c r="Q329" s="17">
        <v>2</v>
      </c>
      <c r="R329" s="32">
        <v>2</v>
      </c>
      <c r="S329" s="9">
        <f t="shared" si="288"/>
        <v>6</v>
      </c>
      <c r="T329" s="16"/>
      <c r="U329" s="29"/>
      <c r="V329" s="17"/>
      <c r="W329" s="32"/>
      <c r="X329" s="9">
        <f t="shared" si="289"/>
        <v>0</v>
      </c>
      <c r="Y329" s="104">
        <f t="shared" si="274"/>
        <v>6</v>
      </c>
      <c r="Z329" s="56">
        <v>45890</v>
      </c>
      <c r="AA329" s="35"/>
    </row>
    <row r="330" spans="1:27" x14ac:dyDescent="0.15">
      <c r="A330" s="47" t="s">
        <v>51</v>
      </c>
      <c r="B330" s="16"/>
      <c r="C330" s="29"/>
      <c r="D330" s="17">
        <f>1+1-1</f>
        <v>1</v>
      </c>
      <c r="E330" s="20">
        <v>1</v>
      </c>
      <c r="F330" s="45">
        <f t="shared" si="277"/>
        <v>2</v>
      </c>
      <c r="G330" s="16"/>
      <c r="H330" s="29"/>
      <c r="I330" s="17"/>
      <c r="J330" s="20"/>
      <c r="K330" s="45">
        <f t="shared" si="278"/>
        <v>0</v>
      </c>
      <c r="L330" s="104">
        <f t="shared" si="269"/>
        <v>2</v>
      </c>
      <c r="M330" s="58">
        <v>45863</v>
      </c>
      <c r="N330" s="11" t="s">
        <v>571</v>
      </c>
      <c r="O330" s="16"/>
      <c r="P330" s="29"/>
      <c r="Q330" s="17">
        <v>1</v>
      </c>
      <c r="R330" s="32"/>
      <c r="S330" s="9">
        <f t="shared" si="288"/>
        <v>1</v>
      </c>
      <c r="T330" s="16"/>
      <c r="U330" s="29"/>
      <c r="V330" s="17"/>
      <c r="W330" s="32"/>
      <c r="X330" s="9">
        <f t="shared" si="289"/>
        <v>0</v>
      </c>
      <c r="Y330" s="104">
        <f t="shared" si="274"/>
        <v>1</v>
      </c>
      <c r="Z330" s="56">
        <v>45889</v>
      </c>
    </row>
    <row r="331" spans="1:27" x14ac:dyDescent="0.15">
      <c r="A331" s="33" t="s">
        <v>491</v>
      </c>
      <c r="B331" s="16"/>
      <c r="C331" s="29"/>
      <c r="D331" s="17"/>
      <c r="E331" s="20"/>
      <c r="F331" s="45">
        <f t="shared" si="277"/>
        <v>0</v>
      </c>
      <c r="G331" s="16"/>
      <c r="H331" s="29"/>
      <c r="I331" s="17">
        <v>1</v>
      </c>
      <c r="J331" s="20"/>
      <c r="K331" s="45">
        <f t="shared" si="278"/>
        <v>1</v>
      </c>
      <c r="L331" s="104">
        <f t="shared" si="269"/>
        <v>1</v>
      </c>
      <c r="M331" s="56">
        <v>45868</v>
      </c>
      <c r="N331" s="11" t="s">
        <v>584</v>
      </c>
      <c r="O331" s="41"/>
      <c r="P331" s="42"/>
      <c r="Q331" s="43">
        <v>1</v>
      </c>
      <c r="R331" s="59"/>
      <c r="S331" s="61">
        <f t="shared" si="288"/>
        <v>1</v>
      </c>
      <c r="T331" s="41"/>
      <c r="U331" s="42"/>
      <c r="V331" s="43"/>
      <c r="W331" s="59"/>
      <c r="X331" s="61">
        <f t="shared" si="289"/>
        <v>0</v>
      </c>
      <c r="Y331" s="104">
        <f t="shared" si="274"/>
        <v>1</v>
      </c>
      <c r="Z331" s="56">
        <v>45891</v>
      </c>
    </row>
    <row r="332" spans="1:27" x14ac:dyDescent="0.15">
      <c r="A332" s="47" t="s">
        <v>51</v>
      </c>
      <c r="B332" s="16"/>
      <c r="C332" s="29">
        <v>1</v>
      </c>
      <c r="D332" s="17"/>
      <c r="E332" s="20"/>
      <c r="F332" s="45">
        <f t="shared" si="277"/>
        <v>1</v>
      </c>
      <c r="G332" s="16"/>
      <c r="H332" s="29"/>
      <c r="I332" s="17"/>
      <c r="J332" s="20"/>
      <c r="K332" s="45">
        <f t="shared" si="278"/>
        <v>0</v>
      </c>
      <c r="L332" s="104">
        <f t="shared" si="269"/>
        <v>1</v>
      </c>
      <c r="M332" s="58">
        <v>45868</v>
      </c>
      <c r="N332" s="11" t="s">
        <v>602</v>
      </c>
      <c r="O332" s="16">
        <v>10</v>
      </c>
      <c r="P332" s="17">
        <v>20</v>
      </c>
      <c r="Q332" s="29">
        <v>15</v>
      </c>
      <c r="R332" s="60">
        <v>15</v>
      </c>
      <c r="S332" s="9">
        <f t="shared" ref="S332:S333" si="290">SUM(O332:R332)</f>
        <v>60</v>
      </c>
      <c r="T332" s="206"/>
      <c r="U332" s="208"/>
      <c r="V332" s="207"/>
      <c r="W332" s="304"/>
      <c r="X332" s="9">
        <f t="shared" ref="X332:X333" si="291">SUM(T332:W332)</f>
        <v>0</v>
      </c>
      <c r="Y332" s="104">
        <f t="shared" ref="Y332:Y333" si="292">S332+X332</f>
        <v>60</v>
      </c>
      <c r="Z332" s="58">
        <v>45896</v>
      </c>
    </row>
    <row r="333" spans="1:27" x14ac:dyDescent="0.15">
      <c r="A333" s="47" t="s">
        <v>554</v>
      </c>
      <c r="B333" s="16"/>
      <c r="C333" s="29"/>
      <c r="D333" s="17"/>
      <c r="E333" s="20"/>
      <c r="F333" s="45">
        <f t="shared" si="277"/>
        <v>0</v>
      </c>
      <c r="G333" s="16"/>
      <c r="H333" s="29"/>
      <c r="I333" s="17">
        <v>-3</v>
      </c>
      <c r="J333" s="20"/>
      <c r="K333" s="45">
        <f t="shared" si="278"/>
        <v>-3</v>
      </c>
      <c r="L333" s="104">
        <f t="shared" si="269"/>
        <v>-3</v>
      </c>
      <c r="M333" s="56">
        <v>45870</v>
      </c>
      <c r="N333" s="11"/>
      <c r="O333" s="16"/>
      <c r="P333" s="17"/>
      <c r="Q333" s="29"/>
      <c r="R333" s="60"/>
      <c r="S333" s="9">
        <f t="shared" si="290"/>
        <v>0</v>
      </c>
      <c r="T333" s="16"/>
      <c r="U333" s="17"/>
      <c r="V333" s="29"/>
      <c r="W333" s="60"/>
      <c r="X333" s="9">
        <f t="shared" si="291"/>
        <v>0</v>
      </c>
      <c r="Y333" s="104">
        <f t="shared" si="292"/>
        <v>0</v>
      </c>
    </row>
    <row r="334" spans="1:27" x14ac:dyDescent="0.15">
      <c r="A334" s="47" t="s">
        <v>51</v>
      </c>
      <c r="B334" s="16"/>
      <c r="C334" s="29"/>
      <c r="D334" s="17"/>
      <c r="E334" s="20">
        <v>1</v>
      </c>
      <c r="F334" s="45">
        <f t="shared" si="277"/>
        <v>1</v>
      </c>
      <c r="G334" s="16"/>
      <c r="H334" s="29"/>
      <c r="I334" s="17"/>
      <c r="J334" s="20"/>
      <c r="K334" s="45">
        <f t="shared" si="278"/>
        <v>0</v>
      </c>
      <c r="L334" s="104">
        <f t="shared" si="269"/>
        <v>1</v>
      </c>
      <c r="M334" s="58">
        <v>45870</v>
      </c>
      <c r="N334" s="11"/>
      <c r="O334" s="16"/>
      <c r="P334" s="17"/>
      <c r="Q334" s="29"/>
      <c r="R334" s="60"/>
      <c r="S334" s="9">
        <f t="shared" ref="S334:S335" si="293">SUM(O334:R334)</f>
        <v>0</v>
      </c>
      <c r="T334" s="16"/>
      <c r="U334" s="17"/>
      <c r="V334" s="29"/>
      <c r="W334" s="60"/>
      <c r="X334" s="9">
        <f t="shared" ref="X334:X335" si="294">SUM(T334:W334)</f>
        <v>0</v>
      </c>
      <c r="Y334" s="104">
        <f t="shared" ref="Y334:Y335" si="295">S334+X334</f>
        <v>0</v>
      </c>
    </row>
    <row r="335" spans="1:27" x14ac:dyDescent="0.15">
      <c r="A335" s="47" t="s">
        <v>51</v>
      </c>
      <c r="B335" s="16"/>
      <c r="C335" s="29">
        <v>1</v>
      </c>
      <c r="D335" s="17"/>
      <c r="E335" s="20"/>
      <c r="F335" s="45">
        <f t="shared" si="277"/>
        <v>1</v>
      </c>
      <c r="G335" s="16"/>
      <c r="H335" s="29"/>
      <c r="I335" s="17">
        <v>1</v>
      </c>
      <c r="J335" s="20"/>
      <c r="K335" s="45">
        <f t="shared" si="278"/>
        <v>1</v>
      </c>
      <c r="L335" s="104">
        <f t="shared" si="269"/>
        <v>2</v>
      </c>
      <c r="M335" s="58">
        <v>45873</v>
      </c>
      <c r="N335" s="11" t="s">
        <v>134</v>
      </c>
      <c r="O335" s="41"/>
      <c r="P335" s="42"/>
      <c r="Q335" s="43"/>
      <c r="R335" s="59"/>
      <c r="S335" s="61">
        <f t="shared" si="293"/>
        <v>0</v>
      </c>
      <c r="T335" s="41"/>
      <c r="U335" s="42"/>
      <c r="V335" s="43"/>
      <c r="W335" s="59"/>
      <c r="X335" s="61">
        <f t="shared" si="294"/>
        <v>0</v>
      </c>
      <c r="Y335" s="104">
        <f t="shared" si="295"/>
        <v>0</v>
      </c>
      <c r="Z335" s="157" t="s">
        <v>316</v>
      </c>
      <c r="AA335" s="35"/>
    </row>
    <row r="336" spans="1:27" x14ac:dyDescent="0.15">
      <c r="A336" s="47" t="s">
        <v>51</v>
      </c>
      <c r="B336" s="16"/>
      <c r="C336" s="29"/>
      <c r="D336" s="17"/>
      <c r="E336" s="20"/>
      <c r="F336" s="45">
        <f t="shared" si="277"/>
        <v>0</v>
      </c>
      <c r="G336" s="16">
        <v>1</v>
      </c>
      <c r="H336" s="29"/>
      <c r="I336" s="17"/>
      <c r="J336" s="20"/>
      <c r="K336" s="45">
        <f t="shared" si="278"/>
        <v>1</v>
      </c>
      <c r="L336" s="104">
        <f t="shared" si="269"/>
        <v>1</v>
      </c>
      <c r="M336" s="58">
        <v>45875</v>
      </c>
      <c r="N336" s="11" t="s">
        <v>386</v>
      </c>
      <c r="O336" s="16"/>
      <c r="P336" s="29"/>
      <c r="Q336" s="17"/>
      <c r="R336" s="32"/>
      <c r="S336" s="9">
        <f t="shared" ref="S336:S339" si="296">SUM(O336:R336)</f>
        <v>0</v>
      </c>
      <c r="T336" s="16"/>
      <c r="U336" s="29"/>
      <c r="V336" s="17"/>
      <c r="W336" s="32"/>
      <c r="X336" s="9">
        <f t="shared" ref="X336:X339" si="297">SUM(T336:W336)</f>
        <v>0</v>
      </c>
      <c r="Y336" s="104">
        <f t="shared" si="274"/>
        <v>0</v>
      </c>
      <c r="Z336" s="157" t="s">
        <v>387</v>
      </c>
      <c r="AA336" s="35"/>
    </row>
    <row r="337" spans="1:27" x14ac:dyDescent="0.15">
      <c r="A337" s="47" t="s">
        <v>51</v>
      </c>
      <c r="B337" s="16"/>
      <c r="C337" s="29"/>
      <c r="D337" s="17"/>
      <c r="E337" s="20"/>
      <c r="F337" s="45">
        <f t="shared" si="277"/>
        <v>0</v>
      </c>
      <c r="G337" s="16"/>
      <c r="H337" s="29">
        <v>1</v>
      </c>
      <c r="I337" s="17"/>
      <c r="J337" s="20"/>
      <c r="K337" s="45">
        <f t="shared" si="278"/>
        <v>1</v>
      </c>
      <c r="L337" s="104">
        <f t="shared" si="269"/>
        <v>1</v>
      </c>
      <c r="M337" s="58">
        <v>45876</v>
      </c>
      <c r="N337" s="11" t="s">
        <v>345</v>
      </c>
      <c r="O337" s="16"/>
      <c r="P337" s="29"/>
      <c r="Q337" s="17"/>
      <c r="R337" s="32"/>
      <c r="S337" s="9">
        <f t="shared" si="296"/>
        <v>0</v>
      </c>
      <c r="T337" s="16"/>
      <c r="U337" s="29"/>
      <c r="V337" s="17"/>
      <c r="W337" s="32"/>
      <c r="X337" s="9">
        <f t="shared" si="297"/>
        <v>0</v>
      </c>
      <c r="Y337" s="104">
        <f t="shared" si="274"/>
        <v>0</v>
      </c>
      <c r="Z337" s="157" t="s">
        <v>346</v>
      </c>
      <c r="AA337" s="35"/>
    </row>
    <row r="338" spans="1:27" ht="14.25" thickBot="1" x14ac:dyDescent="0.2">
      <c r="A338" s="47" t="s">
        <v>574</v>
      </c>
      <c r="B338" s="37">
        <v>-1</v>
      </c>
      <c r="C338" s="38"/>
      <c r="D338" s="39"/>
      <c r="E338" s="40"/>
      <c r="F338" s="45">
        <f t="shared" si="277"/>
        <v>-1</v>
      </c>
      <c r="G338" s="37"/>
      <c r="H338" s="38">
        <v>1</v>
      </c>
      <c r="I338" s="39"/>
      <c r="J338" s="40"/>
      <c r="K338" s="45">
        <f t="shared" si="278"/>
        <v>1</v>
      </c>
      <c r="L338" s="104">
        <f t="shared" si="269"/>
        <v>0</v>
      </c>
      <c r="M338" s="58">
        <v>45877</v>
      </c>
      <c r="N338" s="128" t="s">
        <v>369</v>
      </c>
      <c r="O338" s="37"/>
      <c r="P338" s="38"/>
      <c r="Q338" s="39"/>
      <c r="R338" s="129"/>
      <c r="S338" s="10">
        <f t="shared" si="296"/>
        <v>0</v>
      </c>
      <c r="T338" s="123"/>
      <c r="U338" s="124"/>
      <c r="V338" s="125"/>
      <c r="W338" s="126"/>
      <c r="X338" s="10">
        <f t="shared" si="297"/>
        <v>0</v>
      </c>
      <c r="Y338" s="101">
        <f t="shared" si="274"/>
        <v>0</v>
      </c>
      <c r="Z338" s="157" t="s">
        <v>370</v>
      </c>
      <c r="AA338" s="35"/>
    </row>
    <row r="339" spans="1:27" ht="14.25" thickBot="1" x14ac:dyDescent="0.2">
      <c r="A339" s="13" t="s">
        <v>8</v>
      </c>
      <c r="B339" s="22">
        <f>SUM(B314:B338)</f>
        <v>6</v>
      </c>
      <c r="C339" s="30">
        <f>SUM(C314:C338)</f>
        <v>12</v>
      </c>
      <c r="D339" s="23">
        <f>SUM(D314:D338)</f>
        <v>9</v>
      </c>
      <c r="E339" s="24">
        <f>SUM(E314:E338)</f>
        <v>9</v>
      </c>
      <c r="F339" s="21">
        <f>SUM(B339:E339)</f>
        <v>36</v>
      </c>
      <c r="G339" s="22">
        <f>SUM(G314:G338)</f>
        <v>4</v>
      </c>
      <c r="H339" s="30">
        <f>SUM(H314:H338)</f>
        <v>5</v>
      </c>
      <c r="I339" s="23">
        <f>SUM(I314:I338)</f>
        <v>0</v>
      </c>
      <c r="J339" s="24">
        <f>SUM(J314:J338)</f>
        <v>4</v>
      </c>
      <c r="K339" s="21">
        <f>SUM(G339:J339)</f>
        <v>13</v>
      </c>
      <c r="L339" s="105">
        <f t="shared" si="269"/>
        <v>49</v>
      </c>
      <c r="N339" s="49" t="s">
        <v>8</v>
      </c>
      <c r="O339" s="22">
        <f>SUM(O314:O338)</f>
        <v>30</v>
      </c>
      <c r="P339" s="30">
        <f>SUM(P314:P338)</f>
        <v>68</v>
      </c>
      <c r="Q339" s="23">
        <f>SUM(Q314:Q338)</f>
        <v>76</v>
      </c>
      <c r="R339" s="24">
        <f>SUM(R314:R338)</f>
        <v>83</v>
      </c>
      <c r="S339" s="48">
        <f t="shared" si="296"/>
        <v>257</v>
      </c>
      <c r="T339" s="22">
        <f>SUM(T314:T338)</f>
        <v>13</v>
      </c>
      <c r="U339" s="30">
        <f>SUM(U314:U338)</f>
        <v>30</v>
      </c>
      <c r="V339" s="23">
        <f>SUM(V314:V338)</f>
        <v>23</v>
      </c>
      <c r="W339" s="24">
        <f>SUM(W314:W338)</f>
        <v>26</v>
      </c>
      <c r="X339" s="48">
        <f t="shared" si="297"/>
        <v>92</v>
      </c>
      <c r="Y339" s="122">
        <f t="shared" si="274"/>
        <v>349</v>
      </c>
    </row>
    <row r="340" spans="1:27" ht="14.25" thickBot="1" x14ac:dyDescent="0.2">
      <c r="A340" s="14" t="s">
        <v>9</v>
      </c>
      <c r="B340" s="25">
        <f t="shared" ref="B340:K340" si="298">B313-B339</f>
        <v>7</v>
      </c>
      <c r="C340" s="31">
        <f t="shared" si="298"/>
        <v>4</v>
      </c>
      <c r="D340" s="26">
        <f t="shared" si="298"/>
        <v>4</v>
      </c>
      <c r="E340" s="27">
        <f t="shared" si="298"/>
        <v>4</v>
      </c>
      <c r="F340" s="83">
        <f t="shared" si="298"/>
        <v>19</v>
      </c>
      <c r="G340" s="25">
        <f t="shared" si="298"/>
        <v>5</v>
      </c>
      <c r="H340" s="31">
        <f t="shared" si="298"/>
        <v>6</v>
      </c>
      <c r="I340" s="26">
        <f t="shared" si="298"/>
        <v>5</v>
      </c>
      <c r="J340" s="27">
        <f t="shared" si="298"/>
        <v>5</v>
      </c>
      <c r="K340" s="83">
        <f t="shared" si="298"/>
        <v>21</v>
      </c>
      <c r="L340" s="102">
        <f t="shared" si="269"/>
        <v>40</v>
      </c>
      <c r="N340" s="13" t="s">
        <v>9</v>
      </c>
      <c r="O340" s="25">
        <f t="shared" ref="O340:X340" si="299">O313-O339</f>
        <v>105</v>
      </c>
      <c r="P340" s="31">
        <f t="shared" si="299"/>
        <v>100</v>
      </c>
      <c r="Q340" s="26">
        <f t="shared" si="299"/>
        <v>98</v>
      </c>
      <c r="R340" s="27">
        <f t="shared" si="299"/>
        <v>74</v>
      </c>
      <c r="S340" s="36">
        <f t="shared" si="299"/>
        <v>377</v>
      </c>
      <c r="T340" s="25">
        <f t="shared" si="299"/>
        <v>43</v>
      </c>
      <c r="U340" s="31">
        <f t="shared" si="299"/>
        <v>81</v>
      </c>
      <c r="V340" s="26">
        <f t="shared" si="299"/>
        <v>60</v>
      </c>
      <c r="W340" s="27">
        <f t="shared" si="299"/>
        <v>36</v>
      </c>
      <c r="X340" s="36">
        <f t="shared" si="299"/>
        <v>220</v>
      </c>
      <c r="Y340" s="102">
        <f t="shared" si="274"/>
        <v>597</v>
      </c>
    </row>
    <row r="341" spans="1:27" x14ac:dyDescent="0.15">
      <c r="N341" s="237"/>
      <c r="O341" s="239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24"/>
    </row>
    <row r="342" spans="1:27" x14ac:dyDescent="0.15">
      <c r="N342" s="237"/>
      <c r="O342" s="35"/>
      <c r="P342" s="35"/>
      <c r="Q342" s="35"/>
      <c r="R342" s="35"/>
      <c r="S342" s="238"/>
      <c r="T342" s="35"/>
      <c r="U342" s="35"/>
      <c r="V342" s="35"/>
      <c r="W342" s="35"/>
      <c r="X342" s="238"/>
      <c r="Y342" s="35"/>
      <c r="Z342" s="224"/>
    </row>
    <row r="343" spans="1:27" ht="19.5" thickBot="1" x14ac:dyDescent="0.25">
      <c r="A343" s="2" t="s">
        <v>18</v>
      </c>
      <c r="B343" s="2"/>
      <c r="C343" s="1"/>
      <c r="D343" s="1"/>
      <c r="E343" s="1"/>
      <c r="F343" s="84"/>
      <c r="G343" s="2"/>
      <c r="H343" s="1" t="s">
        <v>157</v>
      </c>
      <c r="I343" s="1"/>
      <c r="J343" s="1"/>
      <c r="K343" s="84" t="s">
        <v>13</v>
      </c>
      <c r="L343" s="84"/>
      <c r="N343" s="2" t="s">
        <v>19</v>
      </c>
      <c r="O343" s="71"/>
      <c r="P343" s="71"/>
      <c r="Q343" s="71"/>
      <c r="R343" s="71"/>
      <c r="S343" s="84"/>
      <c r="T343" s="1" t="s">
        <v>157</v>
      </c>
      <c r="U343" s="71"/>
      <c r="V343" s="71"/>
      <c r="W343" s="71"/>
      <c r="X343" s="84" t="s">
        <v>13</v>
      </c>
    </row>
    <row r="344" spans="1:27" ht="14.25" thickBot="1" x14ac:dyDescent="0.2">
      <c r="A344" s="5" t="s">
        <v>0</v>
      </c>
      <c r="B344" s="322" t="s">
        <v>32</v>
      </c>
      <c r="C344" s="323"/>
      <c r="D344" s="323"/>
      <c r="E344" s="323"/>
      <c r="F344" s="324"/>
      <c r="G344" s="325" t="s">
        <v>31</v>
      </c>
      <c r="H344" s="326"/>
      <c r="I344" s="326"/>
      <c r="J344" s="326"/>
      <c r="K344" s="327"/>
      <c r="L344" s="320" t="s">
        <v>30</v>
      </c>
      <c r="N344" s="5" t="s">
        <v>0</v>
      </c>
      <c r="O344" s="322" t="s">
        <v>200</v>
      </c>
      <c r="P344" s="323"/>
      <c r="Q344" s="323"/>
      <c r="R344" s="323"/>
      <c r="S344" s="324"/>
      <c r="T344" s="325" t="s">
        <v>201</v>
      </c>
      <c r="U344" s="326"/>
      <c r="V344" s="326"/>
      <c r="W344" s="326"/>
      <c r="X344" s="327"/>
      <c r="Y344" s="320" t="s">
        <v>30</v>
      </c>
    </row>
    <row r="345" spans="1:27" ht="14.25" thickBot="1" x14ac:dyDescent="0.2">
      <c r="A345" s="5" t="s">
        <v>1</v>
      </c>
      <c r="B345" s="3" t="s">
        <v>22</v>
      </c>
      <c r="C345" s="28" t="s">
        <v>23</v>
      </c>
      <c r="D345" s="4" t="s">
        <v>24</v>
      </c>
      <c r="E345" s="15" t="s">
        <v>25</v>
      </c>
      <c r="F345" s="19" t="s">
        <v>2</v>
      </c>
      <c r="G345" s="3" t="s">
        <v>22</v>
      </c>
      <c r="H345" s="28" t="s">
        <v>23</v>
      </c>
      <c r="I345" s="4" t="s">
        <v>24</v>
      </c>
      <c r="J345" s="15" t="s">
        <v>25</v>
      </c>
      <c r="K345" s="19" t="s">
        <v>2</v>
      </c>
      <c r="L345" s="321"/>
      <c r="N345" s="5" t="s">
        <v>1</v>
      </c>
      <c r="O345" s="3" t="s">
        <v>22</v>
      </c>
      <c r="P345" s="28" t="s">
        <v>23</v>
      </c>
      <c r="Q345" s="4" t="s">
        <v>24</v>
      </c>
      <c r="R345" s="15" t="s">
        <v>25</v>
      </c>
      <c r="S345" s="19" t="s">
        <v>2</v>
      </c>
      <c r="T345" s="3" t="s">
        <v>22</v>
      </c>
      <c r="U345" s="28" t="s">
        <v>23</v>
      </c>
      <c r="V345" s="4" t="s">
        <v>24</v>
      </c>
      <c r="W345" s="15" t="s">
        <v>25</v>
      </c>
      <c r="X345" s="19" t="s">
        <v>2</v>
      </c>
      <c r="Y345" s="321"/>
    </row>
    <row r="346" spans="1:27" x14ac:dyDescent="0.15">
      <c r="A346" s="78" t="s">
        <v>10</v>
      </c>
      <c r="B346" s="79">
        <f>B340</f>
        <v>7</v>
      </c>
      <c r="C346" s="80">
        <f>C340</f>
        <v>4</v>
      </c>
      <c r="D346" s="80">
        <f>D340</f>
        <v>4</v>
      </c>
      <c r="E346" s="81">
        <f>E340</f>
        <v>4</v>
      </c>
      <c r="F346" s="82">
        <f>SUM(B346:E346)</f>
        <v>19</v>
      </c>
      <c r="G346" s="79">
        <f>G340</f>
        <v>5</v>
      </c>
      <c r="H346" s="80">
        <f>H340</f>
        <v>6</v>
      </c>
      <c r="I346" s="80">
        <f>I340</f>
        <v>5</v>
      </c>
      <c r="J346" s="81">
        <f>J340</f>
        <v>5</v>
      </c>
      <c r="K346" s="82">
        <f>SUM(G346:J346)</f>
        <v>21</v>
      </c>
      <c r="L346" s="98">
        <f>F346+K346</f>
        <v>40</v>
      </c>
      <c r="N346" s="78" t="s">
        <v>10</v>
      </c>
      <c r="O346" s="79">
        <f>O340</f>
        <v>105</v>
      </c>
      <c r="P346" s="80">
        <f>P340</f>
        <v>100</v>
      </c>
      <c r="Q346" s="80">
        <f>Q340</f>
        <v>98</v>
      </c>
      <c r="R346" s="81">
        <f>R340</f>
        <v>74</v>
      </c>
      <c r="S346" s="82">
        <f>SUM(O346:R346)</f>
        <v>377</v>
      </c>
      <c r="T346" s="79">
        <f>T340</f>
        <v>43</v>
      </c>
      <c r="U346" s="80">
        <f>U340</f>
        <v>81</v>
      </c>
      <c r="V346" s="80">
        <f>V340</f>
        <v>60</v>
      </c>
      <c r="W346" s="81">
        <f>W340</f>
        <v>36</v>
      </c>
      <c r="X346" s="82">
        <f>SUM(T346:W346)</f>
        <v>220</v>
      </c>
      <c r="Y346" s="98">
        <f>S346+X346</f>
        <v>597</v>
      </c>
    </row>
    <row r="347" spans="1:27" x14ac:dyDescent="0.15">
      <c r="A347" s="12" t="s">
        <v>66</v>
      </c>
      <c r="B347" s="6"/>
      <c r="C347" s="18"/>
      <c r="D347" s="7"/>
      <c r="E347" s="8"/>
      <c r="F347" s="9">
        <f>SUM(B347:E347)</f>
        <v>0</v>
      </c>
      <c r="G347" s="6"/>
      <c r="H347" s="18"/>
      <c r="I347" s="7">
        <v>1</v>
      </c>
      <c r="J347" s="8"/>
      <c r="K347" s="9">
        <f>SUM(G347:J347)</f>
        <v>1</v>
      </c>
      <c r="L347" s="100">
        <f t="shared" ref="L347" si="300">F347+K347</f>
        <v>1</v>
      </c>
      <c r="M347" s="58">
        <v>45874</v>
      </c>
      <c r="N347" s="12" t="s">
        <v>11</v>
      </c>
      <c r="O347" s="16"/>
      <c r="P347" s="29"/>
      <c r="Q347" s="17"/>
      <c r="R347" s="20"/>
      <c r="S347" s="45">
        <f>SUM(O347:R347)</f>
        <v>0</v>
      </c>
      <c r="T347" s="16"/>
      <c r="U347" s="29"/>
      <c r="V347" s="17"/>
      <c r="W347" s="20"/>
      <c r="X347" s="45">
        <f t="shared" ref="X347:X348" si="301">SUM(T347:W347)</f>
        <v>0</v>
      </c>
      <c r="Y347" s="100">
        <f t="shared" ref="Y347:Y349" si="302">S347+X347</f>
        <v>0</v>
      </c>
      <c r="Z347" s="56"/>
    </row>
    <row r="348" spans="1:27" x14ac:dyDescent="0.15">
      <c r="A348" s="12" t="s">
        <v>579</v>
      </c>
      <c r="B348" s="6">
        <v>0</v>
      </c>
      <c r="C348" s="18">
        <v>0</v>
      </c>
      <c r="D348" s="7">
        <v>0</v>
      </c>
      <c r="E348" s="8">
        <v>0</v>
      </c>
      <c r="F348" s="9">
        <f>SUM(B348:E348)</f>
        <v>0</v>
      </c>
      <c r="G348" s="6">
        <v>0</v>
      </c>
      <c r="H348" s="18">
        <v>1</v>
      </c>
      <c r="I348" s="7">
        <v>0</v>
      </c>
      <c r="J348" s="8">
        <v>0</v>
      </c>
      <c r="K348" s="9">
        <f>SUM(G348:J348)</f>
        <v>1</v>
      </c>
      <c r="L348" s="100">
        <f t="shared" ref="L348:L378" si="303">F348+K348</f>
        <v>1</v>
      </c>
      <c r="M348" s="58">
        <v>45878</v>
      </c>
      <c r="N348" s="12" t="s">
        <v>3</v>
      </c>
      <c r="O348" s="16"/>
      <c r="P348" s="29"/>
      <c r="Q348" s="17"/>
      <c r="R348" s="20"/>
      <c r="S348" s="45">
        <f t="shared" ref="S348:S349" si="304">SUM(O348:R348)</f>
        <v>0</v>
      </c>
      <c r="T348" s="16"/>
      <c r="U348" s="29"/>
      <c r="V348" s="17"/>
      <c r="W348" s="20"/>
      <c r="X348" s="45">
        <f t="shared" si="301"/>
        <v>0</v>
      </c>
      <c r="Y348" s="100">
        <f t="shared" si="302"/>
        <v>0</v>
      </c>
      <c r="Z348" s="56"/>
    </row>
    <row r="349" spans="1:27" x14ac:dyDescent="0.15">
      <c r="A349" s="12" t="s">
        <v>118</v>
      </c>
      <c r="B349" s="6"/>
      <c r="C349" s="18"/>
      <c r="D349" s="7"/>
      <c r="E349" s="8"/>
      <c r="F349" s="9">
        <f>SUM(B349:E349)</f>
        <v>0</v>
      </c>
      <c r="G349" s="6"/>
      <c r="H349" s="18"/>
      <c r="I349" s="7">
        <v>1</v>
      </c>
      <c r="J349" s="8"/>
      <c r="K349" s="9">
        <f>SUM(G349:J349)</f>
        <v>1</v>
      </c>
      <c r="L349" s="100">
        <f t="shared" si="303"/>
        <v>1</v>
      </c>
      <c r="M349" s="58">
        <v>45876</v>
      </c>
      <c r="N349" s="12" t="s">
        <v>4</v>
      </c>
      <c r="O349" s="16"/>
      <c r="P349" s="29"/>
      <c r="Q349" s="17"/>
      <c r="R349" s="20"/>
      <c r="S349" s="45">
        <f t="shared" si="304"/>
        <v>0</v>
      </c>
      <c r="T349" s="16"/>
      <c r="U349" s="29"/>
      <c r="V349" s="17"/>
      <c r="W349" s="20"/>
      <c r="X349" s="45">
        <f>SUM(T349:W349)</f>
        <v>0</v>
      </c>
      <c r="Y349" s="104">
        <f t="shared" si="302"/>
        <v>0</v>
      </c>
      <c r="Z349" s="56"/>
    </row>
    <row r="350" spans="1:27" ht="14.25" thickBot="1" x14ac:dyDescent="0.2">
      <c r="A350" s="12" t="s">
        <v>360</v>
      </c>
      <c r="B350" s="6"/>
      <c r="C350" s="18">
        <v>2</v>
      </c>
      <c r="D350" s="7">
        <v>5</v>
      </c>
      <c r="E350" s="8">
        <v>2</v>
      </c>
      <c r="F350" s="10">
        <f>SUM(B350:E350)</f>
        <v>9</v>
      </c>
      <c r="G350" s="6"/>
      <c r="H350" s="18"/>
      <c r="I350" s="7"/>
      <c r="J350" s="8"/>
      <c r="K350" s="10">
        <f>SUM(G350:J350)</f>
        <v>0</v>
      </c>
      <c r="L350" s="101">
        <f t="shared" si="303"/>
        <v>9</v>
      </c>
      <c r="M350" s="58">
        <v>45887</v>
      </c>
      <c r="N350" s="12" t="s">
        <v>268</v>
      </c>
      <c r="O350" s="16"/>
      <c r="P350" s="29"/>
      <c r="Q350" s="17"/>
      <c r="R350" s="20"/>
      <c r="S350" s="45">
        <f t="shared" ref="S350" si="305">SUM(O350:R350)</f>
        <v>0</v>
      </c>
      <c r="T350" s="16">
        <v>2</v>
      </c>
      <c r="U350" s="29">
        <v>2</v>
      </c>
      <c r="V350" s="17">
        <v>2</v>
      </c>
      <c r="W350" s="20">
        <v>2</v>
      </c>
      <c r="X350" s="45">
        <f t="shared" ref="X350" si="306">SUM(T350:W350)</f>
        <v>8</v>
      </c>
      <c r="Y350" s="100">
        <f t="shared" ref="Y350:Y378" si="307">S350+X350</f>
        <v>8</v>
      </c>
      <c r="Z350" s="56">
        <v>45906</v>
      </c>
    </row>
    <row r="351" spans="1:27" ht="14.25" thickBot="1" x14ac:dyDescent="0.2">
      <c r="A351" s="14" t="s">
        <v>7</v>
      </c>
      <c r="B351" s="62">
        <f t="shared" ref="B351:K351" si="308">SUM(B346:B350)</f>
        <v>7</v>
      </c>
      <c r="C351" s="63">
        <f t="shared" si="308"/>
        <v>6</v>
      </c>
      <c r="D351" s="64">
        <f t="shared" si="308"/>
        <v>9</v>
      </c>
      <c r="E351" s="65">
        <f t="shared" si="308"/>
        <v>6</v>
      </c>
      <c r="F351" s="66">
        <f t="shared" si="308"/>
        <v>28</v>
      </c>
      <c r="G351" s="62">
        <f t="shared" si="308"/>
        <v>5</v>
      </c>
      <c r="H351" s="63">
        <f t="shared" si="308"/>
        <v>7</v>
      </c>
      <c r="I351" s="64">
        <f t="shared" si="308"/>
        <v>7</v>
      </c>
      <c r="J351" s="65">
        <f t="shared" si="308"/>
        <v>5</v>
      </c>
      <c r="K351" s="66">
        <f t="shared" si="308"/>
        <v>24</v>
      </c>
      <c r="L351" s="102">
        <f t="shared" si="303"/>
        <v>52</v>
      </c>
      <c r="N351" s="13" t="s">
        <v>7</v>
      </c>
      <c r="O351" s="25">
        <f t="shared" ref="O351:X351" si="309">SUM(O346:O350)</f>
        <v>105</v>
      </c>
      <c r="P351" s="31">
        <f t="shared" si="309"/>
        <v>100</v>
      </c>
      <c r="Q351" s="26">
        <f t="shared" si="309"/>
        <v>98</v>
      </c>
      <c r="R351" s="67">
        <f t="shared" si="309"/>
        <v>74</v>
      </c>
      <c r="S351" s="68">
        <f t="shared" si="309"/>
        <v>377</v>
      </c>
      <c r="T351" s="25">
        <f t="shared" si="309"/>
        <v>45</v>
      </c>
      <c r="U351" s="31">
        <f t="shared" si="309"/>
        <v>83</v>
      </c>
      <c r="V351" s="26">
        <f t="shared" si="309"/>
        <v>62</v>
      </c>
      <c r="W351" s="67">
        <f t="shared" si="309"/>
        <v>38</v>
      </c>
      <c r="X351" s="68">
        <f t="shared" si="309"/>
        <v>228</v>
      </c>
      <c r="Y351" s="102">
        <f t="shared" si="307"/>
        <v>605</v>
      </c>
    </row>
    <row r="352" spans="1:27" x14ac:dyDescent="0.15">
      <c r="A352" s="47" t="s">
        <v>45</v>
      </c>
      <c r="B352" s="16">
        <v>1</v>
      </c>
      <c r="C352" s="29">
        <v>1</v>
      </c>
      <c r="D352" s="17"/>
      <c r="E352" s="20"/>
      <c r="F352" s="45">
        <f t="shared" ref="F352" si="310">SUM(B352:E352)</f>
        <v>2</v>
      </c>
      <c r="G352" s="16"/>
      <c r="H352" s="29"/>
      <c r="I352" s="17"/>
      <c r="J352" s="20"/>
      <c r="K352" s="45">
        <f t="shared" ref="K352" si="311">SUM(G352:J352)</f>
        <v>0</v>
      </c>
      <c r="L352" s="104">
        <f t="shared" si="303"/>
        <v>2</v>
      </c>
      <c r="M352" s="56">
        <v>45877</v>
      </c>
      <c r="N352" s="33" t="s">
        <v>594</v>
      </c>
      <c r="O352" s="16">
        <v>5</v>
      </c>
      <c r="P352" s="29">
        <v>10</v>
      </c>
      <c r="Q352" s="17"/>
      <c r="R352" s="32">
        <v>10</v>
      </c>
      <c r="S352" s="9">
        <f t="shared" ref="S352:S355" si="312">SUM(O352:R352)</f>
        <v>25</v>
      </c>
      <c r="T352" s="206"/>
      <c r="U352" s="207"/>
      <c r="V352" s="208"/>
      <c r="W352" s="209"/>
      <c r="X352" s="9">
        <f t="shared" ref="X352:X355" si="313">SUM(T352:W352)</f>
        <v>0</v>
      </c>
      <c r="Y352" s="104">
        <f t="shared" ref="Y352:Y355" si="314">S352+X352</f>
        <v>25</v>
      </c>
      <c r="Z352" s="56">
        <v>45912</v>
      </c>
      <c r="AA352" s="35"/>
    </row>
    <row r="353" spans="1:27" x14ac:dyDescent="0.15">
      <c r="A353" s="47" t="s">
        <v>45</v>
      </c>
      <c r="B353" s="16"/>
      <c r="C353" s="29"/>
      <c r="D353" s="17"/>
      <c r="E353" s="20"/>
      <c r="F353" s="45">
        <f t="shared" ref="F353:F376" si="315">SUM(B353:E353)</f>
        <v>0</v>
      </c>
      <c r="G353" s="16">
        <v>1</v>
      </c>
      <c r="H353" s="29"/>
      <c r="I353" s="17"/>
      <c r="J353" s="20"/>
      <c r="K353" s="45">
        <f t="shared" ref="K353:K376" si="316">SUM(G353:J353)</f>
        <v>1</v>
      </c>
      <c r="L353" s="104">
        <f t="shared" si="303"/>
        <v>1</v>
      </c>
      <c r="M353" s="58">
        <v>45878</v>
      </c>
      <c r="N353" s="33" t="s">
        <v>604</v>
      </c>
      <c r="O353" s="16">
        <v>20</v>
      </c>
      <c r="P353" s="29">
        <v>20</v>
      </c>
      <c r="Q353" s="17">
        <v>15</v>
      </c>
      <c r="R353" s="32">
        <v>15</v>
      </c>
      <c r="S353" s="9">
        <f t="shared" si="312"/>
        <v>70</v>
      </c>
      <c r="T353" s="206"/>
      <c r="U353" s="207"/>
      <c r="V353" s="208"/>
      <c r="W353" s="209"/>
      <c r="X353" s="9">
        <f t="shared" si="313"/>
        <v>0</v>
      </c>
      <c r="Y353" s="104">
        <f t="shared" si="314"/>
        <v>70</v>
      </c>
      <c r="Z353" s="56">
        <v>45911</v>
      </c>
    </row>
    <row r="354" spans="1:27" x14ac:dyDescent="0.15">
      <c r="A354" s="47" t="s">
        <v>45</v>
      </c>
      <c r="B354" s="16"/>
      <c r="C354" s="29"/>
      <c r="D354" s="17"/>
      <c r="E354" s="20"/>
      <c r="F354" s="45">
        <f t="shared" si="315"/>
        <v>0</v>
      </c>
      <c r="G354" s="16"/>
      <c r="H354" s="29">
        <v>1</v>
      </c>
      <c r="I354" s="17"/>
      <c r="J354" s="20"/>
      <c r="K354" s="45">
        <f t="shared" si="316"/>
        <v>1</v>
      </c>
      <c r="L354" s="104">
        <f t="shared" si="303"/>
        <v>1</v>
      </c>
      <c r="M354" s="58">
        <v>45887</v>
      </c>
      <c r="N354" s="33" t="s">
        <v>39</v>
      </c>
      <c r="O354" s="16">
        <v>3</v>
      </c>
      <c r="P354" s="29">
        <v>3</v>
      </c>
      <c r="Q354" s="17"/>
      <c r="R354" s="32">
        <v>3</v>
      </c>
      <c r="S354" s="9">
        <f t="shared" si="312"/>
        <v>9</v>
      </c>
      <c r="T354" s="16"/>
      <c r="U354" s="29">
        <v>5</v>
      </c>
      <c r="V354" s="17">
        <v>3</v>
      </c>
      <c r="W354" s="32">
        <v>5</v>
      </c>
      <c r="X354" s="9">
        <f t="shared" si="313"/>
        <v>13</v>
      </c>
      <c r="Y354" s="104">
        <f t="shared" si="314"/>
        <v>22</v>
      </c>
      <c r="Z354" s="56">
        <v>45902</v>
      </c>
    </row>
    <row r="355" spans="1:27" x14ac:dyDescent="0.15">
      <c r="A355" s="47" t="s">
        <v>591</v>
      </c>
      <c r="B355" s="16"/>
      <c r="C355" s="29"/>
      <c r="D355" s="17"/>
      <c r="E355" s="20"/>
      <c r="F355" s="45">
        <f t="shared" si="315"/>
        <v>0</v>
      </c>
      <c r="G355" s="16"/>
      <c r="H355" s="29">
        <v>-1</v>
      </c>
      <c r="I355" s="17"/>
      <c r="J355" s="20"/>
      <c r="K355" s="45">
        <f t="shared" si="316"/>
        <v>-1</v>
      </c>
      <c r="L355" s="104">
        <f t="shared" si="303"/>
        <v>-1</v>
      </c>
      <c r="M355" s="58">
        <v>45889</v>
      </c>
      <c r="N355" s="33" t="s">
        <v>617</v>
      </c>
      <c r="O355" s="16"/>
      <c r="P355" s="29"/>
      <c r="Q355" s="17">
        <v>-5</v>
      </c>
      <c r="R355" s="32">
        <v>-2</v>
      </c>
      <c r="S355" s="9">
        <f t="shared" si="312"/>
        <v>-7</v>
      </c>
      <c r="T355" s="16"/>
      <c r="U355" s="29">
        <v>-1</v>
      </c>
      <c r="V355" s="17">
        <v>-3</v>
      </c>
      <c r="W355" s="32">
        <v>-2</v>
      </c>
      <c r="X355" s="9">
        <f t="shared" si="313"/>
        <v>-6</v>
      </c>
      <c r="Y355" s="104">
        <f t="shared" si="314"/>
        <v>-13</v>
      </c>
      <c r="Z355" s="56">
        <v>45906</v>
      </c>
    </row>
    <row r="356" spans="1:27" x14ac:dyDescent="0.15">
      <c r="A356" s="47" t="s">
        <v>592</v>
      </c>
      <c r="B356" s="16">
        <v>1</v>
      </c>
      <c r="C356" s="29">
        <v>1</v>
      </c>
      <c r="D356" s="17"/>
      <c r="E356" s="20"/>
      <c r="F356" s="45">
        <f t="shared" si="315"/>
        <v>2</v>
      </c>
      <c r="G356" s="16"/>
      <c r="H356" s="29"/>
      <c r="I356" s="17"/>
      <c r="J356" s="20"/>
      <c r="K356" s="45">
        <f t="shared" si="316"/>
        <v>0</v>
      </c>
      <c r="L356" s="104">
        <f t="shared" si="303"/>
        <v>2</v>
      </c>
      <c r="M356" s="56">
        <v>45895</v>
      </c>
      <c r="N356" s="11" t="s">
        <v>622</v>
      </c>
      <c r="O356" s="16"/>
      <c r="P356" s="29"/>
      <c r="Q356" s="17"/>
      <c r="R356" s="32">
        <v>1</v>
      </c>
      <c r="S356" s="9">
        <f t="shared" ref="S356:S357" si="317">SUM(O356:R356)</f>
        <v>1</v>
      </c>
      <c r="T356" s="16"/>
      <c r="U356" s="29"/>
      <c r="V356" s="17"/>
      <c r="W356" s="32"/>
      <c r="X356" s="9">
        <f t="shared" ref="X356:X357" si="318">SUM(T356:W356)</f>
        <v>0</v>
      </c>
      <c r="Y356" s="104">
        <f t="shared" si="307"/>
        <v>1</v>
      </c>
      <c r="Z356" s="56">
        <v>45912</v>
      </c>
    </row>
    <row r="357" spans="1:27" x14ac:dyDescent="0.15">
      <c r="A357" s="47" t="s">
        <v>45</v>
      </c>
      <c r="B357" s="16"/>
      <c r="C357" s="29"/>
      <c r="D357" s="17"/>
      <c r="E357" s="20"/>
      <c r="F357" s="45">
        <f t="shared" si="315"/>
        <v>0</v>
      </c>
      <c r="G357" s="16"/>
      <c r="H357" s="29"/>
      <c r="I357" s="17">
        <v>1</v>
      </c>
      <c r="J357" s="20"/>
      <c r="K357" s="45">
        <f t="shared" si="316"/>
        <v>1</v>
      </c>
      <c r="L357" s="104">
        <f t="shared" si="303"/>
        <v>1</v>
      </c>
      <c r="M357" s="58">
        <v>45894</v>
      </c>
      <c r="N357" s="11" t="s">
        <v>629</v>
      </c>
      <c r="O357" s="16">
        <v>2</v>
      </c>
      <c r="P357" s="29"/>
      <c r="Q357" s="17"/>
      <c r="R357" s="32"/>
      <c r="S357" s="9">
        <f t="shared" si="317"/>
        <v>2</v>
      </c>
      <c r="T357" s="16"/>
      <c r="U357" s="29"/>
      <c r="V357" s="17"/>
      <c r="W357" s="32"/>
      <c r="X357" s="9">
        <f t="shared" si="318"/>
        <v>0</v>
      </c>
      <c r="Y357" s="104">
        <f t="shared" si="307"/>
        <v>2</v>
      </c>
      <c r="Z357" s="56">
        <v>45917</v>
      </c>
      <c r="AA357" s="35"/>
    </row>
    <row r="358" spans="1:27" x14ac:dyDescent="0.15">
      <c r="A358" s="47" t="s">
        <v>45</v>
      </c>
      <c r="B358" s="16"/>
      <c r="C358" s="29"/>
      <c r="D358" s="17"/>
      <c r="E358" s="20"/>
      <c r="F358" s="45">
        <f t="shared" si="315"/>
        <v>0</v>
      </c>
      <c r="G358" s="16"/>
      <c r="H358" s="29">
        <v>1</v>
      </c>
      <c r="I358" s="17">
        <v>1</v>
      </c>
      <c r="J358" s="20"/>
      <c r="K358" s="45">
        <f t="shared" si="316"/>
        <v>2</v>
      </c>
      <c r="L358" s="104">
        <f t="shared" si="303"/>
        <v>2</v>
      </c>
      <c r="M358" s="56">
        <v>45895</v>
      </c>
      <c r="N358" s="33" t="s">
        <v>39</v>
      </c>
      <c r="O358" s="16"/>
      <c r="P358" s="29"/>
      <c r="Q358" s="17"/>
      <c r="R358" s="32"/>
      <c r="S358" s="9">
        <f>SUM(O358:R358)</f>
        <v>0</v>
      </c>
      <c r="T358" s="16"/>
      <c r="U358" s="29">
        <v>3</v>
      </c>
      <c r="V358" s="17">
        <v>3</v>
      </c>
      <c r="W358" s="32">
        <v>3</v>
      </c>
      <c r="X358" s="9">
        <f>SUM(T358:W358)</f>
        <v>9</v>
      </c>
      <c r="Y358" s="104">
        <f t="shared" si="307"/>
        <v>9</v>
      </c>
      <c r="Z358" s="56">
        <v>45916</v>
      </c>
      <c r="AA358" s="35"/>
    </row>
    <row r="359" spans="1:27" x14ac:dyDescent="0.15">
      <c r="A359" s="33" t="s">
        <v>596</v>
      </c>
      <c r="B359" s="16"/>
      <c r="C359" s="29"/>
      <c r="D359" s="17"/>
      <c r="E359" s="20"/>
      <c r="F359" s="45">
        <f t="shared" si="315"/>
        <v>0</v>
      </c>
      <c r="G359" s="16"/>
      <c r="H359" s="29">
        <v>1</v>
      </c>
      <c r="I359" s="17"/>
      <c r="J359" s="20"/>
      <c r="K359" s="45">
        <f t="shared" si="316"/>
        <v>1</v>
      </c>
      <c r="L359" s="104">
        <f t="shared" si="303"/>
        <v>1</v>
      </c>
      <c r="M359" s="56">
        <v>45898</v>
      </c>
      <c r="N359" s="11" t="s">
        <v>650</v>
      </c>
      <c r="O359" s="16"/>
      <c r="P359" s="29"/>
      <c r="Q359" s="17">
        <v>10</v>
      </c>
      <c r="R359" s="32">
        <v>15</v>
      </c>
      <c r="S359" s="9">
        <f t="shared" ref="S359:S363" si="319">SUM(O359:R359)</f>
        <v>25</v>
      </c>
      <c r="T359" s="16"/>
      <c r="U359" s="29"/>
      <c r="V359" s="17"/>
      <c r="W359" s="32"/>
      <c r="X359" s="9">
        <f t="shared" ref="X359:X363" si="320">SUM(T359:W359)</f>
        <v>0</v>
      </c>
      <c r="Y359" s="104">
        <f t="shared" si="307"/>
        <v>25</v>
      </c>
      <c r="Z359" s="56">
        <v>45918</v>
      </c>
      <c r="AA359" s="35"/>
    </row>
    <row r="360" spans="1:27" x14ac:dyDescent="0.15">
      <c r="A360" s="47" t="s">
        <v>45</v>
      </c>
      <c r="B360" s="16"/>
      <c r="C360" s="29"/>
      <c r="D360" s="17"/>
      <c r="E360" s="20">
        <v>1</v>
      </c>
      <c r="F360" s="45">
        <f t="shared" si="315"/>
        <v>1</v>
      </c>
      <c r="G360" s="16"/>
      <c r="H360" s="29"/>
      <c r="I360" s="17"/>
      <c r="J360" s="20"/>
      <c r="K360" s="45">
        <f t="shared" si="316"/>
        <v>0</v>
      </c>
      <c r="L360" s="104">
        <f t="shared" si="303"/>
        <v>1</v>
      </c>
      <c r="M360" s="56">
        <v>45896</v>
      </c>
      <c r="N360" s="33" t="s">
        <v>651</v>
      </c>
      <c r="O360" s="16"/>
      <c r="P360" s="29"/>
      <c r="Q360" s="17"/>
      <c r="R360" s="32"/>
      <c r="S360" s="9">
        <f t="shared" si="319"/>
        <v>0</v>
      </c>
      <c r="T360" s="16"/>
      <c r="U360" s="29"/>
      <c r="V360" s="17"/>
      <c r="W360" s="32">
        <v>1</v>
      </c>
      <c r="X360" s="9">
        <f t="shared" si="320"/>
        <v>1</v>
      </c>
      <c r="Y360" s="104">
        <f t="shared" si="307"/>
        <v>1</v>
      </c>
      <c r="Z360" s="56">
        <v>45922</v>
      </c>
    </row>
    <row r="361" spans="1:27" x14ac:dyDescent="0.15">
      <c r="A361" s="47" t="s">
        <v>45</v>
      </c>
      <c r="B361" s="16"/>
      <c r="C361" s="29"/>
      <c r="D361" s="17"/>
      <c r="E361" s="20"/>
      <c r="F361" s="45">
        <f t="shared" si="315"/>
        <v>0</v>
      </c>
      <c r="G361" s="16"/>
      <c r="H361" s="29">
        <v>1</v>
      </c>
      <c r="I361" s="17">
        <v>1</v>
      </c>
      <c r="J361" s="20"/>
      <c r="K361" s="45">
        <f t="shared" si="316"/>
        <v>2</v>
      </c>
      <c r="L361" s="104">
        <f t="shared" si="303"/>
        <v>2</v>
      </c>
      <c r="M361" s="56">
        <v>45897</v>
      </c>
      <c r="N361" s="11" t="s">
        <v>653</v>
      </c>
      <c r="O361" s="16"/>
      <c r="P361" s="29">
        <v>10</v>
      </c>
      <c r="Q361" s="17">
        <v>2</v>
      </c>
      <c r="R361" s="32">
        <v>15</v>
      </c>
      <c r="S361" s="9">
        <f t="shared" si="319"/>
        <v>27</v>
      </c>
      <c r="T361" s="16"/>
      <c r="U361" s="29"/>
      <c r="V361" s="17"/>
      <c r="W361" s="32"/>
      <c r="X361" s="9">
        <f t="shared" si="320"/>
        <v>0</v>
      </c>
      <c r="Y361" s="104">
        <f t="shared" si="307"/>
        <v>27</v>
      </c>
      <c r="Z361" s="56">
        <v>45919</v>
      </c>
    </row>
    <row r="362" spans="1:27" x14ac:dyDescent="0.15">
      <c r="A362" s="47" t="s">
        <v>600</v>
      </c>
      <c r="B362" s="16">
        <v>1</v>
      </c>
      <c r="C362" s="29">
        <v>1</v>
      </c>
      <c r="D362" s="17">
        <v>1</v>
      </c>
      <c r="E362" s="20">
        <v>1</v>
      </c>
      <c r="F362" s="45">
        <f t="shared" si="315"/>
        <v>4</v>
      </c>
      <c r="G362" s="16">
        <v>0</v>
      </c>
      <c r="H362" s="29">
        <v>1</v>
      </c>
      <c r="I362" s="17">
        <v>1</v>
      </c>
      <c r="J362" s="20">
        <v>1</v>
      </c>
      <c r="K362" s="45">
        <f t="shared" si="316"/>
        <v>3</v>
      </c>
      <c r="L362" s="104">
        <f t="shared" si="303"/>
        <v>7</v>
      </c>
      <c r="M362" s="56">
        <v>45898</v>
      </c>
      <c r="N362" s="11" t="s">
        <v>656</v>
      </c>
      <c r="O362" s="16"/>
      <c r="P362" s="29">
        <v>3</v>
      </c>
      <c r="Q362" s="17"/>
      <c r="R362" s="32"/>
      <c r="S362" s="9">
        <f t="shared" si="319"/>
        <v>3</v>
      </c>
      <c r="T362" s="16"/>
      <c r="U362" s="29"/>
      <c r="V362" s="17"/>
      <c r="W362" s="32"/>
      <c r="X362" s="9">
        <f t="shared" si="320"/>
        <v>0</v>
      </c>
      <c r="Y362" s="104">
        <f t="shared" si="307"/>
        <v>3</v>
      </c>
      <c r="Z362" s="56">
        <v>45920</v>
      </c>
    </row>
    <row r="363" spans="1:27" x14ac:dyDescent="0.15">
      <c r="A363" s="47" t="s">
        <v>592</v>
      </c>
      <c r="B363" s="16"/>
      <c r="C363" s="29"/>
      <c r="D363" s="17"/>
      <c r="E363" s="20">
        <v>1</v>
      </c>
      <c r="F363" s="45">
        <f t="shared" si="315"/>
        <v>1</v>
      </c>
      <c r="G363" s="16"/>
      <c r="H363" s="29"/>
      <c r="I363" s="17"/>
      <c r="J363" s="20">
        <v>1</v>
      </c>
      <c r="K363" s="45">
        <f t="shared" si="316"/>
        <v>1</v>
      </c>
      <c r="L363" s="104">
        <f t="shared" si="303"/>
        <v>2</v>
      </c>
      <c r="M363" s="56">
        <v>45901</v>
      </c>
      <c r="N363" s="72"/>
      <c r="O363" s="16"/>
      <c r="P363" s="29"/>
      <c r="Q363" s="17"/>
      <c r="R363" s="32"/>
      <c r="S363" s="9">
        <f t="shared" si="319"/>
        <v>0</v>
      </c>
      <c r="T363" s="16"/>
      <c r="U363" s="29"/>
      <c r="V363" s="17"/>
      <c r="W363" s="32"/>
      <c r="X363" s="9">
        <f t="shared" si="320"/>
        <v>0</v>
      </c>
      <c r="Y363" s="104">
        <f t="shared" si="307"/>
        <v>0</v>
      </c>
      <c r="Z363" s="157"/>
    </row>
    <row r="364" spans="1:27" x14ac:dyDescent="0.15">
      <c r="A364" s="33" t="s">
        <v>601</v>
      </c>
      <c r="B364" s="16">
        <v>1</v>
      </c>
      <c r="C364" s="29"/>
      <c r="D364" s="17"/>
      <c r="E364" s="20"/>
      <c r="F364" s="45">
        <f t="shared" si="315"/>
        <v>1</v>
      </c>
      <c r="G364" s="16"/>
      <c r="H364" s="29">
        <v>1</v>
      </c>
      <c r="I364" s="17"/>
      <c r="J364" s="20"/>
      <c r="K364" s="45">
        <f t="shared" si="316"/>
        <v>1</v>
      </c>
      <c r="L364" s="104">
        <f t="shared" si="303"/>
        <v>2</v>
      </c>
      <c r="M364" s="56">
        <v>45901</v>
      </c>
      <c r="N364" s="33"/>
      <c r="O364" s="16"/>
      <c r="P364" s="29"/>
      <c r="Q364" s="17"/>
      <c r="R364" s="32"/>
      <c r="S364" s="9">
        <f>SUM(O364:R364)</f>
        <v>0</v>
      </c>
      <c r="T364" s="16"/>
      <c r="U364" s="29"/>
      <c r="V364" s="17"/>
      <c r="W364" s="32"/>
      <c r="X364" s="9">
        <f>SUM(T364:W364)</f>
        <v>0</v>
      </c>
      <c r="Y364" s="104">
        <f t="shared" si="307"/>
        <v>0</v>
      </c>
      <c r="Z364" s="157"/>
    </row>
    <row r="365" spans="1:27" x14ac:dyDescent="0.15">
      <c r="A365" s="47" t="s">
        <v>45</v>
      </c>
      <c r="B365" s="16"/>
      <c r="C365" s="29"/>
      <c r="D365" s="17"/>
      <c r="E365" s="20"/>
      <c r="F365" s="45">
        <f t="shared" si="315"/>
        <v>0</v>
      </c>
      <c r="G365" s="16"/>
      <c r="H365" s="29"/>
      <c r="I365" s="17"/>
      <c r="J365" s="20">
        <v>1</v>
      </c>
      <c r="K365" s="45">
        <f t="shared" si="316"/>
        <v>1</v>
      </c>
      <c r="L365" s="104">
        <f t="shared" si="303"/>
        <v>1</v>
      </c>
      <c r="M365" s="56">
        <v>45898</v>
      </c>
      <c r="N365" s="72"/>
      <c r="O365" s="16"/>
      <c r="P365" s="29"/>
      <c r="Q365" s="17"/>
      <c r="R365" s="32"/>
      <c r="S365" s="9">
        <f>SUM(O365:R365)</f>
        <v>0</v>
      </c>
      <c r="T365" s="16"/>
      <c r="U365" s="29"/>
      <c r="V365" s="17"/>
      <c r="W365" s="32"/>
      <c r="X365" s="9">
        <f>SUM(T365:W365)</f>
        <v>0</v>
      </c>
      <c r="Y365" s="104">
        <f t="shared" si="307"/>
        <v>0</v>
      </c>
      <c r="Z365" s="157"/>
    </row>
    <row r="366" spans="1:27" x14ac:dyDescent="0.15">
      <c r="A366" s="47" t="s">
        <v>45</v>
      </c>
      <c r="B366" s="16"/>
      <c r="C366" s="29"/>
      <c r="D366" s="17"/>
      <c r="E366" s="20">
        <v>1</v>
      </c>
      <c r="F366" s="45">
        <f t="shared" ref="F366" si="321">SUM(B366:E366)</f>
        <v>1</v>
      </c>
      <c r="G366" s="16"/>
      <c r="H366" s="29">
        <v>2</v>
      </c>
      <c r="I366" s="17"/>
      <c r="J366" s="20">
        <f>1+1</f>
        <v>2</v>
      </c>
      <c r="K366" s="45">
        <f t="shared" ref="K366" si="322">SUM(G366:J366)</f>
        <v>4</v>
      </c>
      <c r="L366" s="104">
        <f t="shared" ref="L366" si="323">F366+K366</f>
        <v>5</v>
      </c>
      <c r="M366" s="56">
        <v>45901</v>
      </c>
      <c r="N366" s="72"/>
      <c r="O366" s="16"/>
      <c r="P366" s="29"/>
      <c r="Q366" s="17"/>
      <c r="R366" s="32"/>
      <c r="S366" s="9">
        <f t="shared" ref="S366:S369" si="324">SUM(O366:R366)</f>
        <v>0</v>
      </c>
      <c r="T366" s="16"/>
      <c r="U366" s="29"/>
      <c r="V366" s="17"/>
      <c r="W366" s="32"/>
      <c r="X366" s="9">
        <f t="shared" ref="X366:X369" si="325">SUM(T366:W366)</f>
        <v>0</v>
      </c>
      <c r="Y366" s="104">
        <f t="shared" si="307"/>
        <v>0</v>
      </c>
    </row>
    <row r="367" spans="1:27" x14ac:dyDescent="0.15">
      <c r="A367" s="47" t="s">
        <v>608</v>
      </c>
      <c r="B367" s="16">
        <v>-3</v>
      </c>
      <c r="C367" s="29">
        <v>-3</v>
      </c>
      <c r="D367" s="17"/>
      <c r="E367" s="20">
        <v>-3</v>
      </c>
      <c r="F367" s="45">
        <f t="shared" si="315"/>
        <v>-9</v>
      </c>
      <c r="G367" s="16"/>
      <c r="H367" s="29">
        <v>-5</v>
      </c>
      <c r="I367" s="17">
        <v>-3</v>
      </c>
      <c r="J367" s="20">
        <v>-5</v>
      </c>
      <c r="K367" s="45">
        <f t="shared" si="316"/>
        <v>-13</v>
      </c>
      <c r="L367" s="104">
        <f t="shared" si="303"/>
        <v>-22</v>
      </c>
      <c r="M367" s="56">
        <v>45902</v>
      </c>
      <c r="N367" s="72"/>
      <c r="O367" s="16"/>
      <c r="P367" s="29"/>
      <c r="Q367" s="17"/>
      <c r="R367" s="32"/>
      <c r="S367" s="9">
        <f t="shared" si="324"/>
        <v>0</v>
      </c>
      <c r="T367" s="16"/>
      <c r="U367" s="29"/>
      <c r="V367" s="17"/>
      <c r="W367" s="32"/>
      <c r="X367" s="9">
        <f t="shared" si="325"/>
        <v>0</v>
      </c>
      <c r="Y367" s="104">
        <f t="shared" si="307"/>
        <v>0</v>
      </c>
    </row>
    <row r="368" spans="1:27" x14ac:dyDescent="0.15">
      <c r="A368" s="47" t="s">
        <v>45</v>
      </c>
      <c r="B368" s="16"/>
      <c r="C368" s="29"/>
      <c r="D368" s="17"/>
      <c r="E368" s="20"/>
      <c r="F368" s="45">
        <f t="shared" si="315"/>
        <v>0</v>
      </c>
      <c r="G368" s="16"/>
      <c r="H368" s="29">
        <v>1</v>
      </c>
      <c r="I368" s="17"/>
      <c r="J368" s="20"/>
      <c r="K368" s="45">
        <f t="shared" si="316"/>
        <v>1</v>
      </c>
      <c r="L368" s="104">
        <f t="shared" si="303"/>
        <v>1</v>
      </c>
      <c r="M368" s="56">
        <v>45904</v>
      </c>
      <c r="N368" s="72"/>
      <c r="O368" s="16"/>
      <c r="P368" s="29"/>
      <c r="Q368" s="17"/>
      <c r="R368" s="32"/>
      <c r="S368" s="9">
        <f t="shared" si="324"/>
        <v>0</v>
      </c>
      <c r="T368" s="16"/>
      <c r="U368" s="29"/>
      <c r="V368" s="17"/>
      <c r="W368" s="32"/>
      <c r="X368" s="9">
        <f t="shared" si="325"/>
        <v>0</v>
      </c>
      <c r="Y368" s="104">
        <f t="shared" si="307"/>
        <v>0</v>
      </c>
    </row>
    <row r="369" spans="1:26" x14ac:dyDescent="0.15">
      <c r="A369" s="47" t="s">
        <v>616</v>
      </c>
      <c r="B369" s="16"/>
      <c r="C369" s="29"/>
      <c r="D369" s="17">
        <v>5</v>
      </c>
      <c r="E369" s="20">
        <v>2</v>
      </c>
      <c r="F369" s="45">
        <f t="shared" si="315"/>
        <v>7</v>
      </c>
      <c r="G369" s="16"/>
      <c r="H369" s="29">
        <v>1</v>
      </c>
      <c r="I369" s="17">
        <v>3</v>
      </c>
      <c r="J369" s="20">
        <v>2</v>
      </c>
      <c r="K369" s="45">
        <f t="shared" si="316"/>
        <v>6</v>
      </c>
      <c r="L369" s="104">
        <f t="shared" si="303"/>
        <v>13</v>
      </c>
      <c r="M369" s="56">
        <v>45906</v>
      </c>
      <c r="N369" s="72"/>
      <c r="O369" s="41"/>
      <c r="P369" s="42"/>
      <c r="Q369" s="43"/>
      <c r="R369" s="59"/>
      <c r="S369" s="61">
        <f t="shared" si="324"/>
        <v>0</v>
      </c>
      <c r="T369" s="41"/>
      <c r="U369" s="42"/>
      <c r="V369" s="43"/>
      <c r="W369" s="59"/>
      <c r="X369" s="61">
        <f t="shared" si="325"/>
        <v>0</v>
      </c>
      <c r="Y369" s="104">
        <f t="shared" si="307"/>
        <v>0</v>
      </c>
    </row>
    <row r="370" spans="1:26" x14ac:dyDescent="0.15">
      <c r="A370" s="47" t="s">
        <v>45</v>
      </c>
      <c r="B370" s="16"/>
      <c r="C370" s="29"/>
      <c r="D370" s="17"/>
      <c r="E370" s="20"/>
      <c r="F370" s="45">
        <f t="shared" si="315"/>
        <v>0</v>
      </c>
      <c r="G370" s="16"/>
      <c r="H370" s="29">
        <v>1</v>
      </c>
      <c r="I370" s="17"/>
      <c r="J370" s="20"/>
      <c r="K370" s="45">
        <f t="shared" si="316"/>
        <v>1</v>
      </c>
      <c r="L370" s="104">
        <f t="shared" si="303"/>
        <v>1</v>
      </c>
      <c r="M370" s="56">
        <v>45909</v>
      </c>
      <c r="N370" s="33"/>
      <c r="O370" s="16"/>
      <c r="P370" s="29"/>
      <c r="Q370" s="17"/>
      <c r="R370" s="32"/>
      <c r="S370" s="9">
        <f>SUM(O370:R370)</f>
        <v>0</v>
      </c>
      <c r="T370" s="16"/>
      <c r="U370" s="29"/>
      <c r="V370" s="17"/>
      <c r="W370" s="32"/>
      <c r="X370" s="9">
        <f>SUM(T370:W370)</f>
        <v>0</v>
      </c>
      <c r="Y370" s="104">
        <f t="shared" si="307"/>
        <v>0</v>
      </c>
    </row>
    <row r="371" spans="1:26" x14ac:dyDescent="0.15">
      <c r="A371" s="33" t="s">
        <v>628</v>
      </c>
      <c r="B371" s="16"/>
      <c r="C371" s="29"/>
      <c r="D371" s="17">
        <v>1</v>
      </c>
      <c r="E371" s="20"/>
      <c r="F371" s="45">
        <f t="shared" si="315"/>
        <v>1</v>
      </c>
      <c r="G371" s="16"/>
      <c r="H371" s="29"/>
      <c r="I371" s="17"/>
      <c r="J371" s="20"/>
      <c r="K371" s="45">
        <f t="shared" si="316"/>
        <v>0</v>
      </c>
      <c r="L371" s="104">
        <f t="shared" si="303"/>
        <v>1</v>
      </c>
      <c r="M371" s="56">
        <v>45910</v>
      </c>
      <c r="N371" s="11"/>
      <c r="O371" s="16"/>
      <c r="P371" s="17"/>
      <c r="Q371" s="29"/>
      <c r="R371" s="60"/>
      <c r="S371" s="9">
        <f t="shared" ref="S371:S377" si="326">SUM(O371:R371)</f>
        <v>0</v>
      </c>
      <c r="T371" s="16"/>
      <c r="U371" s="17"/>
      <c r="V371" s="29"/>
      <c r="W371" s="60"/>
      <c r="X371" s="9">
        <f t="shared" ref="X371:X377" si="327">SUM(T371:W371)</f>
        <v>0</v>
      </c>
      <c r="Y371" s="104">
        <f t="shared" si="307"/>
        <v>0</v>
      </c>
    </row>
    <row r="372" spans="1:26" x14ac:dyDescent="0.15">
      <c r="A372" s="47" t="s">
        <v>630</v>
      </c>
      <c r="B372" s="16"/>
      <c r="C372" s="29"/>
      <c r="D372" s="17">
        <v>-1</v>
      </c>
      <c r="E372" s="20">
        <v>-1</v>
      </c>
      <c r="F372" s="45">
        <f t="shared" si="315"/>
        <v>-2</v>
      </c>
      <c r="G372" s="16"/>
      <c r="H372" s="29"/>
      <c r="I372" s="17"/>
      <c r="J372" s="20"/>
      <c r="K372" s="45">
        <f t="shared" si="316"/>
        <v>0</v>
      </c>
      <c r="L372" s="104">
        <f t="shared" si="303"/>
        <v>-2</v>
      </c>
      <c r="M372" s="58">
        <v>45909</v>
      </c>
      <c r="N372" s="33" t="s">
        <v>450</v>
      </c>
      <c r="O372" s="16"/>
      <c r="P372" s="29"/>
      <c r="Q372" s="17"/>
      <c r="R372" s="32"/>
      <c r="S372" s="9">
        <f t="shared" si="326"/>
        <v>0</v>
      </c>
      <c r="T372" s="16"/>
      <c r="U372" s="29"/>
      <c r="V372" s="17"/>
      <c r="W372" s="32"/>
      <c r="X372" s="9">
        <f t="shared" si="327"/>
        <v>0</v>
      </c>
      <c r="Y372" s="104">
        <f t="shared" si="307"/>
        <v>0</v>
      </c>
      <c r="Z372" s="157"/>
    </row>
    <row r="373" spans="1:26" x14ac:dyDescent="0.15">
      <c r="A373" s="47" t="s">
        <v>45</v>
      </c>
      <c r="B373" s="16"/>
      <c r="C373" s="29">
        <v>1</v>
      </c>
      <c r="D373" s="17"/>
      <c r="E373" s="20"/>
      <c r="F373" s="45">
        <f t="shared" si="315"/>
        <v>1</v>
      </c>
      <c r="G373" s="16"/>
      <c r="H373" s="29"/>
      <c r="I373" s="17"/>
      <c r="J373" s="20"/>
      <c r="K373" s="45">
        <f t="shared" si="316"/>
        <v>0</v>
      </c>
      <c r="L373" s="104">
        <f t="shared" si="303"/>
        <v>1</v>
      </c>
      <c r="M373" s="58">
        <v>45910</v>
      </c>
      <c r="N373" s="72" t="s">
        <v>510</v>
      </c>
      <c r="O373" s="166"/>
      <c r="P373" s="167"/>
      <c r="Q373" s="160"/>
      <c r="R373" s="168"/>
      <c r="S373" s="165">
        <f t="shared" si="326"/>
        <v>0</v>
      </c>
      <c r="T373" s="161"/>
      <c r="U373" s="162"/>
      <c r="V373" s="163"/>
      <c r="W373" s="248"/>
      <c r="X373" s="165">
        <f t="shared" si="327"/>
        <v>0</v>
      </c>
      <c r="Y373" s="169">
        <f t="shared" si="307"/>
        <v>0</v>
      </c>
      <c r="Z373" s="224"/>
    </row>
    <row r="374" spans="1:26" x14ac:dyDescent="0.15">
      <c r="A374" s="33" t="s">
        <v>633</v>
      </c>
      <c r="B374" s="16"/>
      <c r="C374" s="29"/>
      <c r="D374" s="17">
        <v>1</v>
      </c>
      <c r="E374" s="20"/>
      <c r="F374" s="45">
        <f t="shared" si="315"/>
        <v>1</v>
      </c>
      <c r="G374" s="16"/>
      <c r="H374" s="29"/>
      <c r="I374" s="17"/>
      <c r="J374" s="20"/>
      <c r="K374" s="45">
        <f t="shared" si="316"/>
        <v>0</v>
      </c>
      <c r="L374" s="104">
        <f t="shared" si="303"/>
        <v>1</v>
      </c>
      <c r="M374" s="58">
        <v>45912</v>
      </c>
      <c r="N374" s="11" t="s">
        <v>427</v>
      </c>
      <c r="O374" s="16"/>
      <c r="P374" s="29"/>
      <c r="Q374" s="17"/>
      <c r="R374" s="32"/>
      <c r="S374" s="9">
        <f t="shared" si="326"/>
        <v>0</v>
      </c>
      <c r="T374" s="206"/>
      <c r="U374" s="207"/>
      <c r="V374" s="208"/>
      <c r="W374" s="249"/>
      <c r="X374" s="9">
        <f t="shared" si="327"/>
        <v>0</v>
      </c>
      <c r="Y374" s="104">
        <f t="shared" si="307"/>
        <v>0</v>
      </c>
      <c r="Z374" s="157" t="s">
        <v>509</v>
      </c>
    </row>
    <row r="375" spans="1:26" x14ac:dyDescent="0.15">
      <c r="A375" s="47" t="s">
        <v>643</v>
      </c>
      <c r="B375" s="16">
        <v>-2</v>
      </c>
      <c r="C375" s="29"/>
      <c r="D375" s="17">
        <v>-1</v>
      </c>
      <c r="E375" s="20">
        <v>-1</v>
      </c>
      <c r="F375" s="45">
        <f t="shared" si="315"/>
        <v>-4</v>
      </c>
      <c r="G375" s="16"/>
      <c r="H375" s="29"/>
      <c r="I375" s="17"/>
      <c r="J375" s="20"/>
      <c r="K375" s="45">
        <f t="shared" si="316"/>
        <v>0</v>
      </c>
      <c r="L375" s="104">
        <f t="shared" si="303"/>
        <v>-4</v>
      </c>
      <c r="M375" s="58">
        <v>45910</v>
      </c>
      <c r="N375" s="72" t="s">
        <v>598</v>
      </c>
      <c r="O375" s="171"/>
      <c r="P375" s="172"/>
      <c r="Q375" s="173"/>
      <c r="R375" s="174"/>
      <c r="S375" s="175">
        <f t="shared" ref="S375:S376" si="328">SUM(O375:R375)</f>
        <v>0</v>
      </c>
      <c r="T375" s="201"/>
      <c r="U375" s="202"/>
      <c r="V375" s="203"/>
      <c r="W375" s="204"/>
      <c r="X375" s="175">
        <f t="shared" ref="X375:X376" si="329">SUM(T375:W375)</f>
        <v>0</v>
      </c>
      <c r="Y375" s="205">
        <f t="shared" ref="Y375:Y376" si="330">S375+X375</f>
        <v>0</v>
      </c>
      <c r="Z375" s="224"/>
    </row>
    <row r="376" spans="1:26" ht="14.25" thickBot="1" x14ac:dyDescent="0.2">
      <c r="A376" s="47" t="s">
        <v>45</v>
      </c>
      <c r="B376" s="37"/>
      <c r="C376" s="38">
        <v>1</v>
      </c>
      <c r="D376" s="39">
        <v>1</v>
      </c>
      <c r="E376" s="40"/>
      <c r="F376" s="45">
        <f t="shared" si="315"/>
        <v>2</v>
      </c>
      <c r="G376" s="37"/>
      <c r="H376" s="38"/>
      <c r="I376" s="39"/>
      <c r="J376" s="40">
        <v>1</v>
      </c>
      <c r="K376" s="45">
        <f t="shared" si="316"/>
        <v>1</v>
      </c>
      <c r="L376" s="104">
        <f t="shared" si="303"/>
        <v>3</v>
      </c>
      <c r="M376" s="58">
        <v>45916</v>
      </c>
      <c r="N376" s="170" t="s">
        <v>147</v>
      </c>
      <c r="O376" s="117"/>
      <c r="P376" s="118"/>
      <c r="Q376" s="119"/>
      <c r="R376" s="233"/>
      <c r="S376" s="48">
        <f t="shared" si="328"/>
        <v>0</v>
      </c>
      <c r="T376" s="229"/>
      <c r="U376" s="230"/>
      <c r="V376" s="231"/>
      <c r="W376" s="232"/>
      <c r="X376" s="48">
        <f t="shared" si="329"/>
        <v>0</v>
      </c>
      <c r="Y376" s="122">
        <f t="shared" si="330"/>
        <v>0</v>
      </c>
      <c r="Z376" s="157" t="s">
        <v>382</v>
      </c>
    </row>
    <row r="377" spans="1:26" ht="14.25" thickBot="1" x14ac:dyDescent="0.2">
      <c r="A377" s="13" t="s">
        <v>8</v>
      </c>
      <c r="B377" s="22">
        <f>SUM(B352:B376)</f>
        <v>-1</v>
      </c>
      <c r="C377" s="30">
        <f>SUM(C352:C376)</f>
        <v>2</v>
      </c>
      <c r="D377" s="23">
        <f>SUM(D352:D376)</f>
        <v>7</v>
      </c>
      <c r="E377" s="24">
        <f>SUM(E352:E376)</f>
        <v>1</v>
      </c>
      <c r="F377" s="21">
        <f>SUM(B377:E377)</f>
        <v>9</v>
      </c>
      <c r="G377" s="22">
        <f>SUM(G352:G376)</f>
        <v>1</v>
      </c>
      <c r="H377" s="30">
        <f>SUM(H352:H376)</f>
        <v>5</v>
      </c>
      <c r="I377" s="23">
        <f>SUM(I352:I376)</f>
        <v>4</v>
      </c>
      <c r="J377" s="24">
        <f>SUM(J352:J376)</f>
        <v>3</v>
      </c>
      <c r="K377" s="21">
        <f>SUM(G377:J377)</f>
        <v>13</v>
      </c>
      <c r="L377" s="105">
        <f t="shared" si="303"/>
        <v>22</v>
      </c>
      <c r="N377" s="49" t="s">
        <v>8</v>
      </c>
      <c r="O377" s="22">
        <f>SUM(O352:O376)</f>
        <v>30</v>
      </c>
      <c r="P377" s="30">
        <f>SUM(P352:P376)</f>
        <v>46</v>
      </c>
      <c r="Q377" s="23">
        <f>SUM(Q352:Q376)</f>
        <v>22</v>
      </c>
      <c r="R377" s="24">
        <f>SUM(R352:R376)</f>
        <v>57</v>
      </c>
      <c r="S377" s="48">
        <f t="shared" si="326"/>
        <v>155</v>
      </c>
      <c r="T377" s="22">
        <f>SUM(T352:T376)</f>
        <v>0</v>
      </c>
      <c r="U377" s="30">
        <f>SUM(U352:U376)</f>
        <v>7</v>
      </c>
      <c r="V377" s="23">
        <f>SUM(V352:V376)</f>
        <v>3</v>
      </c>
      <c r="W377" s="24">
        <f>SUM(W352:W376)</f>
        <v>7</v>
      </c>
      <c r="X377" s="48">
        <f t="shared" si="327"/>
        <v>17</v>
      </c>
      <c r="Y377" s="122">
        <f t="shared" si="307"/>
        <v>172</v>
      </c>
    </row>
    <row r="378" spans="1:26" ht="14.25" thickBot="1" x14ac:dyDescent="0.2">
      <c r="A378" s="14" t="s">
        <v>9</v>
      </c>
      <c r="B378" s="25">
        <f t="shared" ref="B378:K378" si="331">B351-B377</f>
        <v>8</v>
      </c>
      <c r="C378" s="31">
        <f t="shared" si="331"/>
        <v>4</v>
      </c>
      <c r="D378" s="26">
        <f t="shared" si="331"/>
        <v>2</v>
      </c>
      <c r="E378" s="27">
        <f t="shared" si="331"/>
        <v>5</v>
      </c>
      <c r="F378" s="83">
        <f t="shared" si="331"/>
        <v>19</v>
      </c>
      <c r="G378" s="25">
        <f t="shared" si="331"/>
        <v>4</v>
      </c>
      <c r="H378" s="31">
        <f t="shared" si="331"/>
        <v>2</v>
      </c>
      <c r="I378" s="26">
        <f t="shared" si="331"/>
        <v>3</v>
      </c>
      <c r="J378" s="27">
        <f t="shared" si="331"/>
        <v>2</v>
      </c>
      <c r="K378" s="83">
        <f t="shared" si="331"/>
        <v>11</v>
      </c>
      <c r="L378" s="102">
        <f t="shared" si="303"/>
        <v>30</v>
      </c>
      <c r="N378" s="13" t="s">
        <v>9</v>
      </c>
      <c r="O378" s="25">
        <f t="shared" ref="O378:X378" si="332">O351-O377</f>
        <v>75</v>
      </c>
      <c r="P378" s="31">
        <f t="shared" si="332"/>
        <v>54</v>
      </c>
      <c r="Q378" s="26">
        <f t="shared" si="332"/>
        <v>76</v>
      </c>
      <c r="R378" s="27">
        <f t="shared" si="332"/>
        <v>17</v>
      </c>
      <c r="S378" s="36">
        <f t="shared" si="332"/>
        <v>222</v>
      </c>
      <c r="T378" s="25">
        <f t="shared" si="332"/>
        <v>45</v>
      </c>
      <c r="U378" s="31">
        <f t="shared" si="332"/>
        <v>76</v>
      </c>
      <c r="V378" s="26">
        <f t="shared" si="332"/>
        <v>59</v>
      </c>
      <c r="W378" s="27">
        <f t="shared" si="332"/>
        <v>31</v>
      </c>
      <c r="X378" s="36">
        <f t="shared" si="332"/>
        <v>211</v>
      </c>
      <c r="Y378" s="102">
        <f t="shared" si="307"/>
        <v>433</v>
      </c>
    </row>
    <row r="379" spans="1:26" x14ac:dyDescent="0.15">
      <c r="N379" s="24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</row>
    <row r="380" spans="1:26" x14ac:dyDescent="0.15">
      <c r="N380" s="18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</row>
    <row r="381" spans="1:26" ht="19.5" thickBot="1" x14ac:dyDescent="0.25">
      <c r="A381" s="2" t="s">
        <v>18</v>
      </c>
      <c r="B381" s="2"/>
      <c r="C381" s="1"/>
      <c r="D381" s="1"/>
      <c r="E381" s="1"/>
      <c r="F381" s="84"/>
      <c r="G381" s="2"/>
      <c r="H381" s="1" t="s">
        <v>157</v>
      </c>
      <c r="I381" s="1"/>
      <c r="J381" s="1"/>
      <c r="K381" s="84" t="s">
        <v>13</v>
      </c>
      <c r="L381" s="84"/>
      <c r="N381" s="2" t="s">
        <v>19</v>
      </c>
      <c r="O381" s="71"/>
      <c r="P381" s="71"/>
      <c r="Q381" s="71"/>
      <c r="R381" s="71"/>
      <c r="S381" s="246">
        <v>0.74</v>
      </c>
      <c r="T381" s="1" t="s">
        <v>157</v>
      </c>
      <c r="U381" s="71"/>
      <c r="V381" s="84" t="s">
        <v>13</v>
      </c>
      <c r="W381" s="71"/>
      <c r="X381" s="246">
        <v>0.26</v>
      </c>
    </row>
    <row r="382" spans="1:26" ht="14.25" thickBot="1" x14ac:dyDescent="0.2">
      <c r="A382" s="5" t="s">
        <v>0</v>
      </c>
      <c r="B382" s="322" t="s">
        <v>32</v>
      </c>
      <c r="C382" s="323"/>
      <c r="D382" s="323"/>
      <c r="E382" s="323"/>
      <c r="F382" s="324"/>
      <c r="G382" s="325" t="s">
        <v>31</v>
      </c>
      <c r="H382" s="326"/>
      <c r="I382" s="326"/>
      <c r="J382" s="326"/>
      <c r="K382" s="327"/>
      <c r="L382" s="320" t="s">
        <v>30</v>
      </c>
      <c r="N382" s="5" t="s">
        <v>0</v>
      </c>
      <c r="O382" s="322" t="s">
        <v>200</v>
      </c>
      <c r="P382" s="323"/>
      <c r="Q382" s="323"/>
      <c r="R382" s="323"/>
      <c r="S382" s="324"/>
      <c r="T382" s="325" t="s">
        <v>201</v>
      </c>
      <c r="U382" s="326"/>
      <c r="V382" s="326"/>
      <c r="W382" s="326"/>
      <c r="X382" s="327"/>
      <c r="Y382" s="320" t="s">
        <v>30</v>
      </c>
    </row>
    <row r="383" spans="1:26" ht="14.25" thickBot="1" x14ac:dyDescent="0.2">
      <c r="A383" s="5" t="s">
        <v>1</v>
      </c>
      <c r="B383" s="3" t="s">
        <v>22</v>
      </c>
      <c r="C383" s="28" t="s">
        <v>23</v>
      </c>
      <c r="D383" s="4" t="s">
        <v>24</v>
      </c>
      <c r="E383" s="15" t="s">
        <v>25</v>
      </c>
      <c r="F383" s="19" t="s">
        <v>2</v>
      </c>
      <c r="G383" s="3" t="s">
        <v>22</v>
      </c>
      <c r="H383" s="28" t="s">
        <v>23</v>
      </c>
      <c r="I383" s="4" t="s">
        <v>24</v>
      </c>
      <c r="J383" s="15" t="s">
        <v>25</v>
      </c>
      <c r="K383" s="19" t="s">
        <v>2</v>
      </c>
      <c r="L383" s="321"/>
      <c r="N383" s="5" t="s">
        <v>1</v>
      </c>
      <c r="O383" s="3" t="s">
        <v>22</v>
      </c>
      <c r="P383" s="28" t="s">
        <v>23</v>
      </c>
      <c r="Q383" s="4" t="s">
        <v>24</v>
      </c>
      <c r="R383" s="15" t="s">
        <v>25</v>
      </c>
      <c r="S383" s="19" t="s">
        <v>2</v>
      </c>
      <c r="T383" s="3" t="s">
        <v>22</v>
      </c>
      <c r="U383" s="28" t="s">
        <v>23</v>
      </c>
      <c r="V383" s="4" t="s">
        <v>24</v>
      </c>
      <c r="W383" s="15" t="s">
        <v>25</v>
      </c>
      <c r="X383" s="19" t="s">
        <v>2</v>
      </c>
      <c r="Y383" s="321"/>
    </row>
    <row r="384" spans="1:26" x14ac:dyDescent="0.15">
      <c r="A384" s="78" t="s">
        <v>10</v>
      </c>
      <c r="B384" s="79">
        <f>B378</f>
        <v>8</v>
      </c>
      <c r="C384" s="80">
        <f>C378</f>
        <v>4</v>
      </c>
      <c r="D384" s="80">
        <f>D378</f>
        <v>2</v>
      </c>
      <c r="E384" s="81">
        <f>E378</f>
        <v>5</v>
      </c>
      <c r="F384" s="82">
        <f>SUM(B384:E384)</f>
        <v>19</v>
      </c>
      <c r="G384" s="79">
        <f>G378</f>
        <v>4</v>
      </c>
      <c r="H384" s="80">
        <f>H378</f>
        <v>2</v>
      </c>
      <c r="I384" s="80">
        <f>I378</f>
        <v>3</v>
      </c>
      <c r="J384" s="81">
        <f>J378</f>
        <v>2</v>
      </c>
      <c r="K384" s="82">
        <f>SUM(G384:J384)</f>
        <v>11</v>
      </c>
      <c r="L384" s="98">
        <f>F384+K384</f>
        <v>30</v>
      </c>
      <c r="N384" s="78" t="s">
        <v>10</v>
      </c>
      <c r="O384" s="79">
        <f>O378</f>
        <v>75</v>
      </c>
      <c r="P384" s="80">
        <f>P378</f>
        <v>54</v>
      </c>
      <c r="Q384" s="80">
        <f>Q378</f>
        <v>76</v>
      </c>
      <c r="R384" s="81">
        <f>R378</f>
        <v>17</v>
      </c>
      <c r="S384" s="82">
        <f>SUM(O384:R384)</f>
        <v>222</v>
      </c>
      <c r="T384" s="79">
        <f>T378</f>
        <v>45</v>
      </c>
      <c r="U384" s="80">
        <f>U378</f>
        <v>76</v>
      </c>
      <c r="V384" s="80">
        <f>V378</f>
        <v>59</v>
      </c>
      <c r="W384" s="81">
        <f>W378</f>
        <v>31</v>
      </c>
      <c r="X384" s="82">
        <f>SUM(T384:W384)</f>
        <v>211</v>
      </c>
      <c r="Y384" s="98">
        <f>S384+X384</f>
        <v>433</v>
      </c>
    </row>
    <row r="385" spans="1:27" x14ac:dyDescent="0.15">
      <c r="A385" s="47" t="s">
        <v>366</v>
      </c>
      <c r="B385" s="51">
        <v>1</v>
      </c>
      <c r="C385" s="52"/>
      <c r="D385" s="53">
        <v>2</v>
      </c>
      <c r="E385" s="54">
        <v>2</v>
      </c>
      <c r="F385" s="61">
        <f>SUM(B385:E385)</f>
        <v>5</v>
      </c>
      <c r="G385" s="51"/>
      <c r="H385" s="52"/>
      <c r="I385" s="53"/>
      <c r="J385" s="54"/>
      <c r="K385" s="61">
        <f>SUM(G385:J385)</f>
        <v>0</v>
      </c>
      <c r="L385" s="99">
        <f t="shared" ref="L385:L416" si="333">F385+K385</f>
        <v>5</v>
      </c>
      <c r="M385" s="58">
        <v>45905</v>
      </c>
      <c r="N385" s="12" t="s">
        <v>11</v>
      </c>
      <c r="O385" s="16"/>
      <c r="P385" s="29"/>
      <c r="Q385" s="17"/>
      <c r="R385" s="20"/>
      <c r="S385" s="45">
        <f>SUM(O385:R385)</f>
        <v>0</v>
      </c>
      <c r="T385" s="16"/>
      <c r="U385" s="29"/>
      <c r="V385" s="17"/>
      <c r="W385" s="20"/>
      <c r="X385" s="45">
        <f>SUM(T385:W385)</f>
        <v>0</v>
      </c>
      <c r="Y385" s="100">
        <f t="shared" ref="Y385:Y416" si="334">S385+X385</f>
        <v>0</v>
      </c>
    </row>
    <row r="386" spans="1:27" x14ac:dyDescent="0.15">
      <c r="A386" s="12" t="s">
        <v>4</v>
      </c>
      <c r="B386" s="6"/>
      <c r="C386" s="18"/>
      <c r="D386" s="7"/>
      <c r="E386" s="8"/>
      <c r="F386" s="9">
        <f>SUM(B386:E386)</f>
        <v>0</v>
      </c>
      <c r="G386" s="6"/>
      <c r="H386" s="18">
        <v>3</v>
      </c>
      <c r="I386" s="7">
        <v>3</v>
      </c>
      <c r="J386" s="8">
        <v>3</v>
      </c>
      <c r="K386" s="9">
        <f>SUM(G386:J386)</f>
        <v>9</v>
      </c>
      <c r="L386" s="100">
        <f t="shared" si="333"/>
        <v>9</v>
      </c>
      <c r="M386" s="56">
        <v>45912</v>
      </c>
      <c r="N386" s="12" t="s">
        <v>464</v>
      </c>
      <c r="O386" s="16">
        <v>70</v>
      </c>
      <c r="P386" s="29">
        <v>140</v>
      </c>
      <c r="Q386" s="17">
        <v>100</v>
      </c>
      <c r="R386" s="20">
        <v>140</v>
      </c>
      <c r="S386" s="45">
        <f>SUM(O386:R386)</f>
        <v>450</v>
      </c>
      <c r="T386" s="16">
        <v>0</v>
      </c>
      <c r="U386" s="29">
        <v>0</v>
      </c>
      <c r="V386" s="17">
        <v>0</v>
      </c>
      <c r="W386" s="20">
        <v>0</v>
      </c>
      <c r="X386" s="45">
        <f>SUM(T386:W386)</f>
        <v>0</v>
      </c>
      <c r="Y386" s="100">
        <f t="shared" ref="Y386:Y387" si="335">S386+X386</f>
        <v>450</v>
      </c>
      <c r="Z386" s="56" t="s">
        <v>626</v>
      </c>
      <c r="AA386" s="210"/>
    </row>
    <row r="387" spans="1:27" x14ac:dyDescent="0.15">
      <c r="A387" s="12" t="s">
        <v>5</v>
      </c>
      <c r="B387" s="6"/>
      <c r="C387" s="18">
        <v>3</v>
      </c>
      <c r="D387" s="7"/>
      <c r="E387" s="8"/>
      <c r="F387" s="9">
        <f>SUM(B387:E387)</f>
        <v>3</v>
      </c>
      <c r="G387" s="6"/>
      <c r="H387" s="18"/>
      <c r="I387" s="7"/>
      <c r="J387" s="8"/>
      <c r="K387" s="9">
        <f>SUM(G387:J387)</f>
        <v>0</v>
      </c>
      <c r="L387" s="100">
        <f t="shared" si="333"/>
        <v>3</v>
      </c>
      <c r="M387" s="56">
        <v>45926</v>
      </c>
      <c r="N387" s="12" t="s">
        <v>4</v>
      </c>
      <c r="O387" s="16"/>
      <c r="P387" s="29"/>
      <c r="Q387" s="17"/>
      <c r="R387" s="20"/>
      <c r="S387" s="45">
        <f t="shared" ref="S387" si="336">SUM(O387:R387)</f>
        <v>0</v>
      </c>
      <c r="T387" s="16"/>
      <c r="U387" s="29"/>
      <c r="V387" s="17"/>
      <c r="W387" s="20"/>
      <c r="X387" s="45">
        <f t="shared" ref="X387" si="337">SUM(T387:W387)</f>
        <v>0</v>
      </c>
      <c r="Y387" s="100">
        <f t="shared" si="335"/>
        <v>0</v>
      </c>
      <c r="AA387" s="210"/>
    </row>
    <row r="388" spans="1:27" ht="14.25" thickBot="1" x14ac:dyDescent="0.2">
      <c r="A388" s="12" t="s">
        <v>6</v>
      </c>
      <c r="B388" s="6"/>
      <c r="C388" s="18">
        <v>3</v>
      </c>
      <c r="D388" s="7"/>
      <c r="E388" s="8"/>
      <c r="F388" s="10">
        <f>SUM(B388:E388)</f>
        <v>3</v>
      </c>
      <c r="G388" s="6"/>
      <c r="H388" s="18"/>
      <c r="I388" s="7"/>
      <c r="J388" s="8"/>
      <c r="K388" s="10">
        <f>SUM(G388:J388)</f>
        <v>0</v>
      </c>
      <c r="L388" s="101">
        <f t="shared" si="333"/>
        <v>3</v>
      </c>
      <c r="M388" s="56">
        <v>45940</v>
      </c>
      <c r="N388" s="12" t="s">
        <v>5</v>
      </c>
      <c r="O388" s="16"/>
      <c r="P388" s="29"/>
      <c r="Q388" s="17"/>
      <c r="R388" s="20"/>
      <c r="S388" s="45">
        <f t="shared" ref="S388" si="338">SUM(O388:R388)</f>
        <v>0</v>
      </c>
      <c r="T388" s="16"/>
      <c r="U388" s="29"/>
      <c r="V388" s="17"/>
      <c r="W388" s="20"/>
      <c r="X388" s="45">
        <f t="shared" ref="X388" si="339">SUM(T388:W388)</f>
        <v>0</v>
      </c>
      <c r="Y388" s="100">
        <f t="shared" si="334"/>
        <v>0</v>
      </c>
    </row>
    <row r="389" spans="1:27" ht="14.25" thickBot="1" x14ac:dyDescent="0.2">
      <c r="A389" s="14" t="s">
        <v>7</v>
      </c>
      <c r="B389" s="62">
        <f t="shared" ref="B389:K389" si="340">SUM(B384:B388)</f>
        <v>9</v>
      </c>
      <c r="C389" s="63">
        <f t="shared" si="340"/>
        <v>10</v>
      </c>
      <c r="D389" s="64">
        <f t="shared" si="340"/>
        <v>4</v>
      </c>
      <c r="E389" s="65">
        <f t="shared" si="340"/>
        <v>7</v>
      </c>
      <c r="F389" s="66">
        <f t="shared" si="340"/>
        <v>30</v>
      </c>
      <c r="G389" s="62">
        <f t="shared" si="340"/>
        <v>4</v>
      </c>
      <c r="H389" s="63">
        <f t="shared" si="340"/>
        <v>5</v>
      </c>
      <c r="I389" s="64">
        <f t="shared" si="340"/>
        <v>6</v>
      </c>
      <c r="J389" s="65">
        <f t="shared" si="340"/>
        <v>5</v>
      </c>
      <c r="K389" s="66">
        <f t="shared" si="340"/>
        <v>20</v>
      </c>
      <c r="L389" s="102">
        <f t="shared" si="333"/>
        <v>50</v>
      </c>
      <c r="N389" s="13" t="s">
        <v>7</v>
      </c>
      <c r="O389" s="25">
        <f t="shared" ref="O389:X389" si="341">SUM(O384:O388)</f>
        <v>145</v>
      </c>
      <c r="P389" s="31">
        <f t="shared" si="341"/>
        <v>194</v>
      </c>
      <c r="Q389" s="26">
        <f t="shared" si="341"/>
        <v>176</v>
      </c>
      <c r="R389" s="67">
        <f t="shared" si="341"/>
        <v>157</v>
      </c>
      <c r="S389" s="68">
        <f t="shared" si="341"/>
        <v>672</v>
      </c>
      <c r="T389" s="25">
        <f t="shared" si="341"/>
        <v>45</v>
      </c>
      <c r="U389" s="31">
        <f t="shared" si="341"/>
        <v>76</v>
      </c>
      <c r="V389" s="26">
        <f t="shared" si="341"/>
        <v>59</v>
      </c>
      <c r="W389" s="67">
        <f t="shared" si="341"/>
        <v>31</v>
      </c>
      <c r="X389" s="68">
        <f t="shared" si="341"/>
        <v>211</v>
      </c>
      <c r="Y389" s="102">
        <f t="shared" si="334"/>
        <v>883</v>
      </c>
    </row>
    <row r="390" spans="1:27" x14ac:dyDescent="0.15">
      <c r="A390" s="33" t="s">
        <v>649</v>
      </c>
      <c r="B390" s="41"/>
      <c r="C390" s="42"/>
      <c r="D390" s="43"/>
      <c r="E390" s="44"/>
      <c r="F390" s="70">
        <f t="shared" ref="F390:F414" si="342">SUM(B390:E390)</f>
        <v>0</v>
      </c>
      <c r="G390" s="41"/>
      <c r="H390" s="42"/>
      <c r="I390" s="43">
        <v>1</v>
      </c>
      <c r="J390" s="44"/>
      <c r="K390" s="70">
        <f t="shared" ref="K390:K414" si="343">SUM(G390:J390)</f>
        <v>1</v>
      </c>
      <c r="L390" s="103">
        <f t="shared" si="333"/>
        <v>1</v>
      </c>
      <c r="M390" s="56">
        <v>45919</v>
      </c>
      <c r="N390" s="158" t="s">
        <v>621</v>
      </c>
      <c r="O390" s="16"/>
      <c r="P390" s="29">
        <v>10</v>
      </c>
      <c r="Q390" s="17">
        <v>10</v>
      </c>
      <c r="R390" s="32">
        <v>20</v>
      </c>
      <c r="S390" s="9">
        <f t="shared" ref="S390:S395" si="344">SUM(O390:R390)</f>
        <v>40</v>
      </c>
      <c r="T390" s="206"/>
      <c r="U390" s="207"/>
      <c r="V390" s="208"/>
      <c r="W390" s="209"/>
      <c r="X390" s="9">
        <f t="shared" ref="X390:X395" si="345">SUM(T390:W390)</f>
        <v>0</v>
      </c>
      <c r="Y390" s="103">
        <f t="shared" si="334"/>
        <v>40</v>
      </c>
      <c r="Z390" s="56">
        <v>45918</v>
      </c>
    </row>
    <row r="391" spans="1:27" x14ac:dyDescent="0.15">
      <c r="A391" s="47" t="s">
        <v>45</v>
      </c>
      <c r="B391" s="16"/>
      <c r="C391" s="29"/>
      <c r="D391" s="17"/>
      <c r="E391" s="20">
        <v>1</v>
      </c>
      <c r="F391" s="45">
        <f t="shared" si="342"/>
        <v>1</v>
      </c>
      <c r="G391" s="16"/>
      <c r="H391" s="29"/>
      <c r="I391" s="17"/>
      <c r="J391" s="20"/>
      <c r="K391" s="45">
        <f t="shared" si="343"/>
        <v>0</v>
      </c>
      <c r="L391" s="104">
        <f t="shared" si="333"/>
        <v>1</v>
      </c>
      <c r="M391" s="56">
        <v>45917</v>
      </c>
      <c r="N391" s="33" t="s">
        <v>640</v>
      </c>
      <c r="O391" s="16">
        <v>12</v>
      </c>
      <c r="P391" s="29">
        <v>6</v>
      </c>
      <c r="Q391" s="17">
        <v>6</v>
      </c>
      <c r="R391" s="32">
        <v>12</v>
      </c>
      <c r="S391" s="9">
        <f t="shared" si="344"/>
        <v>36</v>
      </c>
      <c r="T391" s="206"/>
      <c r="U391" s="207"/>
      <c r="V391" s="208"/>
      <c r="W391" s="209"/>
      <c r="X391" s="9">
        <f t="shared" si="345"/>
        <v>0</v>
      </c>
      <c r="Y391" s="104">
        <f t="shared" si="334"/>
        <v>36</v>
      </c>
      <c r="Z391" s="56">
        <v>45927</v>
      </c>
    </row>
    <row r="392" spans="1:27" x14ac:dyDescent="0.15">
      <c r="A392" s="47" t="s">
        <v>45</v>
      </c>
      <c r="B392" s="16"/>
      <c r="C392" s="29"/>
      <c r="D392" s="17"/>
      <c r="E392" s="20">
        <v>1</v>
      </c>
      <c r="F392" s="45">
        <f t="shared" si="342"/>
        <v>1</v>
      </c>
      <c r="G392" s="16"/>
      <c r="H392" s="29"/>
      <c r="I392" s="17"/>
      <c r="J392" s="20">
        <v>1</v>
      </c>
      <c r="K392" s="45">
        <f t="shared" si="343"/>
        <v>1</v>
      </c>
      <c r="L392" s="104">
        <f t="shared" si="333"/>
        <v>2</v>
      </c>
      <c r="M392" s="58">
        <v>45925</v>
      </c>
      <c r="N392" s="33" t="s">
        <v>659</v>
      </c>
      <c r="O392" s="16">
        <v>6</v>
      </c>
      <c r="P392" s="29">
        <v>25</v>
      </c>
      <c r="Q392" s="17">
        <v>25</v>
      </c>
      <c r="R392" s="32">
        <v>50</v>
      </c>
      <c r="S392" s="9">
        <f t="shared" si="344"/>
        <v>106</v>
      </c>
      <c r="T392" s="206"/>
      <c r="U392" s="207"/>
      <c r="V392" s="208"/>
      <c r="W392" s="209"/>
      <c r="X392" s="9">
        <f t="shared" si="345"/>
        <v>0</v>
      </c>
      <c r="Y392" s="104">
        <f t="shared" si="334"/>
        <v>106</v>
      </c>
      <c r="Z392" s="56">
        <v>45934</v>
      </c>
      <c r="AA392" s="35"/>
    </row>
    <row r="393" spans="1:27" x14ac:dyDescent="0.15">
      <c r="A393" s="33" t="s">
        <v>668</v>
      </c>
      <c r="B393" s="16"/>
      <c r="C393" s="29">
        <v>1</v>
      </c>
      <c r="D393" s="17"/>
      <c r="E393" s="20"/>
      <c r="F393" s="45">
        <f t="shared" si="342"/>
        <v>1</v>
      </c>
      <c r="G393" s="16"/>
      <c r="H393" s="29"/>
      <c r="I393" s="17"/>
      <c r="J393" s="20"/>
      <c r="K393" s="45">
        <f t="shared" si="343"/>
        <v>0</v>
      </c>
      <c r="L393" s="104">
        <f t="shared" si="333"/>
        <v>1</v>
      </c>
      <c r="M393" s="56">
        <v>45929</v>
      </c>
      <c r="N393" s="33" t="s">
        <v>667</v>
      </c>
      <c r="O393" s="16"/>
      <c r="P393" s="29">
        <v>3</v>
      </c>
      <c r="Q393" s="17"/>
      <c r="R393" s="32"/>
      <c r="S393" s="9">
        <f t="shared" si="344"/>
        <v>3</v>
      </c>
      <c r="T393" s="16"/>
      <c r="U393" s="29"/>
      <c r="V393" s="17"/>
      <c r="W393" s="32"/>
      <c r="X393" s="9">
        <f t="shared" si="345"/>
        <v>0</v>
      </c>
      <c r="Y393" s="104">
        <f t="shared" si="334"/>
        <v>3</v>
      </c>
      <c r="Z393" s="56">
        <v>45926</v>
      </c>
    </row>
    <row r="394" spans="1:27" x14ac:dyDescent="0.15">
      <c r="A394" s="47" t="s">
        <v>45</v>
      </c>
      <c r="B394" s="16"/>
      <c r="C394" s="29"/>
      <c r="D394" s="17"/>
      <c r="E394" s="20"/>
      <c r="F394" s="45">
        <f t="shared" si="342"/>
        <v>0</v>
      </c>
      <c r="G394" s="16"/>
      <c r="H394" s="29"/>
      <c r="I394" s="17">
        <v>1</v>
      </c>
      <c r="J394" s="20"/>
      <c r="K394" s="45">
        <f t="shared" si="343"/>
        <v>1</v>
      </c>
      <c r="L394" s="104">
        <f t="shared" si="333"/>
        <v>1</v>
      </c>
      <c r="M394" s="56">
        <v>45929</v>
      </c>
      <c r="N394" s="33" t="s">
        <v>672</v>
      </c>
      <c r="O394" s="16">
        <v>15</v>
      </c>
      <c r="P394" s="29">
        <v>50</v>
      </c>
      <c r="Q394" s="17">
        <v>25</v>
      </c>
      <c r="R394" s="32">
        <v>6</v>
      </c>
      <c r="S394" s="9">
        <f t="shared" si="344"/>
        <v>96</v>
      </c>
      <c r="T394" s="206"/>
      <c r="U394" s="207"/>
      <c r="V394" s="208"/>
      <c r="W394" s="209"/>
      <c r="X394" s="9">
        <f t="shared" si="345"/>
        <v>0</v>
      </c>
      <c r="Y394" s="104">
        <f t="shared" si="334"/>
        <v>96</v>
      </c>
      <c r="Z394" s="56">
        <v>45938</v>
      </c>
    </row>
    <row r="395" spans="1:27" x14ac:dyDescent="0.15">
      <c r="A395" s="47" t="s">
        <v>677</v>
      </c>
      <c r="B395" s="16"/>
      <c r="C395" s="29"/>
      <c r="D395" s="17">
        <v>1</v>
      </c>
      <c r="E395" s="20"/>
      <c r="F395" s="45">
        <f t="shared" si="342"/>
        <v>1</v>
      </c>
      <c r="G395" s="16"/>
      <c r="H395" s="29"/>
      <c r="I395" s="17"/>
      <c r="J395" s="20"/>
      <c r="K395" s="45">
        <f t="shared" si="343"/>
        <v>0</v>
      </c>
      <c r="L395" s="104">
        <f t="shared" si="333"/>
        <v>1</v>
      </c>
      <c r="M395" s="56">
        <v>45936</v>
      </c>
      <c r="N395" s="33" t="s">
        <v>687</v>
      </c>
      <c r="O395" s="16"/>
      <c r="P395" s="29"/>
      <c r="Q395" s="17">
        <v>10</v>
      </c>
      <c r="R395" s="32">
        <v>15</v>
      </c>
      <c r="S395" s="9">
        <f t="shared" si="344"/>
        <v>25</v>
      </c>
      <c r="T395" s="206"/>
      <c r="U395" s="207"/>
      <c r="V395" s="208"/>
      <c r="W395" s="209"/>
      <c r="X395" s="9">
        <f t="shared" si="345"/>
        <v>0</v>
      </c>
      <c r="Y395" s="104">
        <f t="shared" si="334"/>
        <v>25</v>
      </c>
      <c r="Z395" s="56">
        <v>45946</v>
      </c>
    </row>
    <row r="396" spans="1:27" x14ac:dyDescent="0.15">
      <c r="A396" s="47" t="s">
        <v>51</v>
      </c>
      <c r="B396" s="16"/>
      <c r="C396" s="29">
        <v>1</v>
      </c>
      <c r="D396" s="17"/>
      <c r="E396" s="20"/>
      <c r="F396" s="45">
        <f t="shared" si="342"/>
        <v>1</v>
      </c>
      <c r="G396" s="16"/>
      <c r="H396" s="29"/>
      <c r="I396" s="17"/>
      <c r="J396" s="20"/>
      <c r="K396" s="45">
        <f t="shared" si="343"/>
        <v>0</v>
      </c>
      <c r="L396" s="104">
        <f t="shared" si="333"/>
        <v>1</v>
      </c>
      <c r="M396" s="58">
        <v>45931</v>
      </c>
      <c r="N396" s="33" t="s">
        <v>693</v>
      </c>
      <c r="O396" s="16">
        <v>1</v>
      </c>
      <c r="P396" s="29">
        <v>2</v>
      </c>
      <c r="Q396" s="17">
        <v>1</v>
      </c>
      <c r="R396" s="32">
        <v>2</v>
      </c>
      <c r="S396" s="9">
        <f>SUM(O396:R396)</f>
        <v>6</v>
      </c>
      <c r="T396" s="16">
        <v>1</v>
      </c>
      <c r="U396" s="29">
        <v>1</v>
      </c>
      <c r="V396" s="17">
        <v>1</v>
      </c>
      <c r="W396" s="32">
        <v>2</v>
      </c>
      <c r="X396" s="9">
        <f>SUM(T396:W396)</f>
        <v>5</v>
      </c>
      <c r="Y396" s="104">
        <f t="shared" si="334"/>
        <v>11</v>
      </c>
      <c r="Z396" s="56">
        <v>45940</v>
      </c>
    </row>
    <row r="397" spans="1:27" x14ac:dyDescent="0.15">
      <c r="A397" s="47" t="s">
        <v>51</v>
      </c>
      <c r="B397" s="16"/>
      <c r="C397" s="29"/>
      <c r="D397" s="17"/>
      <c r="E397" s="20">
        <v>1</v>
      </c>
      <c r="F397" s="45">
        <f t="shared" si="342"/>
        <v>1</v>
      </c>
      <c r="G397" s="16"/>
      <c r="H397" s="29"/>
      <c r="I397" s="17"/>
      <c r="J397" s="20"/>
      <c r="K397" s="45">
        <f t="shared" si="343"/>
        <v>0</v>
      </c>
      <c r="L397" s="104">
        <f t="shared" si="333"/>
        <v>1</v>
      </c>
      <c r="M397" s="58">
        <v>45933</v>
      </c>
      <c r="N397" s="33" t="s">
        <v>694</v>
      </c>
      <c r="O397" s="16"/>
      <c r="P397" s="29">
        <v>3</v>
      </c>
      <c r="Q397" s="17"/>
      <c r="R397" s="32"/>
      <c r="S397" s="9">
        <f t="shared" ref="S397:S401" si="346">SUM(O397:R397)</f>
        <v>3</v>
      </c>
      <c r="T397" s="16"/>
      <c r="U397" s="29"/>
      <c r="V397" s="17"/>
      <c r="W397" s="32"/>
      <c r="X397" s="9">
        <f t="shared" ref="X397:X401" si="347">SUM(T397:W397)</f>
        <v>0</v>
      </c>
      <c r="Y397" s="104">
        <f t="shared" si="334"/>
        <v>3</v>
      </c>
      <c r="Z397" s="56">
        <v>45940</v>
      </c>
    </row>
    <row r="398" spans="1:27" x14ac:dyDescent="0.15">
      <c r="A398" s="47" t="s">
        <v>51</v>
      </c>
      <c r="B398" s="16">
        <v>1</v>
      </c>
      <c r="C398" s="29"/>
      <c r="D398" s="17"/>
      <c r="E398" s="20"/>
      <c r="F398" s="45">
        <f t="shared" si="342"/>
        <v>1</v>
      </c>
      <c r="G398" s="16">
        <v>1</v>
      </c>
      <c r="H398" s="29">
        <v>1</v>
      </c>
      <c r="I398" s="17"/>
      <c r="J398" s="20"/>
      <c r="K398" s="45">
        <f t="shared" si="343"/>
        <v>2</v>
      </c>
      <c r="L398" s="104">
        <f t="shared" si="333"/>
        <v>3</v>
      </c>
      <c r="M398" s="58">
        <v>45936</v>
      </c>
      <c r="N398" s="268" t="s">
        <v>39</v>
      </c>
      <c r="O398" s="255"/>
      <c r="P398" s="256"/>
      <c r="Q398" s="257"/>
      <c r="R398" s="269"/>
      <c r="S398" s="270">
        <f t="shared" si="346"/>
        <v>0</v>
      </c>
      <c r="T398" s="255"/>
      <c r="U398" s="256"/>
      <c r="V398" s="257">
        <v>5</v>
      </c>
      <c r="W398" s="269"/>
      <c r="X398" s="270">
        <f t="shared" si="347"/>
        <v>5</v>
      </c>
      <c r="Y398" s="260">
        <f t="shared" si="334"/>
        <v>5</v>
      </c>
      <c r="Z398" s="261">
        <v>45944</v>
      </c>
    </row>
    <row r="399" spans="1:27" x14ac:dyDescent="0.15">
      <c r="A399" s="47" t="s">
        <v>51</v>
      </c>
      <c r="B399" s="16"/>
      <c r="C399" s="29"/>
      <c r="D399" s="17"/>
      <c r="E399" s="20"/>
      <c r="F399" s="45">
        <f t="shared" si="342"/>
        <v>0</v>
      </c>
      <c r="G399" s="16"/>
      <c r="H399" s="29"/>
      <c r="I399" s="17">
        <v>1</v>
      </c>
      <c r="J399" s="20"/>
      <c r="K399" s="45">
        <f t="shared" si="343"/>
        <v>1</v>
      </c>
      <c r="L399" s="104">
        <f t="shared" si="333"/>
        <v>1</v>
      </c>
      <c r="M399" s="58">
        <v>45937</v>
      </c>
      <c r="N399" s="33" t="s">
        <v>698</v>
      </c>
      <c r="O399" s="16">
        <v>10</v>
      </c>
      <c r="P399" s="29">
        <v>6</v>
      </c>
      <c r="Q399" s="17">
        <v>10</v>
      </c>
      <c r="R399" s="32">
        <v>12</v>
      </c>
      <c r="S399" s="9">
        <f t="shared" si="346"/>
        <v>38</v>
      </c>
      <c r="T399" s="206"/>
      <c r="U399" s="207"/>
      <c r="V399" s="208"/>
      <c r="W399" s="209"/>
      <c r="X399" s="9">
        <f t="shared" si="347"/>
        <v>0</v>
      </c>
      <c r="Y399" s="104">
        <f t="shared" si="334"/>
        <v>38</v>
      </c>
      <c r="Z399" s="56">
        <v>45957</v>
      </c>
    </row>
    <row r="400" spans="1:27" x14ac:dyDescent="0.15">
      <c r="A400" s="47" t="s">
        <v>51</v>
      </c>
      <c r="B400" s="16"/>
      <c r="C400" s="29">
        <v>2</v>
      </c>
      <c r="D400" s="17"/>
      <c r="E400" s="20"/>
      <c r="F400" s="45">
        <f t="shared" si="342"/>
        <v>2</v>
      </c>
      <c r="G400" s="16"/>
      <c r="H400" s="29"/>
      <c r="I400" s="17"/>
      <c r="J400" s="20"/>
      <c r="K400" s="45">
        <f t="shared" si="343"/>
        <v>0</v>
      </c>
      <c r="L400" s="104">
        <f t="shared" si="333"/>
        <v>2</v>
      </c>
      <c r="M400" s="58">
        <v>45938</v>
      </c>
      <c r="N400" s="33" t="s">
        <v>39</v>
      </c>
      <c r="O400" s="16"/>
      <c r="P400" s="29"/>
      <c r="Q400" s="17"/>
      <c r="R400" s="32">
        <v>5</v>
      </c>
      <c r="S400" s="9">
        <f t="shared" si="346"/>
        <v>5</v>
      </c>
      <c r="T400" s="16"/>
      <c r="U400" s="29"/>
      <c r="V400" s="17"/>
      <c r="W400" s="32"/>
      <c r="X400" s="9">
        <f t="shared" si="347"/>
        <v>0</v>
      </c>
      <c r="Y400" s="104">
        <f t="shared" si="334"/>
        <v>5</v>
      </c>
      <c r="Z400" s="56">
        <v>45946</v>
      </c>
    </row>
    <row r="401" spans="1:26" x14ac:dyDescent="0.15">
      <c r="A401" s="47" t="s">
        <v>51</v>
      </c>
      <c r="B401" s="16"/>
      <c r="C401" s="29">
        <v>1</v>
      </c>
      <c r="D401" s="17"/>
      <c r="E401" s="20"/>
      <c r="F401" s="45">
        <f t="shared" si="342"/>
        <v>1</v>
      </c>
      <c r="G401" s="16"/>
      <c r="H401" s="29">
        <v>1</v>
      </c>
      <c r="I401" s="17">
        <v>1</v>
      </c>
      <c r="J401" s="20"/>
      <c r="K401" s="45">
        <f t="shared" si="343"/>
        <v>2</v>
      </c>
      <c r="L401" s="104">
        <f t="shared" si="333"/>
        <v>3</v>
      </c>
      <c r="M401" s="58">
        <v>45939</v>
      </c>
      <c r="N401" s="11" t="s">
        <v>704</v>
      </c>
      <c r="O401" s="16"/>
      <c r="P401" s="29"/>
      <c r="Q401" s="17"/>
      <c r="R401" s="32">
        <v>1</v>
      </c>
      <c r="S401" s="9">
        <f t="shared" si="346"/>
        <v>1</v>
      </c>
      <c r="T401" s="16"/>
      <c r="U401" s="29"/>
      <c r="V401" s="17"/>
      <c r="W401" s="32"/>
      <c r="X401" s="9">
        <f t="shared" si="347"/>
        <v>0</v>
      </c>
      <c r="Y401" s="104">
        <f t="shared" si="334"/>
        <v>1</v>
      </c>
      <c r="Z401" s="56">
        <v>45950</v>
      </c>
    </row>
    <row r="402" spans="1:26" x14ac:dyDescent="0.15">
      <c r="A402" s="254" t="s">
        <v>696</v>
      </c>
      <c r="B402" s="255"/>
      <c r="C402" s="256"/>
      <c r="D402" s="257"/>
      <c r="E402" s="258"/>
      <c r="F402" s="259">
        <f t="shared" si="342"/>
        <v>0</v>
      </c>
      <c r="G402" s="255"/>
      <c r="H402" s="256"/>
      <c r="I402" s="257">
        <v>-5</v>
      </c>
      <c r="J402" s="258"/>
      <c r="K402" s="259">
        <f t="shared" si="343"/>
        <v>-5</v>
      </c>
      <c r="L402" s="260">
        <f t="shared" si="333"/>
        <v>-5</v>
      </c>
      <c r="M402" s="261">
        <v>45944</v>
      </c>
      <c r="N402" s="33" t="s">
        <v>39</v>
      </c>
      <c r="O402" s="16"/>
      <c r="P402" s="29"/>
      <c r="Q402" s="17"/>
      <c r="R402" s="32"/>
      <c r="S402" s="9">
        <f>SUM(O402:R402)</f>
        <v>0</v>
      </c>
      <c r="T402" s="16">
        <v>3</v>
      </c>
      <c r="U402" s="29"/>
      <c r="V402" s="17"/>
      <c r="W402" s="32"/>
      <c r="X402" s="9">
        <f>SUM(T402:W402)</f>
        <v>3</v>
      </c>
      <c r="Y402" s="104">
        <f t="shared" si="334"/>
        <v>3</v>
      </c>
      <c r="Z402" s="56">
        <v>45952</v>
      </c>
    </row>
    <row r="403" spans="1:26" x14ac:dyDescent="0.15">
      <c r="A403" s="47" t="s">
        <v>51</v>
      </c>
      <c r="B403" s="16">
        <v>1</v>
      </c>
      <c r="C403" s="29"/>
      <c r="D403" s="17"/>
      <c r="E403" s="20"/>
      <c r="F403" s="45">
        <f t="shared" si="342"/>
        <v>1</v>
      </c>
      <c r="G403" s="16"/>
      <c r="H403" s="29"/>
      <c r="I403" s="17">
        <v>1</v>
      </c>
      <c r="J403" s="20"/>
      <c r="K403" s="45">
        <f t="shared" si="343"/>
        <v>1</v>
      </c>
      <c r="L403" s="104">
        <f t="shared" si="333"/>
        <v>2</v>
      </c>
      <c r="M403" s="58">
        <v>45940</v>
      </c>
      <c r="N403" s="11" t="s">
        <v>740</v>
      </c>
      <c r="O403" s="16"/>
      <c r="P403" s="29"/>
      <c r="Q403" s="17">
        <v>5</v>
      </c>
      <c r="R403" s="32"/>
      <c r="S403" s="9">
        <f t="shared" ref="S403" si="348">SUM(O403:R403)</f>
        <v>5</v>
      </c>
      <c r="T403" s="16"/>
      <c r="U403" s="29"/>
      <c r="V403" s="17"/>
      <c r="W403" s="32"/>
      <c r="X403" s="9">
        <f t="shared" ref="X403" si="349">SUM(T403:W403)</f>
        <v>0</v>
      </c>
      <c r="Y403" s="104">
        <f t="shared" si="334"/>
        <v>5</v>
      </c>
      <c r="Z403" s="34">
        <v>45959</v>
      </c>
    </row>
    <row r="404" spans="1:26" x14ac:dyDescent="0.15">
      <c r="A404" s="33" t="s">
        <v>700</v>
      </c>
      <c r="B404" s="16"/>
      <c r="C404" s="29"/>
      <c r="D404" s="17">
        <v>-1</v>
      </c>
      <c r="E404" s="20"/>
      <c r="F404" s="45">
        <f t="shared" si="342"/>
        <v>-1</v>
      </c>
      <c r="G404" s="16"/>
      <c r="H404" s="29"/>
      <c r="I404" s="17"/>
      <c r="J404" s="20"/>
      <c r="K404" s="45">
        <f t="shared" si="343"/>
        <v>0</v>
      </c>
      <c r="L404" s="104">
        <f t="shared" si="333"/>
        <v>-1</v>
      </c>
      <c r="M404" s="56">
        <v>45939</v>
      </c>
      <c r="N404" s="72"/>
      <c r="O404" s="16"/>
      <c r="P404" s="29"/>
      <c r="Q404" s="17"/>
      <c r="R404" s="32"/>
      <c r="S404" s="9">
        <f t="shared" ref="S404:S407" si="350">SUM(O404:R404)</f>
        <v>0</v>
      </c>
      <c r="T404" s="16"/>
      <c r="U404" s="29"/>
      <c r="V404" s="17"/>
      <c r="W404" s="32"/>
      <c r="X404" s="9">
        <f t="shared" ref="X404:X407" si="351">SUM(T404:W404)</f>
        <v>0</v>
      </c>
      <c r="Y404" s="104">
        <f t="shared" si="334"/>
        <v>0</v>
      </c>
    </row>
    <row r="405" spans="1:26" x14ac:dyDescent="0.15">
      <c r="A405" s="47" t="s">
        <v>51</v>
      </c>
      <c r="B405" s="16"/>
      <c r="C405" s="29">
        <v>1</v>
      </c>
      <c r="D405" s="17"/>
      <c r="E405" s="20">
        <v>3</v>
      </c>
      <c r="F405" s="45">
        <f t="shared" si="342"/>
        <v>4</v>
      </c>
      <c r="G405" s="16"/>
      <c r="H405" s="29"/>
      <c r="I405" s="17"/>
      <c r="J405" s="20"/>
      <c r="K405" s="45">
        <f t="shared" si="343"/>
        <v>0</v>
      </c>
      <c r="L405" s="104">
        <f t="shared" si="333"/>
        <v>4</v>
      </c>
      <c r="M405" s="56">
        <v>45944</v>
      </c>
      <c r="N405" s="72"/>
      <c r="O405" s="16"/>
      <c r="P405" s="29"/>
      <c r="Q405" s="17"/>
      <c r="R405" s="32"/>
      <c r="S405" s="9">
        <f t="shared" si="350"/>
        <v>0</v>
      </c>
      <c r="T405" s="16"/>
      <c r="U405" s="29"/>
      <c r="V405" s="17"/>
      <c r="W405" s="32"/>
      <c r="X405" s="9">
        <f t="shared" si="351"/>
        <v>0</v>
      </c>
      <c r="Y405" s="104">
        <f t="shared" si="334"/>
        <v>0</v>
      </c>
    </row>
    <row r="406" spans="1:26" x14ac:dyDescent="0.15">
      <c r="A406" s="47" t="s">
        <v>702</v>
      </c>
      <c r="B406" s="16"/>
      <c r="C406" s="29"/>
      <c r="D406" s="17"/>
      <c r="E406" s="20">
        <v>-5</v>
      </c>
      <c r="F406" s="45">
        <f t="shared" si="342"/>
        <v>-5</v>
      </c>
      <c r="G406" s="16"/>
      <c r="H406" s="29"/>
      <c r="I406" s="17"/>
      <c r="J406" s="20"/>
      <c r="K406" s="45">
        <f t="shared" si="343"/>
        <v>0</v>
      </c>
      <c r="L406" s="104">
        <f t="shared" si="333"/>
        <v>-5</v>
      </c>
      <c r="M406" s="56">
        <v>45946</v>
      </c>
      <c r="N406" s="72"/>
      <c r="O406" s="16"/>
      <c r="P406" s="29"/>
      <c r="Q406" s="17"/>
      <c r="R406" s="32"/>
      <c r="S406" s="9">
        <f t="shared" si="350"/>
        <v>0</v>
      </c>
      <c r="T406" s="16"/>
      <c r="U406" s="29"/>
      <c r="V406" s="17"/>
      <c r="W406" s="32"/>
      <c r="X406" s="9">
        <f t="shared" si="351"/>
        <v>0</v>
      </c>
      <c r="Y406" s="104">
        <f t="shared" si="334"/>
        <v>0</v>
      </c>
    </row>
    <row r="407" spans="1:26" x14ac:dyDescent="0.15">
      <c r="A407" s="47" t="s">
        <v>703</v>
      </c>
      <c r="B407" s="16"/>
      <c r="C407" s="29"/>
      <c r="D407" s="17">
        <v>-1</v>
      </c>
      <c r="E407" s="20">
        <v>-1</v>
      </c>
      <c r="F407" s="45">
        <f t="shared" si="342"/>
        <v>-2</v>
      </c>
      <c r="G407" s="16"/>
      <c r="H407" s="29"/>
      <c r="I407" s="17"/>
      <c r="J407" s="20"/>
      <c r="K407" s="45">
        <f t="shared" si="343"/>
        <v>0</v>
      </c>
      <c r="L407" s="104">
        <f t="shared" si="333"/>
        <v>-2</v>
      </c>
      <c r="M407" s="58">
        <v>45945</v>
      </c>
      <c r="N407" s="72"/>
      <c r="O407" s="41"/>
      <c r="P407" s="42"/>
      <c r="Q407" s="43"/>
      <c r="R407" s="59"/>
      <c r="S407" s="61">
        <f t="shared" si="350"/>
        <v>0</v>
      </c>
      <c r="T407" s="41"/>
      <c r="U407" s="42"/>
      <c r="V407" s="43"/>
      <c r="W407" s="59"/>
      <c r="X407" s="61">
        <f t="shared" si="351"/>
        <v>0</v>
      </c>
      <c r="Y407" s="104">
        <f t="shared" si="334"/>
        <v>0</v>
      </c>
    </row>
    <row r="408" spans="1:26" x14ac:dyDescent="0.15">
      <c r="A408" s="47" t="s">
        <v>705</v>
      </c>
      <c r="B408" s="16">
        <v>-2</v>
      </c>
      <c r="C408" s="29">
        <v>-2</v>
      </c>
      <c r="D408" s="17">
        <v>-2</v>
      </c>
      <c r="E408" s="20">
        <v>-2</v>
      </c>
      <c r="F408" s="45">
        <f t="shared" si="342"/>
        <v>-8</v>
      </c>
      <c r="G408" s="16"/>
      <c r="H408" s="29"/>
      <c r="I408" s="17"/>
      <c r="J408" s="20"/>
      <c r="K408" s="45">
        <f t="shared" si="343"/>
        <v>0</v>
      </c>
      <c r="L408" s="104">
        <f t="shared" si="333"/>
        <v>-8</v>
      </c>
      <c r="M408" s="58">
        <v>45945</v>
      </c>
      <c r="N408" s="33"/>
      <c r="O408" s="16"/>
      <c r="P408" s="29"/>
      <c r="Q408" s="17"/>
      <c r="R408" s="32"/>
      <c r="S408" s="9">
        <f>SUM(O408:R408)</f>
        <v>0</v>
      </c>
      <c r="T408" s="16"/>
      <c r="U408" s="29"/>
      <c r="V408" s="17"/>
      <c r="W408" s="32"/>
      <c r="X408" s="9">
        <f>SUM(T408:W408)</f>
        <v>0</v>
      </c>
      <c r="Y408" s="104">
        <f t="shared" si="334"/>
        <v>0</v>
      </c>
    </row>
    <row r="409" spans="1:26" x14ac:dyDescent="0.15">
      <c r="A409" s="47" t="s">
        <v>51</v>
      </c>
      <c r="B409" s="16">
        <v>1</v>
      </c>
      <c r="C409" s="29">
        <v>1</v>
      </c>
      <c r="D409" s="17"/>
      <c r="E409" s="20">
        <v>1</v>
      </c>
      <c r="F409" s="45">
        <f t="shared" si="342"/>
        <v>3</v>
      </c>
      <c r="G409" s="16"/>
      <c r="H409" s="29"/>
      <c r="I409" s="17"/>
      <c r="J409" s="20"/>
      <c r="K409" s="45">
        <f t="shared" si="343"/>
        <v>0</v>
      </c>
      <c r="L409" s="104">
        <f t="shared" si="333"/>
        <v>3</v>
      </c>
      <c r="M409" s="56">
        <v>45947</v>
      </c>
      <c r="N409" s="33"/>
      <c r="O409" s="16"/>
      <c r="P409" s="29"/>
      <c r="Q409" s="17"/>
      <c r="R409" s="32"/>
      <c r="S409" s="9">
        <f t="shared" ref="S409:S410" si="352">SUM(O409:R409)</f>
        <v>0</v>
      </c>
      <c r="T409" s="16"/>
      <c r="U409" s="29"/>
      <c r="V409" s="17"/>
      <c r="W409" s="32"/>
      <c r="X409" s="9">
        <f t="shared" ref="X409:X410" si="353">SUM(T409:W409)</f>
        <v>0</v>
      </c>
      <c r="Y409" s="104">
        <f t="shared" ref="Y409:Y410" si="354">S409+X409</f>
        <v>0</v>
      </c>
    </row>
    <row r="410" spans="1:26" x14ac:dyDescent="0.15">
      <c r="A410" s="47" t="s">
        <v>708</v>
      </c>
      <c r="B410" s="16"/>
      <c r="C410" s="29"/>
      <c r="D410" s="17"/>
      <c r="E410" s="20"/>
      <c r="F410" s="45">
        <f t="shared" si="342"/>
        <v>0</v>
      </c>
      <c r="G410" s="16"/>
      <c r="H410" s="29">
        <v>-1</v>
      </c>
      <c r="I410" s="17"/>
      <c r="J410" s="20"/>
      <c r="K410" s="45">
        <f t="shared" si="343"/>
        <v>-1</v>
      </c>
      <c r="L410" s="104">
        <f t="shared" si="333"/>
        <v>-1</v>
      </c>
      <c r="M410" s="56">
        <v>45948</v>
      </c>
      <c r="N410" s="33"/>
      <c r="O410" s="16"/>
      <c r="P410" s="29"/>
      <c r="Q410" s="17"/>
      <c r="R410" s="32"/>
      <c r="S410" s="9">
        <f t="shared" si="352"/>
        <v>0</v>
      </c>
      <c r="T410" s="16"/>
      <c r="U410" s="29"/>
      <c r="V410" s="17"/>
      <c r="W410" s="32"/>
      <c r="X410" s="9">
        <f t="shared" si="353"/>
        <v>0</v>
      </c>
      <c r="Y410" s="104">
        <f t="shared" si="354"/>
        <v>0</v>
      </c>
    </row>
    <row r="411" spans="1:26" x14ac:dyDescent="0.15">
      <c r="A411" s="47" t="s">
        <v>709</v>
      </c>
      <c r="B411" s="16">
        <v>-1</v>
      </c>
      <c r="C411" s="29"/>
      <c r="D411" s="17"/>
      <c r="E411" s="20"/>
      <c r="F411" s="45">
        <f t="shared" si="342"/>
        <v>-1</v>
      </c>
      <c r="G411" s="16"/>
      <c r="H411" s="29"/>
      <c r="I411" s="17"/>
      <c r="J411" s="20"/>
      <c r="K411" s="45">
        <f t="shared" si="343"/>
        <v>0</v>
      </c>
      <c r="L411" s="104">
        <f t="shared" si="333"/>
        <v>-1</v>
      </c>
      <c r="M411" s="56">
        <v>45948</v>
      </c>
      <c r="N411" s="33"/>
      <c r="O411" s="16"/>
      <c r="P411" s="29"/>
      <c r="Q411" s="17"/>
      <c r="R411" s="32"/>
      <c r="S411" s="9">
        <f t="shared" ref="S411:S412" si="355">SUM(O411:R411)</f>
        <v>0</v>
      </c>
      <c r="T411" s="16"/>
      <c r="U411" s="29"/>
      <c r="V411" s="17"/>
      <c r="W411" s="32"/>
      <c r="X411" s="9">
        <f t="shared" ref="X411:X412" si="356">SUM(T411:W411)</f>
        <v>0</v>
      </c>
      <c r="Y411" s="104">
        <f t="shared" ref="Y411:Y412" si="357">S411+X411</f>
        <v>0</v>
      </c>
    </row>
    <row r="412" spans="1:26" x14ac:dyDescent="0.15">
      <c r="A412" s="47" t="s">
        <v>51</v>
      </c>
      <c r="B412" s="16"/>
      <c r="C412" s="29"/>
      <c r="D412" s="17"/>
      <c r="E412" s="20"/>
      <c r="F412" s="45">
        <f t="shared" si="342"/>
        <v>0</v>
      </c>
      <c r="G412" s="16">
        <v>1</v>
      </c>
      <c r="H412" s="29"/>
      <c r="I412" s="17"/>
      <c r="J412" s="20"/>
      <c r="K412" s="45">
        <f t="shared" si="343"/>
        <v>1</v>
      </c>
      <c r="L412" s="104">
        <f t="shared" si="333"/>
        <v>1</v>
      </c>
      <c r="M412" s="56">
        <v>45950</v>
      </c>
      <c r="N412" s="33"/>
      <c r="O412" s="16"/>
      <c r="P412" s="29"/>
      <c r="Q412" s="17"/>
      <c r="R412" s="32"/>
      <c r="S412" s="9">
        <f t="shared" si="355"/>
        <v>0</v>
      </c>
      <c r="T412" s="16"/>
      <c r="U412" s="29"/>
      <c r="V412" s="17"/>
      <c r="W412" s="32"/>
      <c r="X412" s="9">
        <f t="shared" si="356"/>
        <v>0</v>
      </c>
      <c r="Y412" s="104">
        <f t="shared" si="357"/>
        <v>0</v>
      </c>
    </row>
    <row r="413" spans="1:26" x14ac:dyDescent="0.15">
      <c r="A413" s="47" t="s">
        <v>717</v>
      </c>
      <c r="B413" s="16"/>
      <c r="C413" s="29"/>
      <c r="D413" s="17"/>
      <c r="E413" s="20"/>
      <c r="F413" s="45">
        <f t="shared" si="342"/>
        <v>0</v>
      </c>
      <c r="G413" s="16">
        <v>-3</v>
      </c>
      <c r="H413" s="29"/>
      <c r="I413" s="17"/>
      <c r="J413" s="20"/>
      <c r="K413" s="45">
        <f t="shared" si="343"/>
        <v>-3</v>
      </c>
      <c r="L413" s="104">
        <f t="shared" si="333"/>
        <v>-3</v>
      </c>
      <c r="M413" s="56">
        <v>45952</v>
      </c>
      <c r="N413" s="72" t="s">
        <v>599</v>
      </c>
      <c r="O413" s="166"/>
      <c r="P413" s="167"/>
      <c r="Q413" s="160"/>
      <c r="R413" s="168"/>
      <c r="S413" s="215">
        <f t="shared" ref="S413:S415" si="358">SUM(O413:R413)</f>
        <v>0</v>
      </c>
      <c r="T413" s="211"/>
      <c r="U413" s="212"/>
      <c r="V413" s="213"/>
      <c r="W413" s="214"/>
      <c r="X413" s="215">
        <f t="shared" ref="X413:X415" si="359">SUM(T413:W413)</f>
        <v>0</v>
      </c>
      <c r="Y413" s="144">
        <f t="shared" si="334"/>
        <v>0</v>
      </c>
      <c r="Z413" s="225"/>
    </row>
    <row r="414" spans="1:26" ht="14.25" thickBot="1" x14ac:dyDescent="0.2">
      <c r="A414" s="47"/>
      <c r="B414" s="37"/>
      <c r="C414" s="38"/>
      <c r="D414" s="39"/>
      <c r="E414" s="40"/>
      <c r="F414" s="45">
        <f t="shared" si="342"/>
        <v>0</v>
      </c>
      <c r="G414" s="37"/>
      <c r="H414" s="38"/>
      <c r="I414" s="39"/>
      <c r="J414" s="40"/>
      <c r="K414" s="45">
        <f t="shared" si="343"/>
        <v>0</v>
      </c>
      <c r="L414" s="104">
        <f t="shared" si="333"/>
        <v>0</v>
      </c>
      <c r="N414" s="170" t="s">
        <v>272</v>
      </c>
      <c r="O414" s="37"/>
      <c r="P414" s="38"/>
      <c r="Q414" s="39"/>
      <c r="R414" s="129"/>
      <c r="S414" s="89">
        <f t="shared" ref="S414" si="360">SUM(O414:R414)</f>
        <v>0</v>
      </c>
      <c r="T414" s="196"/>
      <c r="U414" s="197"/>
      <c r="V414" s="198"/>
      <c r="W414" s="199"/>
      <c r="X414" s="89">
        <f t="shared" ref="X414" si="361">SUM(T414:W414)</f>
        <v>0</v>
      </c>
      <c r="Y414" s="127">
        <f t="shared" ref="Y414" si="362">S414+X414</f>
        <v>0</v>
      </c>
      <c r="Z414" s="227" t="s">
        <v>404</v>
      </c>
    </row>
    <row r="415" spans="1:26" ht="14.25" thickBot="1" x14ac:dyDescent="0.2">
      <c r="A415" s="13" t="s">
        <v>8</v>
      </c>
      <c r="B415" s="22">
        <f>SUM(B390:B414)</f>
        <v>0</v>
      </c>
      <c r="C415" s="30">
        <f>SUM(C390:C414)</f>
        <v>5</v>
      </c>
      <c r="D415" s="23">
        <f>SUM(D390:D414)</f>
        <v>-3</v>
      </c>
      <c r="E415" s="24">
        <f>SUM(E390:E414)</f>
        <v>-1</v>
      </c>
      <c r="F415" s="21">
        <f>SUM(B415:E415)</f>
        <v>1</v>
      </c>
      <c r="G415" s="22">
        <f>SUM(G390:G414)</f>
        <v>-1</v>
      </c>
      <c r="H415" s="30">
        <f>SUM(H390:H414)</f>
        <v>1</v>
      </c>
      <c r="I415" s="23">
        <f>SUM(I390:I414)</f>
        <v>0</v>
      </c>
      <c r="J415" s="24">
        <f>SUM(J390:J414)</f>
        <v>1</v>
      </c>
      <c r="K415" s="21">
        <f>SUM(G415:J415)</f>
        <v>1</v>
      </c>
      <c r="L415" s="105">
        <f t="shared" si="333"/>
        <v>2</v>
      </c>
      <c r="N415" s="49" t="s">
        <v>8</v>
      </c>
      <c r="O415" s="22">
        <f>SUM(O390:O414)</f>
        <v>44</v>
      </c>
      <c r="P415" s="30">
        <f>SUM(P390:P414)</f>
        <v>105</v>
      </c>
      <c r="Q415" s="23">
        <f>SUM(Q390:Q414)</f>
        <v>92</v>
      </c>
      <c r="R415" s="24">
        <f>SUM(R390:R414)</f>
        <v>123</v>
      </c>
      <c r="S415" s="48">
        <f t="shared" si="358"/>
        <v>364</v>
      </c>
      <c r="T415" s="22">
        <f>SUM(T390:T414)</f>
        <v>4</v>
      </c>
      <c r="U415" s="30">
        <f>SUM(U390:U414)</f>
        <v>1</v>
      </c>
      <c r="V415" s="23">
        <f>SUM(V390:V414)</f>
        <v>6</v>
      </c>
      <c r="W415" s="24">
        <f>SUM(W390:W414)</f>
        <v>2</v>
      </c>
      <c r="X415" s="48">
        <f t="shared" si="359"/>
        <v>13</v>
      </c>
      <c r="Y415" s="122">
        <f t="shared" si="334"/>
        <v>377</v>
      </c>
    </row>
    <row r="416" spans="1:26" ht="14.25" thickBot="1" x14ac:dyDescent="0.2">
      <c r="A416" s="14" t="s">
        <v>9</v>
      </c>
      <c r="B416" s="25">
        <f t="shared" ref="B416:K416" si="363">B389-B415</f>
        <v>9</v>
      </c>
      <c r="C416" s="31">
        <f t="shared" si="363"/>
        <v>5</v>
      </c>
      <c r="D416" s="26">
        <f t="shared" si="363"/>
        <v>7</v>
      </c>
      <c r="E416" s="27">
        <f t="shared" si="363"/>
        <v>8</v>
      </c>
      <c r="F416" s="83">
        <f t="shared" si="363"/>
        <v>29</v>
      </c>
      <c r="G416" s="25">
        <f t="shared" si="363"/>
        <v>5</v>
      </c>
      <c r="H416" s="31">
        <f t="shared" si="363"/>
        <v>4</v>
      </c>
      <c r="I416" s="26">
        <f t="shared" si="363"/>
        <v>6</v>
      </c>
      <c r="J416" s="27">
        <f t="shared" si="363"/>
        <v>4</v>
      </c>
      <c r="K416" s="83">
        <f t="shared" si="363"/>
        <v>19</v>
      </c>
      <c r="L416" s="102">
        <f t="shared" si="333"/>
        <v>48</v>
      </c>
      <c r="N416" s="13" t="s">
        <v>9</v>
      </c>
      <c r="O416" s="25">
        <f t="shared" ref="O416:X416" si="364">O389-O415</f>
        <v>101</v>
      </c>
      <c r="P416" s="31">
        <f t="shared" si="364"/>
        <v>89</v>
      </c>
      <c r="Q416" s="26">
        <f t="shared" si="364"/>
        <v>84</v>
      </c>
      <c r="R416" s="27">
        <f t="shared" si="364"/>
        <v>34</v>
      </c>
      <c r="S416" s="36">
        <f t="shared" si="364"/>
        <v>308</v>
      </c>
      <c r="T416" s="25">
        <f t="shared" si="364"/>
        <v>41</v>
      </c>
      <c r="U416" s="31">
        <f t="shared" si="364"/>
        <v>75</v>
      </c>
      <c r="V416" s="26">
        <f t="shared" si="364"/>
        <v>53</v>
      </c>
      <c r="W416" s="27">
        <f t="shared" si="364"/>
        <v>29</v>
      </c>
      <c r="X416" s="36">
        <f t="shared" si="364"/>
        <v>198</v>
      </c>
      <c r="Y416" s="102">
        <f t="shared" si="334"/>
        <v>506</v>
      </c>
    </row>
    <row r="417" spans="1:26" x14ac:dyDescent="0.15">
      <c r="N417" s="189"/>
      <c r="O417" s="71"/>
      <c r="P417" s="71"/>
      <c r="Q417" s="71"/>
      <c r="R417" s="71"/>
      <c r="S417" s="71"/>
      <c r="T417" s="71"/>
      <c r="U417" s="71"/>
      <c r="V417" s="71"/>
      <c r="W417" s="71"/>
      <c r="X417" s="71"/>
    </row>
    <row r="418" spans="1:26" x14ac:dyDescent="0.15">
      <c r="N418" s="189"/>
      <c r="O418" s="116"/>
      <c r="P418" s="116"/>
      <c r="Q418" s="116"/>
      <c r="R418" s="116"/>
      <c r="S418" s="149"/>
      <c r="T418" s="192"/>
      <c r="U418" s="192"/>
      <c r="V418" s="192"/>
      <c r="W418" s="192"/>
      <c r="X418" s="193"/>
    </row>
    <row r="419" spans="1:26" ht="19.5" thickBot="1" x14ac:dyDescent="0.25">
      <c r="A419" s="2" t="s">
        <v>18</v>
      </c>
      <c r="B419" s="2"/>
      <c r="C419" s="1"/>
      <c r="D419" s="1"/>
      <c r="E419" s="1"/>
      <c r="F419" s="84"/>
      <c r="G419" s="2"/>
      <c r="H419" s="1" t="s">
        <v>157</v>
      </c>
      <c r="I419" s="1"/>
      <c r="J419" s="1"/>
      <c r="K419" s="84" t="s">
        <v>13</v>
      </c>
      <c r="L419" s="84"/>
      <c r="N419" s="2" t="s">
        <v>19</v>
      </c>
      <c r="O419" s="71"/>
      <c r="P419" s="71"/>
      <c r="Q419" s="71"/>
      <c r="R419" s="71"/>
      <c r="S419" s="84"/>
      <c r="T419" s="1" t="s">
        <v>157</v>
      </c>
      <c r="U419" s="71"/>
      <c r="V419" s="71"/>
      <c r="W419" s="71"/>
      <c r="X419" s="84" t="s">
        <v>13</v>
      </c>
    </row>
    <row r="420" spans="1:26" ht="14.25" thickBot="1" x14ac:dyDescent="0.2">
      <c r="A420" s="5" t="s">
        <v>0</v>
      </c>
      <c r="B420" s="322" t="s">
        <v>32</v>
      </c>
      <c r="C420" s="323"/>
      <c r="D420" s="323"/>
      <c r="E420" s="323"/>
      <c r="F420" s="324"/>
      <c r="G420" s="325" t="s">
        <v>31</v>
      </c>
      <c r="H420" s="326"/>
      <c r="I420" s="326"/>
      <c r="J420" s="326"/>
      <c r="K420" s="327"/>
      <c r="L420" s="320" t="s">
        <v>30</v>
      </c>
      <c r="N420" s="5" t="s">
        <v>0</v>
      </c>
      <c r="O420" s="322" t="s">
        <v>200</v>
      </c>
      <c r="P420" s="323"/>
      <c r="Q420" s="323"/>
      <c r="R420" s="323"/>
      <c r="S420" s="324"/>
      <c r="T420" s="325" t="s">
        <v>201</v>
      </c>
      <c r="U420" s="326"/>
      <c r="V420" s="326"/>
      <c r="W420" s="326"/>
      <c r="X420" s="327"/>
      <c r="Y420" s="320" t="s">
        <v>30</v>
      </c>
    </row>
    <row r="421" spans="1:26" ht="14.25" thickBot="1" x14ac:dyDescent="0.2">
      <c r="A421" s="5" t="s">
        <v>1</v>
      </c>
      <c r="B421" s="3" t="s">
        <v>22</v>
      </c>
      <c r="C421" s="28" t="s">
        <v>23</v>
      </c>
      <c r="D421" s="4" t="s">
        <v>24</v>
      </c>
      <c r="E421" s="15" t="s">
        <v>25</v>
      </c>
      <c r="F421" s="19" t="s">
        <v>2</v>
      </c>
      <c r="G421" s="3" t="s">
        <v>22</v>
      </c>
      <c r="H421" s="28" t="s">
        <v>23</v>
      </c>
      <c r="I421" s="4" t="s">
        <v>24</v>
      </c>
      <c r="J421" s="15" t="s">
        <v>25</v>
      </c>
      <c r="K421" s="19" t="s">
        <v>2</v>
      </c>
      <c r="L421" s="321"/>
      <c r="N421" s="5" t="s">
        <v>1</v>
      </c>
      <c r="O421" s="3" t="s">
        <v>22</v>
      </c>
      <c r="P421" s="28" t="s">
        <v>23</v>
      </c>
      <c r="Q421" s="4" t="s">
        <v>24</v>
      </c>
      <c r="R421" s="15" t="s">
        <v>25</v>
      </c>
      <c r="S421" s="19" t="s">
        <v>2</v>
      </c>
      <c r="T421" s="3" t="s">
        <v>22</v>
      </c>
      <c r="U421" s="28" t="s">
        <v>23</v>
      </c>
      <c r="V421" s="4" t="s">
        <v>24</v>
      </c>
      <c r="W421" s="15" t="s">
        <v>25</v>
      </c>
      <c r="X421" s="19" t="s">
        <v>2</v>
      </c>
      <c r="Y421" s="321"/>
    </row>
    <row r="422" spans="1:26" x14ac:dyDescent="0.15">
      <c r="A422" s="78" t="s">
        <v>10</v>
      </c>
      <c r="B422" s="79">
        <f>B416</f>
        <v>9</v>
      </c>
      <c r="C422" s="80">
        <f>C416</f>
        <v>5</v>
      </c>
      <c r="D422" s="80">
        <f>D416</f>
        <v>7</v>
      </c>
      <c r="E422" s="81">
        <f>E416</f>
        <v>8</v>
      </c>
      <c r="F422" s="82">
        <f>SUM(B422:E422)</f>
        <v>29</v>
      </c>
      <c r="G422" s="79">
        <f>G416</f>
        <v>5</v>
      </c>
      <c r="H422" s="80">
        <f>H416</f>
        <v>4</v>
      </c>
      <c r="I422" s="80">
        <f>I416</f>
        <v>6</v>
      </c>
      <c r="J422" s="81">
        <f>J416</f>
        <v>4</v>
      </c>
      <c r="K422" s="82">
        <f>SUM(G422:J422)</f>
        <v>19</v>
      </c>
      <c r="L422" s="98">
        <f>F422+K422</f>
        <v>48</v>
      </c>
      <c r="N422" s="78" t="s">
        <v>10</v>
      </c>
      <c r="O422" s="79">
        <f>O416</f>
        <v>101</v>
      </c>
      <c r="P422" s="80">
        <f>P416</f>
        <v>89</v>
      </c>
      <c r="Q422" s="80">
        <f>Q416</f>
        <v>84</v>
      </c>
      <c r="R422" s="81">
        <f>R416</f>
        <v>34</v>
      </c>
      <c r="S422" s="82">
        <f>SUM(O422:R422)</f>
        <v>308</v>
      </c>
      <c r="T422" s="79">
        <f>T416</f>
        <v>41</v>
      </c>
      <c r="U422" s="80">
        <f>U416</f>
        <v>75</v>
      </c>
      <c r="V422" s="80">
        <f>V416</f>
        <v>53</v>
      </c>
      <c r="W422" s="81">
        <f>W416</f>
        <v>29</v>
      </c>
      <c r="X422" s="82">
        <f>SUM(T422:W422)</f>
        <v>198</v>
      </c>
      <c r="Y422" s="98">
        <f>S422+X422</f>
        <v>506</v>
      </c>
    </row>
    <row r="423" spans="1:26" x14ac:dyDescent="0.15">
      <c r="A423" s="254" t="s">
        <v>3</v>
      </c>
      <c r="B423" s="262"/>
      <c r="C423" s="263"/>
      <c r="D423" s="264"/>
      <c r="E423" s="265"/>
      <c r="F423" s="266">
        <f>SUM(B423:E423)</f>
        <v>0</v>
      </c>
      <c r="G423" s="262"/>
      <c r="H423" s="263"/>
      <c r="I423" s="264"/>
      <c r="J423" s="265">
        <v>5</v>
      </c>
      <c r="K423" s="266">
        <f>SUM(G423:J423)</f>
        <v>5</v>
      </c>
      <c r="L423" s="267">
        <f t="shared" ref="L423:L454" si="365">F423+K423</f>
        <v>5</v>
      </c>
      <c r="M423" s="261">
        <v>45953</v>
      </c>
      <c r="N423" s="12" t="s">
        <v>11</v>
      </c>
      <c r="O423" s="16"/>
      <c r="P423" s="29"/>
      <c r="Q423" s="17"/>
      <c r="R423" s="20"/>
      <c r="S423" s="45">
        <f>SUM(O423:R423)</f>
        <v>0</v>
      </c>
      <c r="T423" s="16">
        <v>10</v>
      </c>
      <c r="U423" s="29">
        <v>10</v>
      </c>
      <c r="V423" s="17">
        <v>40</v>
      </c>
      <c r="W423" s="20">
        <v>40</v>
      </c>
      <c r="X423" s="45">
        <f t="shared" ref="X423:X424" si="366">SUM(T423:W423)</f>
        <v>100</v>
      </c>
      <c r="Y423" s="100">
        <f t="shared" ref="Y423:Y425" si="367">S423+X423</f>
        <v>100</v>
      </c>
      <c r="Z423" s="56" t="s">
        <v>712</v>
      </c>
    </row>
    <row r="424" spans="1:26" x14ac:dyDescent="0.15">
      <c r="A424" s="283" t="s">
        <v>4</v>
      </c>
      <c r="B424" s="284"/>
      <c r="C424" s="285">
        <v>5</v>
      </c>
      <c r="D424" s="286"/>
      <c r="E424" s="287"/>
      <c r="F424" s="270">
        <f>SUM(B424:E424)</f>
        <v>5</v>
      </c>
      <c r="G424" s="284"/>
      <c r="H424" s="285"/>
      <c r="I424" s="286"/>
      <c r="J424" s="287"/>
      <c r="K424" s="270">
        <f>SUM(G424:J424)</f>
        <v>0</v>
      </c>
      <c r="L424" s="288">
        <f t="shared" si="365"/>
        <v>5</v>
      </c>
      <c r="M424" s="261">
        <v>45959</v>
      </c>
      <c r="N424" s="12" t="s">
        <v>3</v>
      </c>
      <c r="O424" s="16"/>
      <c r="P424" s="29"/>
      <c r="Q424" s="17"/>
      <c r="R424" s="20"/>
      <c r="S424" s="45">
        <f t="shared" ref="S424" si="368">SUM(O424:R424)</f>
        <v>0</v>
      </c>
      <c r="T424" s="16">
        <v>10</v>
      </c>
      <c r="U424" s="29">
        <v>10</v>
      </c>
      <c r="V424" s="17">
        <v>40</v>
      </c>
      <c r="W424" s="20">
        <v>40</v>
      </c>
      <c r="X424" s="45">
        <f t="shared" si="366"/>
        <v>100</v>
      </c>
      <c r="Y424" s="100">
        <f t="shared" si="367"/>
        <v>100</v>
      </c>
      <c r="Z424" s="56" t="s">
        <v>712</v>
      </c>
    </row>
    <row r="425" spans="1:26" x14ac:dyDescent="0.15">
      <c r="A425" s="283" t="s">
        <v>5</v>
      </c>
      <c r="B425" s="284"/>
      <c r="C425" s="285"/>
      <c r="D425" s="286"/>
      <c r="E425" s="287">
        <v>3</v>
      </c>
      <c r="F425" s="270">
        <f>SUM(B425:E425)</f>
        <v>3</v>
      </c>
      <c r="G425" s="284"/>
      <c r="H425" s="285"/>
      <c r="I425" s="286">
        <v>3</v>
      </c>
      <c r="J425" s="287"/>
      <c r="K425" s="270">
        <f>SUM(G425:J425)</f>
        <v>3</v>
      </c>
      <c r="L425" s="288">
        <f t="shared" si="365"/>
        <v>6</v>
      </c>
      <c r="M425" s="261">
        <v>45967</v>
      </c>
      <c r="N425" s="12" t="s">
        <v>4</v>
      </c>
      <c r="O425" s="16"/>
      <c r="P425" s="29"/>
      <c r="Q425" s="17"/>
      <c r="R425" s="20"/>
      <c r="S425" s="45">
        <f t="shared" ref="S425" si="369">SUM(O425:R425)</f>
        <v>0</v>
      </c>
      <c r="T425" s="16">
        <v>4</v>
      </c>
      <c r="U425" s="29">
        <v>5</v>
      </c>
      <c r="V425" s="17">
        <v>3</v>
      </c>
      <c r="W425" s="20">
        <v>3</v>
      </c>
      <c r="X425" s="45">
        <f>SUM(T425:W425)</f>
        <v>15</v>
      </c>
      <c r="Y425" s="104">
        <f t="shared" si="367"/>
        <v>15</v>
      </c>
      <c r="Z425" s="56" t="s">
        <v>712</v>
      </c>
    </row>
    <row r="426" spans="1:26" ht="14.25" thickBot="1" x14ac:dyDescent="0.2">
      <c r="A426" s="12" t="s">
        <v>6</v>
      </c>
      <c r="B426" s="6"/>
      <c r="C426" s="18"/>
      <c r="D426" s="7"/>
      <c r="E426" s="8"/>
      <c r="F426" s="10">
        <f>SUM(B426:E426)</f>
        <v>0</v>
      </c>
      <c r="G426" s="6"/>
      <c r="H426" s="18">
        <v>3</v>
      </c>
      <c r="I426" s="7"/>
      <c r="J426" s="8"/>
      <c r="K426" s="10">
        <f>SUM(G426:J426)</f>
        <v>3</v>
      </c>
      <c r="L426" s="101">
        <f t="shared" si="365"/>
        <v>3</v>
      </c>
      <c r="M426" s="56">
        <v>45971</v>
      </c>
      <c r="N426" s="12" t="s">
        <v>5</v>
      </c>
      <c r="O426" s="16"/>
      <c r="P426" s="29"/>
      <c r="Q426" s="17"/>
      <c r="R426" s="20"/>
      <c r="S426" s="45">
        <f t="shared" ref="S426" si="370">SUM(O426:R426)</f>
        <v>0</v>
      </c>
      <c r="T426" s="16"/>
      <c r="U426" s="29"/>
      <c r="V426" s="17"/>
      <c r="W426" s="20"/>
      <c r="X426" s="45">
        <f t="shared" ref="X426" si="371">SUM(T426:W426)</f>
        <v>0</v>
      </c>
      <c r="Y426" s="100">
        <f t="shared" ref="Y426" si="372">S426+X426</f>
        <v>0</v>
      </c>
      <c r="Z426" s="56"/>
    </row>
    <row r="427" spans="1:26" ht="14.25" thickBot="1" x14ac:dyDescent="0.2">
      <c r="A427" s="14" t="s">
        <v>7</v>
      </c>
      <c r="B427" s="62">
        <f t="shared" ref="B427:K427" si="373">SUM(B422:B426)</f>
        <v>9</v>
      </c>
      <c r="C427" s="63">
        <f t="shared" si="373"/>
        <v>10</v>
      </c>
      <c r="D427" s="64">
        <f t="shared" si="373"/>
        <v>7</v>
      </c>
      <c r="E427" s="65">
        <f t="shared" si="373"/>
        <v>11</v>
      </c>
      <c r="F427" s="66">
        <f t="shared" si="373"/>
        <v>37</v>
      </c>
      <c r="G427" s="62">
        <f t="shared" si="373"/>
        <v>5</v>
      </c>
      <c r="H427" s="63">
        <f t="shared" si="373"/>
        <v>7</v>
      </c>
      <c r="I427" s="64">
        <f t="shared" si="373"/>
        <v>9</v>
      </c>
      <c r="J427" s="65">
        <f t="shared" si="373"/>
        <v>9</v>
      </c>
      <c r="K427" s="66">
        <f t="shared" si="373"/>
        <v>30</v>
      </c>
      <c r="L427" s="102">
        <f t="shared" si="365"/>
        <v>67</v>
      </c>
      <c r="N427" s="13" t="s">
        <v>7</v>
      </c>
      <c r="O427" s="25">
        <f t="shared" ref="O427:X427" si="374">SUM(O422:O426)</f>
        <v>101</v>
      </c>
      <c r="P427" s="31">
        <f t="shared" si="374"/>
        <v>89</v>
      </c>
      <c r="Q427" s="26">
        <f t="shared" si="374"/>
        <v>84</v>
      </c>
      <c r="R427" s="67">
        <f t="shared" si="374"/>
        <v>34</v>
      </c>
      <c r="S427" s="68">
        <f t="shared" si="374"/>
        <v>308</v>
      </c>
      <c r="T427" s="25">
        <f t="shared" si="374"/>
        <v>65</v>
      </c>
      <c r="U427" s="31">
        <f t="shared" si="374"/>
        <v>100</v>
      </c>
      <c r="V427" s="26">
        <f t="shared" si="374"/>
        <v>136</v>
      </c>
      <c r="W427" s="67">
        <f t="shared" si="374"/>
        <v>112</v>
      </c>
      <c r="X427" s="68">
        <f t="shared" si="374"/>
        <v>413</v>
      </c>
      <c r="Y427" s="102">
        <f t="shared" ref="Y427:Y454" si="375">S427+X427</f>
        <v>721</v>
      </c>
    </row>
    <row r="428" spans="1:26" x14ac:dyDescent="0.15">
      <c r="A428" s="33" t="s">
        <v>718</v>
      </c>
      <c r="B428" s="41"/>
      <c r="C428" s="42"/>
      <c r="D428" s="43"/>
      <c r="E428" s="44">
        <v>3</v>
      </c>
      <c r="F428" s="70">
        <f t="shared" ref="F428:F452" si="376">SUM(B428:E428)</f>
        <v>3</v>
      </c>
      <c r="G428" s="41"/>
      <c r="H428" s="42"/>
      <c r="I428" s="43"/>
      <c r="J428" s="44"/>
      <c r="K428" s="70">
        <f t="shared" ref="K428:K452" si="377">SUM(G428:J428)</f>
        <v>0</v>
      </c>
      <c r="L428" s="103">
        <f t="shared" si="365"/>
        <v>3</v>
      </c>
      <c r="M428" s="56">
        <v>45953</v>
      </c>
      <c r="N428" s="268" t="s">
        <v>725</v>
      </c>
      <c r="O428" s="255"/>
      <c r="P428" s="256"/>
      <c r="Q428" s="257"/>
      <c r="R428" s="269"/>
      <c r="S428" s="270">
        <f t="shared" ref="S428" si="378">SUM(O428:R428)</f>
        <v>0</v>
      </c>
      <c r="T428" s="255"/>
      <c r="U428" s="256"/>
      <c r="V428" s="257"/>
      <c r="W428" s="269">
        <v>5</v>
      </c>
      <c r="X428" s="270">
        <f t="shared" ref="X428" si="379">SUM(T428:W428)</f>
        <v>5</v>
      </c>
      <c r="Y428" s="260">
        <f t="shared" ref="Y428" si="380">S428+X428</f>
        <v>5</v>
      </c>
      <c r="Z428" s="261">
        <v>45953</v>
      </c>
    </row>
    <row r="429" spans="1:26" x14ac:dyDescent="0.15">
      <c r="A429" s="33" t="s">
        <v>543</v>
      </c>
      <c r="B429" s="16"/>
      <c r="C429" s="29"/>
      <c r="D429" s="17"/>
      <c r="E429" s="20">
        <v>1</v>
      </c>
      <c r="F429" s="45">
        <f t="shared" si="376"/>
        <v>1</v>
      </c>
      <c r="G429" s="16"/>
      <c r="H429" s="29"/>
      <c r="I429" s="17"/>
      <c r="J429" s="20">
        <v>3</v>
      </c>
      <c r="K429" s="45">
        <f t="shared" si="377"/>
        <v>3</v>
      </c>
      <c r="L429" s="104">
        <f t="shared" si="365"/>
        <v>4</v>
      </c>
      <c r="M429" s="56">
        <v>45954</v>
      </c>
      <c r="N429" s="11" t="s">
        <v>729</v>
      </c>
      <c r="O429" s="16"/>
      <c r="P429" s="29">
        <v>15</v>
      </c>
      <c r="Q429" s="17">
        <v>15</v>
      </c>
      <c r="R429" s="32"/>
      <c r="S429" s="9">
        <f t="shared" ref="S429:S435" si="381">SUM(O429:R429)</f>
        <v>30</v>
      </c>
      <c r="T429" s="16"/>
      <c r="U429" s="29"/>
      <c r="V429" s="17"/>
      <c r="W429" s="32"/>
      <c r="X429" s="9">
        <f t="shared" ref="X429:X435" si="382">SUM(T429:W429)</f>
        <v>0</v>
      </c>
      <c r="Y429" s="104">
        <f t="shared" si="375"/>
        <v>30</v>
      </c>
      <c r="Z429" s="56">
        <v>45957</v>
      </c>
    </row>
    <row r="430" spans="1:26" x14ac:dyDescent="0.15">
      <c r="A430" s="33" t="s">
        <v>736</v>
      </c>
      <c r="B430" s="16"/>
      <c r="C430" s="29">
        <v>1</v>
      </c>
      <c r="D430" s="17">
        <v>1</v>
      </c>
      <c r="E430" s="20"/>
      <c r="F430" s="45">
        <f t="shared" si="376"/>
        <v>2</v>
      </c>
      <c r="G430" s="16"/>
      <c r="H430" s="29"/>
      <c r="I430" s="17"/>
      <c r="J430" s="20"/>
      <c r="K430" s="45">
        <f t="shared" si="377"/>
        <v>0</v>
      </c>
      <c r="L430" s="104">
        <f t="shared" si="365"/>
        <v>2</v>
      </c>
      <c r="M430" s="56">
        <v>45954</v>
      </c>
      <c r="N430" s="268" t="s">
        <v>39</v>
      </c>
      <c r="O430" s="255"/>
      <c r="P430" s="256">
        <v>5</v>
      </c>
      <c r="Q430" s="257"/>
      <c r="R430" s="269"/>
      <c r="S430" s="270">
        <f t="shared" si="381"/>
        <v>5</v>
      </c>
      <c r="T430" s="255"/>
      <c r="U430" s="256"/>
      <c r="V430" s="257"/>
      <c r="W430" s="269"/>
      <c r="X430" s="270">
        <f t="shared" si="382"/>
        <v>0</v>
      </c>
      <c r="Y430" s="260">
        <f t="shared" si="375"/>
        <v>5</v>
      </c>
      <c r="Z430" s="261">
        <v>45959</v>
      </c>
    </row>
    <row r="431" spans="1:26" x14ac:dyDescent="0.15">
      <c r="A431" s="47" t="s">
        <v>737</v>
      </c>
      <c r="B431" s="16">
        <v>1</v>
      </c>
      <c r="C431" s="29"/>
      <c r="D431" s="17">
        <v>1</v>
      </c>
      <c r="E431" s="20"/>
      <c r="F431" s="45">
        <f t="shared" si="376"/>
        <v>2</v>
      </c>
      <c r="G431" s="16"/>
      <c r="H431" s="29"/>
      <c r="I431" s="17"/>
      <c r="J431" s="20">
        <v>1</v>
      </c>
      <c r="K431" s="45">
        <f t="shared" si="377"/>
        <v>1</v>
      </c>
      <c r="L431" s="104">
        <f t="shared" si="365"/>
        <v>3</v>
      </c>
      <c r="M431" s="58">
        <v>45953</v>
      </c>
      <c r="N431" s="289" t="s">
        <v>746</v>
      </c>
      <c r="O431" s="255">
        <v>5</v>
      </c>
      <c r="P431" s="256"/>
      <c r="Q431" s="257"/>
      <c r="R431" s="269">
        <v>10</v>
      </c>
      <c r="S431" s="270">
        <f t="shared" si="381"/>
        <v>15</v>
      </c>
      <c r="T431" s="255"/>
      <c r="U431" s="256"/>
      <c r="V431" s="257"/>
      <c r="W431" s="269"/>
      <c r="X431" s="270">
        <f t="shared" si="382"/>
        <v>0</v>
      </c>
      <c r="Y431" s="260">
        <f t="shared" si="375"/>
        <v>15</v>
      </c>
      <c r="Z431" s="261">
        <v>45960</v>
      </c>
    </row>
    <row r="432" spans="1:26" x14ac:dyDescent="0.15">
      <c r="A432" s="33" t="s">
        <v>738</v>
      </c>
      <c r="B432" s="16"/>
      <c r="C432" s="29"/>
      <c r="D432" s="17"/>
      <c r="E432" s="20">
        <v>1</v>
      </c>
      <c r="F432" s="45">
        <f t="shared" si="376"/>
        <v>1</v>
      </c>
      <c r="G432" s="16"/>
      <c r="H432" s="29"/>
      <c r="I432" s="17">
        <v>1</v>
      </c>
      <c r="J432" s="20"/>
      <c r="K432" s="45">
        <f t="shared" si="377"/>
        <v>1</v>
      </c>
      <c r="L432" s="104">
        <f t="shared" si="365"/>
        <v>2</v>
      </c>
      <c r="M432" s="56">
        <v>45957</v>
      </c>
      <c r="N432" s="11" t="s">
        <v>748</v>
      </c>
      <c r="O432" s="16"/>
      <c r="P432" s="29">
        <v>11</v>
      </c>
      <c r="Q432" s="17">
        <v>8</v>
      </c>
      <c r="R432" s="32">
        <v>8</v>
      </c>
      <c r="S432" s="9">
        <f t="shared" si="381"/>
        <v>27</v>
      </c>
      <c r="T432" s="16"/>
      <c r="U432" s="29"/>
      <c r="V432" s="17">
        <v>7</v>
      </c>
      <c r="W432" s="32"/>
      <c r="X432" s="9">
        <f t="shared" si="382"/>
        <v>7</v>
      </c>
      <c r="Y432" s="104">
        <f t="shared" si="375"/>
        <v>34</v>
      </c>
      <c r="Z432" s="56">
        <v>45962</v>
      </c>
    </row>
    <row r="433" spans="1:26" x14ac:dyDescent="0.15">
      <c r="A433" s="33" t="s">
        <v>741</v>
      </c>
      <c r="B433" s="16">
        <v>1</v>
      </c>
      <c r="C433" s="29">
        <v>2</v>
      </c>
      <c r="D433" s="17"/>
      <c r="E433" s="20"/>
      <c r="F433" s="45">
        <f t="shared" si="376"/>
        <v>3</v>
      </c>
      <c r="G433" s="16"/>
      <c r="H433" s="29"/>
      <c r="I433" s="17"/>
      <c r="J433" s="20"/>
      <c r="K433" s="45">
        <f t="shared" si="377"/>
        <v>0</v>
      </c>
      <c r="L433" s="104">
        <f t="shared" si="365"/>
        <v>3</v>
      </c>
      <c r="M433" s="56">
        <v>45959</v>
      </c>
      <c r="N433" s="268" t="s">
        <v>764</v>
      </c>
      <c r="O433" s="255"/>
      <c r="P433" s="256"/>
      <c r="Q433" s="257"/>
      <c r="R433" s="269">
        <v>3</v>
      </c>
      <c r="S433" s="270">
        <f t="shared" si="381"/>
        <v>3</v>
      </c>
      <c r="T433" s="255"/>
      <c r="U433" s="256"/>
      <c r="V433" s="257">
        <v>3</v>
      </c>
      <c r="W433" s="269"/>
      <c r="X433" s="270">
        <f t="shared" si="382"/>
        <v>3</v>
      </c>
      <c r="Y433" s="260">
        <f t="shared" ref="Y433:Y435" si="383">S433+X433</f>
        <v>6</v>
      </c>
      <c r="Z433" s="261">
        <v>45967</v>
      </c>
    </row>
    <row r="434" spans="1:26" x14ac:dyDescent="0.15">
      <c r="A434" s="47" t="s">
        <v>51</v>
      </c>
      <c r="B434" s="16"/>
      <c r="C434" s="29"/>
      <c r="D434" s="17">
        <v>1</v>
      </c>
      <c r="E434" s="20"/>
      <c r="F434" s="45">
        <f t="shared" si="376"/>
        <v>1</v>
      </c>
      <c r="G434" s="16"/>
      <c r="H434" s="29"/>
      <c r="I434" s="17"/>
      <c r="J434" s="20"/>
      <c r="K434" s="45">
        <f t="shared" si="377"/>
        <v>0</v>
      </c>
      <c r="L434" s="104">
        <f t="shared" si="365"/>
        <v>1</v>
      </c>
      <c r="M434" s="58">
        <v>45958</v>
      </c>
      <c r="N434" s="33" t="s">
        <v>39</v>
      </c>
      <c r="O434" s="16"/>
      <c r="P434" s="29"/>
      <c r="Q434" s="17"/>
      <c r="R434" s="32"/>
      <c r="S434" s="9">
        <f t="shared" si="381"/>
        <v>0</v>
      </c>
      <c r="T434" s="16"/>
      <c r="U434" s="29">
        <v>3</v>
      </c>
      <c r="V434" s="17"/>
      <c r="W434" s="32"/>
      <c r="X434" s="9">
        <f t="shared" si="382"/>
        <v>3</v>
      </c>
      <c r="Y434" s="104">
        <f t="shared" si="383"/>
        <v>3</v>
      </c>
      <c r="Z434" s="56">
        <v>45971</v>
      </c>
    </row>
    <row r="435" spans="1:26" x14ac:dyDescent="0.15">
      <c r="A435" s="33" t="s">
        <v>745</v>
      </c>
      <c r="B435" s="16"/>
      <c r="C435" s="29"/>
      <c r="D435" s="17"/>
      <c r="E435" s="20">
        <v>1</v>
      </c>
      <c r="F435" s="45">
        <f t="shared" si="376"/>
        <v>1</v>
      </c>
      <c r="G435" s="16"/>
      <c r="H435" s="29"/>
      <c r="I435" s="17"/>
      <c r="J435" s="20"/>
      <c r="K435" s="45">
        <f t="shared" si="377"/>
        <v>0</v>
      </c>
      <c r="L435" s="104">
        <f t="shared" si="365"/>
        <v>1</v>
      </c>
      <c r="M435" s="56">
        <v>45961</v>
      </c>
      <c r="N435" s="33"/>
      <c r="O435" s="16"/>
      <c r="P435" s="29"/>
      <c r="Q435" s="17"/>
      <c r="R435" s="32"/>
      <c r="S435" s="9">
        <f t="shared" si="381"/>
        <v>0</v>
      </c>
      <c r="T435" s="16"/>
      <c r="U435" s="29"/>
      <c r="V435" s="17"/>
      <c r="W435" s="32"/>
      <c r="X435" s="9">
        <f t="shared" si="382"/>
        <v>0</v>
      </c>
      <c r="Y435" s="104">
        <f t="shared" si="383"/>
        <v>0</v>
      </c>
      <c r="Z435" s="157"/>
    </row>
    <row r="436" spans="1:26" x14ac:dyDescent="0.15">
      <c r="A436" s="47" t="s">
        <v>51</v>
      </c>
      <c r="B436" s="16">
        <v>1</v>
      </c>
      <c r="C436" s="29">
        <v>1</v>
      </c>
      <c r="D436" s="17"/>
      <c r="E436" s="20"/>
      <c r="F436" s="45">
        <f t="shared" si="376"/>
        <v>2</v>
      </c>
      <c r="G436" s="16"/>
      <c r="H436" s="29"/>
      <c r="I436" s="17"/>
      <c r="J436" s="20"/>
      <c r="K436" s="45">
        <f t="shared" si="377"/>
        <v>0</v>
      </c>
      <c r="L436" s="104">
        <f t="shared" si="365"/>
        <v>2</v>
      </c>
      <c r="M436" s="58">
        <v>45959</v>
      </c>
      <c r="N436" s="33"/>
      <c r="O436" s="16"/>
      <c r="P436" s="29"/>
      <c r="Q436" s="17"/>
      <c r="R436" s="32"/>
      <c r="S436" s="9">
        <f t="shared" ref="S436:S439" si="384">SUM(O436:R436)</f>
        <v>0</v>
      </c>
      <c r="T436" s="16"/>
      <c r="U436" s="29"/>
      <c r="V436" s="17"/>
      <c r="W436" s="32"/>
      <c r="X436" s="9">
        <f t="shared" ref="X436:X439" si="385">SUM(T436:W436)</f>
        <v>0</v>
      </c>
      <c r="Y436" s="104">
        <f t="shared" si="375"/>
        <v>0</v>
      </c>
    </row>
    <row r="437" spans="1:26" x14ac:dyDescent="0.15">
      <c r="A437" s="33" t="s">
        <v>747</v>
      </c>
      <c r="B437" s="16"/>
      <c r="C437" s="29"/>
      <c r="D437" s="17"/>
      <c r="E437" s="20"/>
      <c r="F437" s="45">
        <f t="shared" si="376"/>
        <v>0</v>
      </c>
      <c r="G437" s="16"/>
      <c r="H437" s="29"/>
      <c r="I437" s="17">
        <v>2</v>
      </c>
      <c r="J437" s="20"/>
      <c r="K437" s="45">
        <f t="shared" si="377"/>
        <v>2</v>
      </c>
      <c r="L437" s="104">
        <f t="shared" si="365"/>
        <v>2</v>
      </c>
      <c r="M437" s="56">
        <v>45961</v>
      </c>
      <c r="N437" s="33"/>
      <c r="O437" s="16"/>
      <c r="P437" s="29"/>
      <c r="Q437" s="17"/>
      <c r="R437" s="32"/>
      <c r="S437" s="9">
        <f t="shared" si="384"/>
        <v>0</v>
      </c>
      <c r="T437" s="16"/>
      <c r="U437" s="29"/>
      <c r="V437" s="17"/>
      <c r="W437" s="32"/>
      <c r="X437" s="9">
        <f t="shared" si="385"/>
        <v>0</v>
      </c>
      <c r="Y437" s="104">
        <f t="shared" si="375"/>
        <v>0</v>
      </c>
    </row>
    <row r="438" spans="1:26" x14ac:dyDescent="0.15">
      <c r="A438" s="33" t="s">
        <v>755</v>
      </c>
      <c r="B438" s="16"/>
      <c r="C438" s="29">
        <v>1</v>
      </c>
      <c r="D438" s="17"/>
      <c r="E438" s="20"/>
      <c r="F438" s="45">
        <f t="shared" si="376"/>
        <v>1</v>
      </c>
      <c r="G438" s="16"/>
      <c r="H438" s="29"/>
      <c r="I438" s="17">
        <v>1</v>
      </c>
      <c r="J438" s="20"/>
      <c r="K438" s="45">
        <f t="shared" si="377"/>
        <v>1</v>
      </c>
      <c r="L438" s="104">
        <f t="shared" si="365"/>
        <v>2</v>
      </c>
      <c r="M438" s="56">
        <v>45965</v>
      </c>
      <c r="N438" s="33"/>
      <c r="O438" s="16"/>
      <c r="P438" s="29"/>
      <c r="Q438" s="17"/>
      <c r="R438" s="32"/>
      <c r="S438" s="9">
        <f t="shared" si="384"/>
        <v>0</v>
      </c>
      <c r="T438" s="16"/>
      <c r="U438" s="29"/>
      <c r="V438" s="17"/>
      <c r="W438" s="32"/>
      <c r="X438" s="9">
        <f t="shared" si="385"/>
        <v>0</v>
      </c>
      <c r="Y438" s="104">
        <f t="shared" si="375"/>
        <v>0</v>
      </c>
    </row>
    <row r="439" spans="1:26" x14ac:dyDescent="0.15">
      <c r="A439" s="47" t="s">
        <v>759</v>
      </c>
      <c r="B439" s="16">
        <v>1</v>
      </c>
      <c r="C439" s="29"/>
      <c r="D439" s="17"/>
      <c r="E439" s="20"/>
      <c r="F439" s="45">
        <f t="shared" si="376"/>
        <v>1</v>
      </c>
      <c r="G439" s="16"/>
      <c r="H439" s="29"/>
      <c r="I439" s="17"/>
      <c r="J439" s="20"/>
      <c r="K439" s="45">
        <f t="shared" si="377"/>
        <v>0</v>
      </c>
      <c r="L439" s="104">
        <f t="shared" si="365"/>
        <v>1</v>
      </c>
      <c r="M439" s="58">
        <v>45966</v>
      </c>
      <c r="N439" s="72"/>
      <c r="O439" s="16"/>
      <c r="P439" s="29"/>
      <c r="Q439" s="17"/>
      <c r="R439" s="32"/>
      <c r="S439" s="9">
        <f t="shared" si="384"/>
        <v>0</v>
      </c>
      <c r="T439" s="16"/>
      <c r="U439" s="29"/>
      <c r="V439" s="17"/>
      <c r="W439" s="32"/>
      <c r="X439" s="9">
        <f t="shared" si="385"/>
        <v>0</v>
      </c>
      <c r="Y439" s="104">
        <f t="shared" si="375"/>
        <v>0</v>
      </c>
    </row>
    <row r="440" spans="1:26" x14ac:dyDescent="0.15">
      <c r="A440" s="33" t="s">
        <v>762</v>
      </c>
      <c r="B440" s="16"/>
      <c r="C440" s="29"/>
      <c r="D440" s="17"/>
      <c r="E440" s="20"/>
      <c r="F440" s="45">
        <f t="shared" si="376"/>
        <v>0</v>
      </c>
      <c r="G440" s="16"/>
      <c r="H440" s="29">
        <v>1</v>
      </c>
      <c r="I440" s="17"/>
      <c r="J440" s="20"/>
      <c r="K440" s="45">
        <f t="shared" si="377"/>
        <v>1</v>
      </c>
      <c r="L440" s="104">
        <f t="shared" si="365"/>
        <v>1</v>
      </c>
      <c r="M440" s="56">
        <v>45968</v>
      </c>
      <c r="N440" s="33"/>
      <c r="O440" s="16"/>
      <c r="P440" s="29"/>
      <c r="Q440" s="17"/>
      <c r="R440" s="32"/>
      <c r="S440" s="9">
        <f>SUM(O440:R440)</f>
        <v>0</v>
      </c>
      <c r="T440" s="16"/>
      <c r="U440" s="29"/>
      <c r="V440" s="17"/>
      <c r="W440" s="32"/>
      <c r="X440" s="9">
        <f>SUM(T440:W440)</f>
        <v>0</v>
      </c>
      <c r="Y440" s="104">
        <f t="shared" si="375"/>
        <v>0</v>
      </c>
    </row>
    <row r="441" spans="1:26" x14ac:dyDescent="0.15">
      <c r="A441" s="47" t="s">
        <v>51</v>
      </c>
      <c r="B441" s="16"/>
      <c r="C441" s="29"/>
      <c r="D441" s="17"/>
      <c r="E441" s="20"/>
      <c r="F441" s="45">
        <f t="shared" si="376"/>
        <v>0</v>
      </c>
      <c r="G441" s="16"/>
      <c r="H441" s="29"/>
      <c r="I441" s="17"/>
      <c r="J441" s="20">
        <v>1</v>
      </c>
      <c r="K441" s="45">
        <f t="shared" si="377"/>
        <v>1</v>
      </c>
      <c r="L441" s="104">
        <f t="shared" si="365"/>
        <v>1</v>
      </c>
      <c r="M441" s="58">
        <v>45966</v>
      </c>
      <c r="N441" s="72"/>
      <c r="O441" s="16"/>
      <c r="P441" s="29"/>
      <c r="Q441" s="17"/>
      <c r="R441" s="32"/>
      <c r="S441" s="9">
        <f>SUM(O441:R441)</f>
        <v>0</v>
      </c>
      <c r="T441" s="16"/>
      <c r="U441" s="29"/>
      <c r="V441" s="17"/>
      <c r="W441" s="32"/>
      <c r="X441" s="9">
        <f>SUM(T441:W441)</f>
        <v>0</v>
      </c>
      <c r="Y441" s="104">
        <f t="shared" si="375"/>
        <v>0</v>
      </c>
    </row>
    <row r="442" spans="1:26" x14ac:dyDescent="0.15">
      <c r="A442" s="47" t="s">
        <v>51</v>
      </c>
      <c r="B442" s="16"/>
      <c r="C442" s="29"/>
      <c r="D442" s="17"/>
      <c r="E442" s="20"/>
      <c r="F442" s="45">
        <f t="shared" si="376"/>
        <v>0</v>
      </c>
      <c r="G442" s="16"/>
      <c r="H442" s="29"/>
      <c r="I442" s="17">
        <v>1</v>
      </c>
      <c r="J442" s="20"/>
      <c r="K442" s="45">
        <f t="shared" si="377"/>
        <v>1</v>
      </c>
      <c r="L442" s="104">
        <f t="shared" si="365"/>
        <v>1</v>
      </c>
      <c r="M442" s="58">
        <v>45968</v>
      </c>
      <c r="N442" s="72"/>
      <c r="O442" s="16"/>
      <c r="P442" s="29"/>
      <c r="Q442" s="17"/>
      <c r="R442" s="32"/>
      <c r="S442" s="9">
        <f t="shared" ref="S442:S445" si="386">SUM(O442:R442)</f>
        <v>0</v>
      </c>
      <c r="T442" s="16"/>
      <c r="U442" s="29"/>
      <c r="V442" s="17"/>
      <c r="W442" s="32"/>
      <c r="X442" s="9">
        <f t="shared" ref="X442:X445" si="387">SUM(T442:W442)</f>
        <v>0</v>
      </c>
      <c r="Y442" s="104">
        <f t="shared" si="375"/>
        <v>0</v>
      </c>
    </row>
    <row r="443" spans="1:26" x14ac:dyDescent="0.15">
      <c r="A443" s="33" t="s">
        <v>771</v>
      </c>
      <c r="B443" s="16">
        <v>1</v>
      </c>
      <c r="C443" s="29"/>
      <c r="D443" s="17">
        <v>1</v>
      </c>
      <c r="E443" s="20"/>
      <c r="F443" s="45">
        <f t="shared" si="376"/>
        <v>2</v>
      </c>
      <c r="G443" s="16"/>
      <c r="H443" s="29"/>
      <c r="I443" s="17"/>
      <c r="J443" s="20"/>
      <c r="K443" s="45">
        <f t="shared" si="377"/>
        <v>0</v>
      </c>
      <c r="L443" s="104">
        <f t="shared" si="365"/>
        <v>2</v>
      </c>
      <c r="M443" s="56">
        <v>45973</v>
      </c>
      <c r="N443" s="72"/>
      <c r="O443" s="16"/>
      <c r="P443" s="29"/>
      <c r="Q443" s="17"/>
      <c r="R443" s="32"/>
      <c r="S443" s="9">
        <f t="shared" si="386"/>
        <v>0</v>
      </c>
      <c r="T443" s="16"/>
      <c r="U443" s="29"/>
      <c r="V443" s="17"/>
      <c r="W443" s="32"/>
      <c r="X443" s="9">
        <f t="shared" si="387"/>
        <v>0</v>
      </c>
      <c r="Y443" s="104">
        <f t="shared" si="375"/>
        <v>0</v>
      </c>
    </row>
    <row r="444" spans="1:26" x14ac:dyDescent="0.15">
      <c r="A444" s="47" t="s">
        <v>51</v>
      </c>
      <c r="B444" s="16"/>
      <c r="C444" s="29"/>
      <c r="D444" s="17"/>
      <c r="E444" s="20">
        <v>1</v>
      </c>
      <c r="F444" s="45">
        <f t="shared" si="376"/>
        <v>1</v>
      </c>
      <c r="G444" s="16"/>
      <c r="H444" s="29"/>
      <c r="I444" s="17"/>
      <c r="J444" s="20"/>
      <c r="K444" s="45">
        <f t="shared" si="377"/>
        <v>0</v>
      </c>
      <c r="L444" s="104">
        <f t="shared" si="365"/>
        <v>1</v>
      </c>
      <c r="M444" s="56">
        <v>45971</v>
      </c>
      <c r="N444" s="72"/>
      <c r="O444" s="16"/>
      <c r="P444" s="29"/>
      <c r="Q444" s="17"/>
      <c r="R444" s="32"/>
      <c r="S444" s="9">
        <f t="shared" si="386"/>
        <v>0</v>
      </c>
      <c r="T444" s="16"/>
      <c r="U444" s="29"/>
      <c r="V444" s="17"/>
      <c r="W444" s="32"/>
      <c r="X444" s="9">
        <f t="shared" si="387"/>
        <v>0</v>
      </c>
      <c r="Y444" s="104">
        <f t="shared" si="375"/>
        <v>0</v>
      </c>
    </row>
    <row r="445" spans="1:26" x14ac:dyDescent="0.15">
      <c r="A445" s="33" t="s">
        <v>773</v>
      </c>
      <c r="B445" s="16"/>
      <c r="C445" s="29"/>
      <c r="D445" s="17">
        <v>1</v>
      </c>
      <c r="E445" s="20"/>
      <c r="F445" s="45">
        <f t="shared" si="376"/>
        <v>1</v>
      </c>
      <c r="G445" s="16"/>
      <c r="H445" s="29"/>
      <c r="I445" s="17"/>
      <c r="J445" s="20"/>
      <c r="K445" s="45">
        <f t="shared" si="377"/>
        <v>0</v>
      </c>
      <c r="L445" s="104">
        <f t="shared" si="365"/>
        <v>1</v>
      </c>
      <c r="M445" s="56">
        <v>45974</v>
      </c>
      <c r="N445" s="72"/>
      <c r="O445" s="41"/>
      <c r="P445" s="42"/>
      <c r="Q445" s="43"/>
      <c r="R445" s="59"/>
      <c r="S445" s="61">
        <f t="shared" si="386"/>
        <v>0</v>
      </c>
      <c r="T445" s="41"/>
      <c r="U445" s="42"/>
      <c r="V445" s="43"/>
      <c r="W445" s="59"/>
      <c r="X445" s="61">
        <f t="shared" si="387"/>
        <v>0</v>
      </c>
      <c r="Y445" s="104">
        <f t="shared" si="375"/>
        <v>0</v>
      </c>
    </row>
    <row r="446" spans="1:26" x14ac:dyDescent="0.15">
      <c r="A446" s="47" t="s">
        <v>51</v>
      </c>
      <c r="B446" s="16"/>
      <c r="C446" s="29"/>
      <c r="D446" s="17">
        <v>1</v>
      </c>
      <c r="E446" s="20"/>
      <c r="F446" s="45">
        <f t="shared" si="376"/>
        <v>1</v>
      </c>
      <c r="G446" s="16"/>
      <c r="H446" s="29"/>
      <c r="I446" s="17"/>
      <c r="J446" s="20"/>
      <c r="K446" s="45">
        <f t="shared" si="377"/>
        <v>0</v>
      </c>
      <c r="L446" s="104">
        <f t="shared" si="365"/>
        <v>1</v>
      </c>
      <c r="M446" s="58">
        <v>45972</v>
      </c>
      <c r="N446" s="33"/>
      <c r="O446" s="16"/>
      <c r="P446" s="29"/>
      <c r="Q446" s="17"/>
      <c r="R446" s="32"/>
      <c r="S446" s="9">
        <f>SUM(O446:R446)</f>
        <v>0</v>
      </c>
      <c r="T446" s="16"/>
      <c r="U446" s="29"/>
      <c r="V446" s="17"/>
      <c r="W446" s="32"/>
      <c r="X446" s="9">
        <f>SUM(T446:W446)</f>
        <v>0</v>
      </c>
      <c r="Y446" s="104">
        <f t="shared" si="375"/>
        <v>0</v>
      </c>
    </row>
    <row r="447" spans="1:26" x14ac:dyDescent="0.15">
      <c r="A447" s="47" t="s">
        <v>51</v>
      </c>
      <c r="B447" s="16"/>
      <c r="C447" s="29"/>
      <c r="D447" s="17"/>
      <c r="E447" s="20"/>
      <c r="F447" s="45">
        <f t="shared" si="376"/>
        <v>0</v>
      </c>
      <c r="G447" s="16"/>
      <c r="H447" s="29"/>
      <c r="I447" s="17"/>
      <c r="J447" s="20">
        <v>1</v>
      </c>
      <c r="K447" s="45">
        <f t="shared" si="377"/>
        <v>1</v>
      </c>
      <c r="L447" s="104">
        <f t="shared" si="365"/>
        <v>1</v>
      </c>
      <c r="M447" s="58">
        <v>45974</v>
      </c>
      <c r="N447" s="11"/>
      <c r="O447" s="16"/>
      <c r="P447" s="17"/>
      <c r="Q447" s="29"/>
      <c r="R447" s="60"/>
      <c r="S447" s="9">
        <f t="shared" ref="S447:S453" si="388">SUM(O447:R447)</f>
        <v>0</v>
      </c>
      <c r="T447" s="16"/>
      <c r="U447" s="17"/>
      <c r="V447" s="29"/>
      <c r="W447" s="60"/>
      <c r="X447" s="9">
        <f t="shared" ref="X447:X453" si="389">SUM(T447:W447)</f>
        <v>0</v>
      </c>
      <c r="Y447" s="104">
        <f t="shared" si="375"/>
        <v>0</v>
      </c>
    </row>
    <row r="448" spans="1:26" x14ac:dyDescent="0.15">
      <c r="A448" s="33" t="s">
        <v>708</v>
      </c>
      <c r="B448" s="16"/>
      <c r="C448" s="29"/>
      <c r="D448" s="17"/>
      <c r="E448" s="20"/>
      <c r="F448" s="45">
        <f t="shared" si="376"/>
        <v>0</v>
      </c>
      <c r="G448" s="16"/>
      <c r="H448" s="29"/>
      <c r="I448" s="17">
        <v>-1</v>
      </c>
      <c r="J448" s="20"/>
      <c r="K448" s="45">
        <f t="shared" si="377"/>
        <v>-1</v>
      </c>
      <c r="L448" s="104">
        <f t="shared" si="365"/>
        <v>-1</v>
      </c>
      <c r="M448" s="58">
        <v>45975</v>
      </c>
      <c r="N448" s="11"/>
      <c r="O448" s="16"/>
      <c r="P448" s="29"/>
      <c r="Q448" s="17"/>
      <c r="R448" s="32"/>
      <c r="S448" s="9">
        <f t="shared" si="388"/>
        <v>0</v>
      </c>
      <c r="T448" s="16"/>
      <c r="U448" s="29"/>
      <c r="V448" s="17"/>
      <c r="W448" s="32"/>
      <c r="X448" s="9">
        <f t="shared" si="389"/>
        <v>0</v>
      </c>
      <c r="Y448" s="104">
        <f t="shared" si="375"/>
        <v>0</v>
      </c>
    </row>
    <row r="449" spans="1:27" x14ac:dyDescent="0.15">
      <c r="A449" s="47"/>
      <c r="B449" s="16"/>
      <c r="C449" s="29"/>
      <c r="D449" s="17"/>
      <c r="E449" s="20"/>
      <c r="F449" s="45">
        <f t="shared" si="376"/>
        <v>0</v>
      </c>
      <c r="G449" s="16"/>
      <c r="H449" s="29"/>
      <c r="I449" s="17"/>
      <c r="J449" s="20"/>
      <c r="K449" s="45">
        <f t="shared" si="377"/>
        <v>0</v>
      </c>
      <c r="L449" s="104">
        <f t="shared" si="365"/>
        <v>0</v>
      </c>
      <c r="N449" s="11"/>
      <c r="O449" s="16"/>
      <c r="P449" s="29"/>
      <c r="Q449" s="17"/>
      <c r="R449" s="32"/>
      <c r="S449" s="9">
        <f t="shared" ref="S449" si="390">SUM(O449:R449)</f>
        <v>0</v>
      </c>
      <c r="T449" s="16"/>
      <c r="U449" s="29"/>
      <c r="V449" s="17"/>
      <c r="W449" s="32"/>
      <c r="X449" s="9">
        <f t="shared" ref="X449" si="391">SUM(T449:W449)</f>
        <v>0</v>
      </c>
      <c r="Y449" s="104">
        <f t="shared" ref="Y449" si="392">S449+X449</f>
        <v>0</v>
      </c>
      <c r="AA449" s="235"/>
    </row>
    <row r="450" spans="1:27" x14ac:dyDescent="0.15">
      <c r="A450" s="47"/>
      <c r="B450" s="16"/>
      <c r="C450" s="29"/>
      <c r="D450" s="17"/>
      <c r="E450" s="20"/>
      <c r="F450" s="45">
        <f t="shared" si="376"/>
        <v>0</v>
      </c>
      <c r="G450" s="16"/>
      <c r="H450" s="29"/>
      <c r="I450" s="17"/>
      <c r="J450" s="20"/>
      <c r="K450" s="45">
        <f t="shared" si="377"/>
        <v>0</v>
      </c>
      <c r="L450" s="104">
        <f t="shared" si="365"/>
        <v>0</v>
      </c>
      <c r="N450" s="11" t="s">
        <v>606</v>
      </c>
      <c r="O450" s="16"/>
      <c r="P450" s="29"/>
      <c r="Q450" s="17"/>
      <c r="R450" s="32"/>
      <c r="S450" s="9">
        <f t="shared" ref="S450:S452" si="393">SUM(O450:R450)</f>
        <v>0</v>
      </c>
      <c r="T450" s="16"/>
      <c r="U450" s="29"/>
      <c r="V450" s="17"/>
      <c r="W450" s="32"/>
      <c r="X450" s="9">
        <f t="shared" ref="X450:X452" si="394">SUM(T450:W450)</f>
        <v>0</v>
      </c>
      <c r="Y450" s="104">
        <f t="shared" ref="Y450:Y452" si="395">S450+X450</f>
        <v>0</v>
      </c>
      <c r="Z450" s="157" t="s">
        <v>607</v>
      </c>
    </row>
    <row r="451" spans="1:27" x14ac:dyDescent="0.15">
      <c r="A451" s="47"/>
      <c r="B451" s="16"/>
      <c r="C451" s="29"/>
      <c r="D451" s="17"/>
      <c r="E451" s="20"/>
      <c r="F451" s="45">
        <f t="shared" si="376"/>
        <v>0</v>
      </c>
      <c r="G451" s="16"/>
      <c r="H451" s="29"/>
      <c r="I451" s="17"/>
      <c r="J451" s="20"/>
      <c r="K451" s="45">
        <f t="shared" si="377"/>
        <v>0</v>
      </c>
      <c r="L451" s="104">
        <f t="shared" si="365"/>
        <v>0</v>
      </c>
      <c r="N451" s="137" t="s">
        <v>548</v>
      </c>
      <c r="O451" s="166"/>
      <c r="P451" s="167"/>
      <c r="Q451" s="160"/>
      <c r="R451" s="168"/>
      <c r="S451" s="165">
        <f t="shared" si="393"/>
        <v>0</v>
      </c>
      <c r="T451" s="166"/>
      <c r="U451" s="167"/>
      <c r="V451" s="160"/>
      <c r="W451" s="168"/>
      <c r="X451" s="165">
        <f t="shared" si="394"/>
        <v>0</v>
      </c>
      <c r="Y451" s="169">
        <f t="shared" si="395"/>
        <v>0</v>
      </c>
      <c r="Z451" s="224"/>
      <c r="AA451" s="35"/>
    </row>
    <row r="452" spans="1:27" ht="14.25" thickBot="1" x14ac:dyDescent="0.2">
      <c r="A452" s="47"/>
      <c r="B452" s="37"/>
      <c r="C452" s="38"/>
      <c r="D452" s="39"/>
      <c r="E452" s="40"/>
      <c r="F452" s="45">
        <f t="shared" si="376"/>
        <v>0</v>
      </c>
      <c r="G452" s="37"/>
      <c r="H452" s="38"/>
      <c r="I452" s="39"/>
      <c r="J452" s="40"/>
      <c r="K452" s="45">
        <f t="shared" si="377"/>
        <v>0</v>
      </c>
      <c r="L452" s="104">
        <f t="shared" si="365"/>
        <v>0</v>
      </c>
      <c r="N452" s="128" t="s">
        <v>547</v>
      </c>
      <c r="O452" s="37"/>
      <c r="P452" s="38"/>
      <c r="Q452" s="39"/>
      <c r="R452" s="129"/>
      <c r="S452" s="10">
        <f t="shared" si="393"/>
        <v>0</v>
      </c>
      <c r="T452" s="37"/>
      <c r="U452" s="38"/>
      <c r="V452" s="39"/>
      <c r="W452" s="129"/>
      <c r="X452" s="10">
        <f t="shared" si="394"/>
        <v>0</v>
      </c>
      <c r="Y452" s="101">
        <f t="shared" si="395"/>
        <v>0</v>
      </c>
      <c r="Z452" s="35" t="s">
        <v>549</v>
      </c>
      <c r="AA452" s="35"/>
    </row>
    <row r="453" spans="1:27" ht="14.25" thickBot="1" x14ac:dyDescent="0.2">
      <c r="A453" s="13" t="s">
        <v>8</v>
      </c>
      <c r="B453" s="22">
        <f>SUM(B428:B452)</f>
        <v>5</v>
      </c>
      <c r="C453" s="30">
        <f>SUM(C428:C452)</f>
        <v>5</v>
      </c>
      <c r="D453" s="23">
        <f>SUM(D428:D452)</f>
        <v>6</v>
      </c>
      <c r="E453" s="24">
        <f>SUM(E428:E452)</f>
        <v>7</v>
      </c>
      <c r="F453" s="21">
        <f>SUM(B453:E453)</f>
        <v>23</v>
      </c>
      <c r="G453" s="22">
        <f>SUM(G428:G452)</f>
        <v>0</v>
      </c>
      <c r="H453" s="30">
        <f>SUM(H428:H452)</f>
        <v>1</v>
      </c>
      <c r="I453" s="23">
        <f>SUM(I428:I452)</f>
        <v>4</v>
      </c>
      <c r="J453" s="24">
        <f>SUM(J428:J452)</f>
        <v>6</v>
      </c>
      <c r="K453" s="21">
        <f>SUM(G453:J453)</f>
        <v>11</v>
      </c>
      <c r="L453" s="105">
        <f t="shared" si="365"/>
        <v>34</v>
      </c>
      <c r="N453" s="49" t="s">
        <v>8</v>
      </c>
      <c r="O453" s="22">
        <f>SUM(O428:O452)</f>
        <v>5</v>
      </c>
      <c r="P453" s="30">
        <f>SUM(P428:P452)</f>
        <v>31</v>
      </c>
      <c r="Q453" s="23">
        <f>SUM(Q428:Q452)</f>
        <v>23</v>
      </c>
      <c r="R453" s="24">
        <f>SUM(R428:R452)</f>
        <v>21</v>
      </c>
      <c r="S453" s="48">
        <f t="shared" si="388"/>
        <v>80</v>
      </c>
      <c r="T453" s="22">
        <f>SUM(T428:T452)</f>
        <v>0</v>
      </c>
      <c r="U453" s="30">
        <f>SUM(U428:U452)</f>
        <v>3</v>
      </c>
      <c r="V453" s="23">
        <f>SUM(V428:V452)</f>
        <v>10</v>
      </c>
      <c r="W453" s="24">
        <f>SUM(W428:W452)</f>
        <v>5</v>
      </c>
      <c r="X453" s="48">
        <f t="shared" si="389"/>
        <v>18</v>
      </c>
      <c r="Y453" s="122">
        <f t="shared" si="375"/>
        <v>98</v>
      </c>
    </row>
    <row r="454" spans="1:27" ht="14.25" thickBot="1" x14ac:dyDescent="0.2">
      <c r="A454" s="14" t="s">
        <v>9</v>
      </c>
      <c r="B454" s="25">
        <f t="shared" ref="B454:K454" si="396">B427-B453</f>
        <v>4</v>
      </c>
      <c r="C454" s="31">
        <f t="shared" si="396"/>
        <v>5</v>
      </c>
      <c r="D454" s="26">
        <f t="shared" si="396"/>
        <v>1</v>
      </c>
      <c r="E454" s="27">
        <f t="shared" si="396"/>
        <v>4</v>
      </c>
      <c r="F454" s="83">
        <f t="shared" si="396"/>
        <v>14</v>
      </c>
      <c r="G454" s="25">
        <f t="shared" si="396"/>
        <v>5</v>
      </c>
      <c r="H454" s="31">
        <f t="shared" si="396"/>
        <v>6</v>
      </c>
      <c r="I454" s="26">
        <f t="shared" si="396"/>
        <v>5</v>
      </c>
      <c r="J454" s="27">
        <f t="shared" si="396"/>
        <v>3</v>
      </c>
      <c r="K454" s="83">
        <f t="shared" si="396"/>
        <v>19</v>
      </c>
      <c r="L454" s="102">
        <f t="shared" si="365"/>
        <v>33</v>
      </c>
      <c r="N454" s="13" t="s">
        <v>9</v>
      </c>
      <c r="O454" s="25">
        <f t="shared" ref="O454:X454" si="397">O427-O453</f>
        <v>96</v>
      </c>
      <c r="P454" s="31">
        <f t="shared" si="397"/>
        <v>58</v>
      </c>
      <c r="Q454" s="26">
        <f t="shared" si="397"/>
        <v>61</v>
      </c>
      <c r="R454" s="27">
        <f t="shared" si="397"/>
        <v>13</v>
      </c>
      <c r="S454" s="36">
        <f t="shared" si="397"/>
        <v>228</v>
      </c>
      <c r="T454" s="25">
        <f t="shared" si="397"/>
        <v>65</v>
      </c>
      <c r="U454" s="31">
        <f t="shared" si="397"/>
        <v>97</v>
      </c>
      <c r="V454" s="26">
        <f t="shared" si="397"/>
        <v>126</v>
      </c>
      <c r="W454" s="27">
        <f t="shared" si="397"/>
        <v>107</v>
      </c>
      <c r="X454" s="36">
        <f t="shared" si="397"/>
        <v>395</v>
      </c>
      <c r="Y454" s="102">
        <f t="shared" si="375"/>
        <v>623</v>
      </c>
    </row>
    <row r="457" spans="1:27" ht="19.5" thickBot="1" x14ac:dyDescent="0.25">
      <c r="A457" s="2" t="s">
        <v>18</v>
      </c>
      <c r="B457" s="2"/>
      <c r="C457" s="1"/>
      <c r="D457" s="1"/>
      <c r="E457" s="1"/>
      <c r="F457" s="84"/>
      <c r="G457" s="2"/>
      <c r="H457" s="1" t="s">
        <v>157</v>
      </c>
      <c r="I457" s="1"/>
      <c r="J457" s="1"/>
      <c r="K457" s="84" t="s">
        <v>13</v>
      </c>
      <c r="L457" s="84"/>
      <c r="N457" s="2" t="s">
        <v>19</v>
      </c>
      <c r="O457" s="71"/>
      <c r="P457" s="71"/>
      <c r="Q457" s="71"/>
      <c r="R457" s="71"/>
      <c r="S457" s="84"/>
      <c r="T457" s="1" t="s">
        <v>157</v>
      </c>
      <c r="U457" s="71"/>
      <c r="V457" s="71"/>
      <c r="W457" s="71"/>
      <c r="X457" s="84" t="s">
        <v>13</v>
      </c>
    </row>
    <row r="458" spans="1:27" ht="14.25" thickBot="1" x14ac:dyDescent="0.2">
      <c r="A458" s="5" t="s">
        <v>0</v>
      </c>
      <c r="B458" s="322" t="s">
        <v>32</v>
      </c>
      <c r="C458" s="323"/>
      <c r="D458" s="323"/>
      <c r="E458" s="323"/>
      <c r="F458" s="324"/>
      <c r="G458" s="325" t="s">
        <v>31</v>
      </c>
      <c r="H458" s="326"/>
      <c r="I458" s="326"/>
      <c r="J458" s="326"/>
      <c r="K458" s="327"/>
      <c r="L458" s="320" t="s">
        <v>30</v>
      </c>
      <c r="N458" s="5" t="s">
        <v>0</v>
      </c>
      <c r="O458" s="322" t="s">
        <v>200</v>
      </c>
      <c r="P458" s="323"/>
      <c r="Q458" s="323"/>
      <c r="R458" s="323"/>
      <c r="S458" s="324"/>
      <c r="T458" s="325" t="s">
        <v>201</v>
      </c>
      <c r="U458" s="326"/>
      <c r="V458" s="326"/>
      <c r="W458" s="326"/>
      <c r="X458" s="327"/>
      <c r="Y458" s="320" t="s">
        <v>30</v>
      </c>
    </row>
    <row r="459" spans="1:27" ht="14.25" thickBot="1" x14ac:dyDescent="0.2">
      <c r="A459" s="5" t="s">
        <v>1</v>
      </c>
      <c r="B459" s="3" t="s">
        <v>22</v>
      </c>
      <c r="C459" s="28" t="s">
        <v>23</v>
      </c>
      <c r="D459" s="4" t="s">
        <v>24</v>
      </c>
      <c r="E459" s="15" t="s">
        <v>25</v>
      </c>
      <c r="F459" s="19" t="s">
        <v>2</v>
      </c>
      <c r="G459" s="3" t="s">
        <v>22</v>
      </c>
      <c r="H459" s="28" t="s">
        <v>23</v>
      </c>
      <c r="I459" s="4" t="s">
        <v>24</v>
      </c>
      <c r="J459" s="15" t="s">
        <v>25</v>
      </c>
      <c r="K459" s="19" t="s">
        <v>2</v>
      </c>
      <c r="L459" s="321"/>
      <c r="N459" s="5" t="s">
        <v>1</v>
      </c>
      <c r="O459" s="3" t="s">
        <v>22</v>
      </c>
      <c r="P459" s="28" t="s">
        <v>23</v>
      </c>
      <c r="Q459" s="4" t="s">
        <v>24</v>
      </c>
      <c r="R459" s="15" t="s">
        <v>25</v>
      </c>
      <c r="S459" s="19" t="s">
        <v>2</v>
      </c>
      <c r="T459" s="3" t="s">
        <v>22</v>
      </c>
      <c r="U459" s="28" t="s">
        <v>23</v>
      </c>
      <c r="V459" s="4" t="s">
        <v>24</v>
      </c>
      <c r="W459" s="15" t="s">
        <v>25</v>
      </c>
      <c r="X459" s="19" t="s">
        <v>2</v>
      </c>
      <c r="Y459" s="321"/>
    </row>
    <row r="460" spans="1:27" x14ac:dyDescent="0.15">
      <c r="A460" s="78" t="s">
        <v>10</v>
      </c>
      <c r="B460" s="79">
        <f>B454</f>
        <v>4</v>
      </c>
      <c r="C460" s="80">
        <f>C454</f>
        <v>5</v>
      </c>
      <c r="D460" s="80">
        <f>D454</f>
        <v>1</v>
      </c>
      <c r="E460" s="81">
        <f>E454</f>
        <v>4</v>
      </c>
      <c r="F460" s="82">
        <f>SUM(B460:E460)</f>
        <v>14</v>
      </c>
      <c r="G460" s="79">
        <f>G454</f>
        <v>5</v>
      </c>
      <c r="H460" s="80">
        <f>H454</f>
        <v>6</v>
      </c>
      <c r="I460" s="80">
        <f>I454</f>
        <v>5</v>
      </c>
      <c r="J460" s="81">
        <f>J454</f>
        <v>3</v>
      </c>
      <c r="K460" s="82">
        <f>SUM(G460:J460)</f>
        <v>19</v>
      </c>
      <c r="L460" s="98">
        <f>F460+K460</f>
        <v>33</v>
      </c>
      <c r="N460" s="78" t="s">
        <v>10</v>
      </c>
      <c r="O460" s="79">
        <f>O454</f>
        <v>96</v>
      </c>
      <c r="P460" s="80">
        <f>P454</f>
        <v>58</v>
      </c>
      <c r="Q460" s="80">
        <f>Q454</f>
        <v>61</v>
      </c>
      <c r="R460" s="81">
        <f>R454</f>
        <v>13</v>
      </c>
      <c r="S460" s="82">
        <f>SUM(O460:R460)</f>
        <v>228</v>
      </c>
      <c r="T460" s="79">
        <f>T454</f>
        <v>65</v>
      </c>
      <c r="U460" s="80">
        <f>U454</f>
        <v>97</v>
      </c>
      <c r="V460" s="80">
        <f>V454</f>
        <v>126</v>
      </c>
      <c r="W460" s="81">
        <f>W454</f>
        <v>107</v>
      </c>
      <c r="X460" s="82">
        <f>SUM(T460:W460)</f>
        <v>395</v>
      </c>
      <c r="Y460" s="98">
        <f>S460+X460</f>
        <v>623</v>
      </c>
    </row>
    <row r="461" spans="1:27" x14ac:dyDescent="0.15">
      <c r="A461" s="254" t="s">
        <v>3</v>
      </c>
      <c r="B461" s="262"/>
      <c r="C461" s="263"/>
      <c r="D461" s="264">
        <v>5</v>
      </c>
      <c r="E461" s="265"/>
      <c r="F461" s="266">
        <f>SUM(B461:E461)</f>
        <v>5</v>
      </c>
      <c r="G461" s="262"/>
      <c r="H461" s="263"/>
      <c r="I461" s="264"/>
      <c r="J461" s="265"/>
      <c r="K461" s="266">
        <f>SUM(G461:J461)</f>
        <v>0</v>
      </c>
      <c r="L461" s="267">
        <f t="shared" ref="L461:L492" si="398">F461+K461</f>
        <v>5</v>
      </c>
      <c r="M461" s="261">
        <v>45974</v>
      </c>
      <c r="N461" s="12" t="s">
        <v>731</v>
      </c>
      <c r="O461" s="16">
        <v>50</v>
      </c>
      <c r="P461" s="29">
        <v>80</v>
      </c>
      <c r="Q461" s="17">
        <v>60</v>
      </c>
      <c r="R461" s="20">
        <v>60</v>
      </c>
      <c r="S461" s="45">
        <f t="shared" ref="S461" si="399">SUM(O461:R461)</f>
        <v>250</v>
      </c>
      <c r="T461" s="16"/>
      <c r="U461" s="29"/>
      <c r="V461" s="17"/>
      <c r="W461" s="20"/>
      <c r="X461" s="45">
        <f t="shared" ref="X461" si="400">SUM(T461:W461)</f>
        <v>0</v>
      </c>
      <c r="Y461" s="100">
        <f t="shared" ref="Y461" si="401">S461+X461</f>
        <v>250</v>
      </c>
      <c r="Z461" s="131" t="s">
        <v>750</v>
      </c>
      <c r="AA461" s="35" t="s">
        <v>733</v>
      </c>
    </row>
    <row r="462" spans="1:27" x14ac:dyDescent="0.15">
      <c r="A462" s="12" t="s">
        <v>776</v>
      </c>
      <c r="B462" s="6">
        <v>3</v>
      </c>
      <c r="C462" s="18">
        <v>1</v>
      </c>
      <c r="D462" s="7">
        <v>5</v>
      </c>
      <c r="E462" s="8">
        <v>1</v>
      </c>
      <c r="F462" s="9">
        <f>SUM(B462:E462)</f>
        <v>10</v>
      </c>
      <c r="G462" s="6"/>
      <c r="H462" s="18"/>
      <c r="I462" s="7"/>
      <c r="J462" s="8"/>
      <c r="K462" s="9">
        <f>SUM(G462:J462)</f>
        <v>0</v>
      </c>
      <c r="L462" s="100">
        <f t="shared" si="398"/>
        <v>10</v>
      </c>
      <c r="M462" s="58">
        <v>45974</v>
      </c>
      <c r="N462" s="12" t="s">
        <v>47</v>
      </c>
      <c r="O462" s="16">
        <v>7</v>
      </c>
      <c r="P462" s="29">
        <v>3</v>
      </c>
      <c r="Q462" s="17">
        <v>6</v>
      </c>
      <c r="R462" s="20">
        <v>7</v>
      </c>
      <c r="S462" s="45">
        <f t="shared" ref="S462:S464" si="402">SUM(O462:R462)</f>
        <v>23</v>
      </c>
      <c r="T462" s="16"/>
      <c r="U462" s="29"/>
      <c r="V462" s="17"/>
      <c r="W462" s="20"/>
      <c r="X462" s="45">
        <f t="shared" ref="X462:X463" si="403">SUM(T462:W462)</f>
        <v>0</v>
      </c>
      <c r="Y462" s="100">
        <f t="shared" ref="Y462:Y463" si="404">S462+X462</f>
        <v>23</v>
      </c>
      <c r="Z462" s="131" t="s">
        <v>750</v>
      </c>
      <c r="AA462" s="35"/>
    </row>
    <row r="463" spans="1:27" x14ac:dyDescent="0.15">
      <c r="A463" s="12" t="s">
        <v>360</v>
      </c>
      <c r="B463" s="6"/>
      <c r="C463" s="18">
        <v>1</v>
      </c>
      <c r="D463" s="7">
        <v>2</v>
      </c>
      <c r="E463" s="8">
        <v>1</v>
      </c>
      <c r="F463" s="9">
        <f>SUM(B463:E463)</f>
        <v>4</v>
      </c>
      <c r="G463" s="6"/>
      <c r="H463" s="18"/>
      <c r="I463" s="7"/>
      <c r="J463" s="8"/>
      <c r="K463" s="9">
        <f>SUM(G463:J463)</f>
        <v>0</v>
      </c>
      <c r="L463" s="100">
        <f t="shared" si="398"/>
        <v>4</v>
      </c>
      <c r="M463" s="58">
        <v>45978</v>
      </c>
      <c r="N463" s="12" t="s">
        <v>757</v>
      </c>
      <c r="O463" s="16">
        <v>20</v>
      </c>
      <c r="P463" s="29">
        <v>60</v>
      </c>
      <c r="Q463" s="17">
        <v>50</v>
      </c>
      <c r="R463" s="20">
        <v>70</v>
      </c>
      <c r="S463" s="45">
        <f t="shared" si="402"/>
        <v>200</v>
      </c>
      <c r="T463" s="16"/>
      <c r="U463" s="29"/>
      <c r="V463" s="17"/>
      <c r="W463" s="20"/>
      <c r="X463" s="45">
        <f t="shared" si="403"/>
        <v>0</v>
      </c>
      <c r="Y463" s="100">
        <f t="shared" si="404"/>
        <v>200</v>
      </c>
      <c r="Z463" s="34" t="s">
        <v>785</v>
      </c>
      <c r="AA463" s="34"/>
    </row>
    <row r="464" spans="1:27" ht="14.25" thickBot="1" x14ac:dyDescent="0.2">
      <c r="A464" s="12" t="s">
        <v>6</v>
      </c>
      <c r="B464" s="6">
        <v>5</v>
      </c>
      <c r="C464" s="18">
        <v>5</v>
      </c>
      <c r="D464" s="7"/>
      <c r="E464" s="8"/>
      <c r="F464" s="10">
        <f>SUM(B464:E464)</f>
        <v>10</v>
      </c>
      <c r="G464" s="6"/>
      <c r="H464" s="18"/>
      <c r="I464" s="7"/>
      <c r="J464" s="8"/>
      <c r="K464" s="10">
        <f>SUM(G464:J464)</f>
        <v>0</v>
      </c>
      <c r="L464" s="101">
        <f t="shared" si="398"/>
        <v>10</v>
      </c>
      <c r="M464" s="56">
        <v>45987</v>
      </c>
      <c r="N464" s="12" t="s">
        <v>758</v>
      </c>
      <c r="O464" s="16">
        <v>20</v>
      </c>
      <c r="P464" s="29">
        <v>50</v>
      </c>
      <c r="Q464" s="17">
        <v>50</v>
      </c>
      <c r="R464" s="20">
        <v>80</v>
      </c>
      <c r="S464" s="45">
        <f t="shared" si="402"/>
        <v>200</v>
      </c>
      <c r="T464" s="16"/>
      <c r="U464" s="29"/>
      <c r="V464" s="17"/>
      <c r="W464" s="20"/>
      <c r="X464" s="45">
        <f t="shared" ref="X464" si="405">SUM(T464:W464)</f>
        <v>0</v>
      </c>
      <c r="Y464" s="100">
        <f t="shared" ref="Y464" si="406">S464+X464</f>
        <v>200</v>
      </c>
      <c r="Z464" s="34" t="s">
        <v>785</v>
      </c>
      <c r="AA464" s="35"/>
    </row>
    <row r="465" spans="1:27" ht="14.25" thickBot="1" x14ac:dyDescent="0.2">
      <c r="A465" s="14" t="s">
        <v>7</v>
      </c>
      <c r="B465" s="62">
        <f t="shared" ref="B465:K465" si="407">SUM(B460:B464)</f>
        <v>12</v>
      </c>
      <c r="C465" s="63">
        <f t="shared" si="407"/>
        <v>12</v>
      </c>
      <c r="D465" s="64">
        <f t="shared" si="407"/>
        <v>13</v>
      </c>
      <c r="E465" s="65">
        <f t="shared" si="407"/>
        <v>6</v>
      </c>
      <c r="F465" s="66">
        <f t="shared" si="407"/>
        <v>43</v>
      </c>
      <c r="G465" s="62">
        <f t="shared" si="407"/>
        <v>5</v>
      </c>
      <c r="H465" s="63">
        <f t="shared" si="407"/>
        <v>6</v>
      </c>
      <c r="I465" s="64">
        <f t="shared" si="407"/>
        <v>5</v>
      </c>
      <c r="J465" s="65">
        <f t="shared" si="407"/>
        <v>3</v>
      </c>
      <c r="K465" s="66">
        <f t="shared" si="407"/>
        <v>19</v>
      </c>
      <c r="L465" s="102">
        <f t="shared" si="398"/>
        <v>62</v>
      </c>
      <c r="N465" s="13" t="s">
        <v>7</v>
      </c>
      <c r="O465" s="25">
        <f t="shared" ref="O465:X465" si="408">SUM(O460:O464)</f>
        <v>193</v>
      </c>
      <c r="P465" s="31">
        <f t="shared" si="408"/>
        <v>251</v>
      </c>
      <c r="Q465" s="26">
        <f t="shared" si="408"/>
        <v>227</v>
      </c>
      <c r="R465" s="67">
        <f t="shared" si="408"/>
        <v>230</v>
      </c>
      <c r="S465" s="68">
        <f t="shared" si="408"/>
        <v>901</v>
      </c>
      <c r="T465" s="25">
        <f t="shared" si="408"/>
        <v>65</v>
      </c>
      <c r="U465" s="31">
        <f t="shared" si="408"/>
        <v>97</v>
      </c>
      <c r="V465" s="26">
        <f t="shared" si="408"/>
        <v>126</v>
      </c>
      <c r="W465" s="67">
        <f t="shared" si="408"/>
        <v>107</v>
      </c>
      <c r="X465" s="68">
        <f t="shared" si="408"/>
        <v>395</v>
      </c>
      <c r="Y465" s="102">
        <f t="shared" ref="Y465:Y492" si="409">S465+X465</f>
        <v>1296</v>
      </c>
    </row>
    <row r="466" spans="1:27" x14ac:dyDescent="0.15">
      <c r="A466" s="33" t="s">
        <v>777</v>
      </c>
      <c r="B466" s="41"/>
      <c r="C466" s="42">
        <v>1</v>
      </c>
      <c r="D466" s="43"/>
      <c r="E466" s="44"/>
      <c r="F466" s="70">
        <f t="shared" ref="F466:F490" si="410">SUM(B466:E466)</f>
        <v>1</v>
      </c>
      <c r="G466" s="41"/>
      <c r="H466" s="42"/>
      <c r="I466" s="43"/>
      <c r="J466" s="44"/>
      <c r="K466" s="70">
        <f t="shared" ref="K466:K490" si="411">SUM(G466:J466)</f>
        <v>0</v>
      </c>
      <c r="L466" s="103">
        <f t="shared" si="398"/>
        <v>1</v>
      </c>
      <c r="M466" s="56">
        <v>45978</v>
      </c>
      <c r="N466" s="33" t="s">
        <v>713</v>
      </c>
      <c r="O466" s="16"/>
      <c r="P466" s="29">
        <v>16</v>
      </c>
      <c r="Q466" s="17">
        <v>5</v>
      </c>
      <c r="R466" s="32">
        <v>28</v>
      </c>
      <c r="S466" s="9">
        <f t="shared" ref="S466:S468" si="412">SUM(O466:R466)</f>
        <v>49</v>
      </c>
      <c r="T466" s="206"/>
      <c r="U466" s="207"/>
      <c r="V466" s="208"/>
      <c r="W466" s="209"/>
      <c r="X466" s="9">
        <f t="shared" ref="X466:X468" si="413">SUM(T466:W466)</f>
        <v>0</v>
      </c>
      <c r="Y466" s="103">
        <f t="shared" si="409"/>
        <v>49</v>
      </c>
      <c r="Z466" s="56">
        <v>45967</v>
      </c>
      <c r="AA466" s="35"/>
    </row>
    <row r="467" spans="1:27" x14ac:dyDescent="0.15">
      <c r="A467" s="47" t="s">
        <v>779</v>
      </c>
      <c r="B467" s="16"/>
      <c r="C467" s="29">
        <v>1</v>
      </c>
      <c r="D467" s="17"/>
      <c r="E467" s="20"/>
      <c r="F467" s="45">
        <f t="shared" si="410"/>
        <v>1</v>
      </c>
      <c r="G467" s="16"/>
      <c r="H467" s="29"/>
      <c r="I467" s="17">
        <v>1</v>
      </c>
      <c r="J467" s="20"/>
      <c r="K467" s="45">
        <f t="shared" si="411"/>
        <v>1</v>
      </c>
      <c r="L467" s="104">
        <f t="shared" si="398"/>
        <v>2</v>
      </c>
      <c r="M467" s="58">
        <v>45978</v>
      </c>
      <c r="N467" s="33" t="s">
        <v>742</v>
      </c>
      <c r="O467" s="16"/>
      <c r="P467" s="29">
        <v>12</v>
      </c>
      <c r="Q467" s="17">
        <v>7</v>
      </c>
      <c r="R467" s="32"/>
      <c r="S467" s="9">
        <f t="shared" si="412"/>
        <v>19</v>
      </c>
      <c r="T467" s="206"/>
      <c r="U467" s="207"/>
      <c r="V467" s="208"/>
      <c r="W467" s="209"/>
      <c r="X467" s="9">
        <f t="shared" si="413"/>
        <v>0</v>
      </c>
      <c r="Y467" s="104">
        <f t="shared" si="409"/>
        <v>19</v>
      </c>
      <c r="Z467" s="56">
        <v>45974</v>
      </c>
    </row>
    <row r="468" spans="1:27" x14ac:dyDescent="0.15">
      <c r="A468" s="47" t="s">
        <v>51</v>
      </c>
      <c r="B468" s="16"/>
      <c r="C468" s="29"/>
      <c r="D468" s="17">
        <v>1</v>
      </c>
      <c r="E468" s="20"/>
      <c r="F468" s="45">
        <f t="shared" si="410"/>
        <v>1</v>
      </c>
      <c r="G468" s="16"/>
      <c r="H468" s="29"/>
      <c r="I468" s="17"/>
      <c r="J468" s="20"/>
      <c r="K468" s="45">
        <f t="shared" si="411"/>
        <v>0</v>
      </c>
      <c r="L468" s="104">
        <f t="shared" si="398"/>
        <v>1</v>
      </c>
      <c r="M468" s="56">
        <v>45979</v>
      </c>
      <c r="N468" s="11" t="s">
        <v>756</v>
      </c>
      <c r="O468" s="16">
        <v>2</v>
      </c>
      <c r="P468" s="29"/>
      <c r="Q468" s="17"/>
      <c r="R468" s="32"/>
      <c r="S468" s="9">
        <f t="shared" si="412"/>
        <v>2</v>
      </c>
      <c r="T468" s="16"/>
      <c r="U468" s="29">
        <v>5</v>
      </c>
      <c r="V468" s="17"/>
      <c r="W468" s="32"/>
      <c r="X468" s="9">
        <f t="shared" si="413"/>
        <v>5</v>
      </c>
      <c r="Y468" s="104">
        <f t="shared" si="409"/>
        <v>7</v>
      </c>
      <c r="Z468" s="56">
        <v>45978</v>
      </c>
    </row>
    <row r="469" spans="1:27" x14ac:dyDescent="0.15">
      <c r="A469" s="11" t="s">
        <v>811</v>
      </c>
      <c r="B469" s="16">
        <v>4</v>
      </c>
      <c r="C469" s="29">
        <v>5</v>
      </c>
      <c r="D469" s="17"/>
      <c r="E469" s="20"/>
      <c r="F469" s="45">
        <f t="shared" si="410"/>
        <v>9</v>
      </c>
      <c r="G469" s="16"/>
      <c r="H469" s="29"/>
      <c r="I469" s="17"/>
      <c r="J469" s="20"/>
      <c r="K469" s="45">
        <f t="shared" si="411"/>
        <v>0</v>
      </c>
      <c r="L469" s="104">
        <f t="shared" si="398"/>
        <v>9</v>
      </c>
      <c r="M469" s="56">
        <v>45988</v>
      </c>
      <c r="N469" s="33" t="s">
        <v>761</v>
      </c>
      <c r="O469" s="16">
        <v>10</v>
      </c>
      <c r="P469" s="29"/>
      <c r="Q469" s="17">
        <v>5</v>
      </c>
      <c r="R469" s="32"/>
      <c r="S469" s="9">
        <f t="shared" ref="S469:S471" si="414">SUM(O469:R469)</f>
        <v>15</v>
      </c>
      <c r="T469" s="206"/>
      <c r="U469" s="207"/>
      <c r="V469" s="208"/>
      <c r="W469" s="209"/>
      <c r="X469" s="9">
        <f t="shared" ref="X469:X471" si="415">SUM(T469:W469)</f>
        <v>0</v>
      </c>
      <c r="Y469" s="104">
        <f t="shared" si="409"/>
        <v>15</v>
      </c>
      <c r="Z469" s="56">
        <v>45974</v>
      </c>
      <c r="AA469" s="35"/>
    </row>
    <row r="470" spans="1:27" x14ac:dyDescent="0.15">
      <c r="A470" s="47" t="s">
        <v>784</v>
      </c>
      <c r="B470" s="16">
        <v>1</v>
      </c>
      <c r="C470" s="29"/>
      <c r="D470" s="17"/>
      <c r="E470" s="20"/>
      <c r="F470" s="45">
        <f t="shared" si="410"/>
        <v>1</v>
      </c>
      <c r="G470" s="16"/>
      <c r="H470" s="29"/>
      <c r="I470" s="17"/>
      <c r="J470" s="20"/>
      <c r="K470" s="45">
        <f t="shared" si="411"/>
        <v>0</v>
      </c>
      <c r="L470" s="104">
        <f t="shared" si="398"/>
        <v>1</v>
      </c>
      <c r="M470" s="58">
        <v>45986</v>
      </c>
      <c r="N470" s="33" t="s">
        <v>772</v>
      </c>
      <c r="O470" s="16"/>
      <c r="P470" s="29"/>
      <c r="Q470" s="17"/>
      <c r="R470" s="32">
        <v>6</v>
      </c>
      <c r="S470" s="9">
        <f t="shared" si="414"/>
        <v>6</v>
      </c>
      <c r="T470" s="206"/>
      <c r="U470" s="207"/>
      <c r="V470" s="208"/>
      <c r="W470" s="209"/>
      <c r="X470" s="9">
        <f t="shared" si="415"/>
        <v>0</v>
      </c>
      <c r="Y470" s="104">
        <f t="shared" si="409"/>
        <v>6</v>
      </c>
      <c r="Z470" s="56">
        <v>45988</v>
      </c>
      <c r="AA470" s="35"/>
    </row>
    <row r="471" spans="1:27" x14ac:dyDescent="0.15">
      <c r="A471" s="47" t="s">
        <v>51</v>
      </c>
      <c r="B471" s="16">
        <v>1</v>
      </c>
      <c r="C471" s="29"/>
      <c r="D471" s="17">
        <v>1</v>
      </c>
      <c r="E471" s="20">
        <v>1</v>
      </c>
      <c r="F471" s="45">
        <f t="shared" si="410"/>
        <v>3</v>
      </c>
      <c r="G471" s="16"/>
      <c r="H471" s="29"/>
      <c r="I471" s="17"/>
      <c r="J471" s="20"/>
      <c r="K471" s="45">
        <f t="shared" si="411"/>
        <v>0</v>
      </c>
      <c r="L471" s="104">
        <f t="shared" si="398"/>
        <v>3</v>
      </c>
      <c r="M471" s="58">
        <v>45986</v>
      </c>
      <c r="N471" s="33" t="s">
        <v>775</v>
      </c>
      <c r="O471" s="16"/>
      <c r="P471" s="29"/>
      <c r="Q471" s="17">
        <v>5</v>
      </c>
      <c r="R471" s="32"/>
      <c r="S471" s="9">
        <f t="shared" si="414"/>
        <v>5</v>
      </c>
      <c r="T471" s="16"/>
      <c r="U471" s="29"/>
      <c r="V471" s="17"/>
      <c r="W471" s="32"/>
      <c r="X471" s="9">
        <f t="shared" si="415"/>
        <v>0</v>
      </c>
      <c r="Y471" s="104">
        <f t="shared" si="409"/>
        <v>5</v>
      </c>
      <c r="Z471" s="56">
        <v>45974</v>
      </c>
      <c r="AA471" s="35"/>
    </row>
    <row r="472" spans="1:27" x14ac:dyDescent="0.15">
      <c r="A472" s="47" t="s">
        <v>51</v>
      </c>
      <c r="B472" s="16"/>
      <c r="C472" s="29">
        <v>1</v>
      </c>
      <c r="D472" s="17"/>
      <c r="E472" s="20"/>
      <c r="F472" s="45">
        <f t="shared" si="410"/>
        <v>1</v>
      </c>
      <c r="G472" s="16"/>
      <c r="H472" s="29"/>
      <c r="I472" s="17">
        <v>2</v>
      </c>
      <c r="J472" s="20"/>
      <c r="K472" s="45">
        <f t="shared" si="411"/>
        <v>2</v>
      </c>
      <c r="L472" s="104">
        <f t="shared" si="398"/>
        <v>3</v>
      </c>
      <c r="M472" s="56">
        <v>45987</v>
      </c>
      <c r="N472" s="33" t="s">
        <v>778</v>
      </c>
      <c r="O472" s="16"/>
      <c r="P472" s="29">
        <v>5</v>
      </c>
      <c r="Q472" s="17"/>
      <c r="R472" s="32"/>
      <c r="S472" s="9">
        <f>SUM(O472:R472)</f>
        <v>5</v>
      </c>
      <c r="T472" s="206"/>
      <c r="U472" s="207"/>
      <c r="V472" s="208"/>
      <c r="W472" s="209"/>
      <c r="X472" s="9">
        <f>SUM(T472:W472)</f>
        <v>0</v>
      </c>
      <c r="Y472" s="104">
        <f t="shared" si="409"/>
        <v>5</v>
      </c>
      <c r="Z472" s="56">
        <v>45995</v>
      </c>
    </row>
    <row r="473" spans="1:27" x14ac:dyDescent="0.15">
      <c r="A473" s="47" t="s">
        <v>51</v>
      </c>
      <c r="B473" s="16"/>
      <c r="C473" s="29">
        <v>1</v>
      </c>
      <c r="D473" s="17">
        <v>1</v>
      </c>
      <c r="E473" s="20"/>
      <c r="F473" s="45">
        <f t="shared" si="410"/>
        <v>2</v>
      </c>
      <c r="G473" s="16"/>
      <c r="H473" s="29"/>
      <c r="I473" s="17"/>
      <c r="J473" s="20"/>
      <c r="K473" s="45">
        <f t="shared" si="411"/>
        <v>0</v>
      </c>
      <c r="L473" s="104">
        <f t="shared" si="398"/>
        <v>2</v>
      </c>
      <c r="M473" s="56">
        <v>45988</v>
      </c>
      <c r="N473" s="33" t="s">
        <v>39</v>
      </c>
      <c r="O473" s="16">
        <v>5</v>
      </c>
      <c r="P473" s="29">
        <v>5</v>
      </c>
      <c r="Q473" s="17"/>
      <c r="R473" s="32"/>
      <c r="S473" s="9">
        <f t="shared" ref="S473:S477" si="416">SUM(O473:R473)</f>
        <v>10</v>
      </c>
      <c r="T473" s="16"/>
      <c r="U473" s="29"/>
      <c r="V473" s="17"/>
      <c r="W473" s="32"/>
      <c r="X473" s="9">
        <f t="shared" ref="X473:X477" si="417">SUM(T473:W473)</f>
        <v>0</v>
      </c>
      <c r="Y473" s="104">
        <f t="shared" si="409"/>
        <v>10</v>
      </c>
      <c r="Z473" s="56">
        <v>45987</v>
      </c>
      <c r="AA473" s="35"/>
    </row>
    <row r="474" spans="1:27" x14ac:dyDescent="0.15">
      <c r="A474" s="33" t="s">
        <v>794</v>
      </c>
      <c r="B474" s="16"/>
      <c r="C474" s="29"/>
      <c r="D474" s="17"/>
      <c r="E474" s="20"/>
      <c r="F474" s="45">
        <f t="shared" si="410"/>
        <v>0</v>
      </c>
      <c r="G474" s="16"/>
      <c r="H474" s="29"/>
      <c r="I474" s="17">
        <v>1</v>
      </c>
      <c r="J474" s="20"/>
      <c r="K474" s="45">
        <f t="shared" si="411"/>
        <v>1</v>
      </c>
      <c r="L474" s="104">
        <f t="shared" si="398"/>
        <v>1</v>
      </c>
      <c r="M474" s="56">
        <v>45992</v>
      </c>
      <c r="N474" s="11" t="s">
        <v>800</v>
      </c>
      <c r="O474" s="16">
        <v>5</v>
      </c>
      <c r="P474" s="29">
        <v>10</v>
      </c>
      <c r="Q474" s="17"/>
      <c r="R474" s="32">
        <v>10</v>
      </c>
      <c r="S474" s="9">
        <f t="shared" si="416"/>
        <v>25</v>
      </c>
      <c r="T474" s="206"/>
      <c r="U474" s="207"/>
      <c r="V474" s="208"/>
      <c r="W474" s="209"/>
      <c r="X474" s="9">
        <f t="shared" si="417"/>
        <v>0</v>
      </c>
      <c r="Y474" s="104">
        <f t="shared" si="409"/>
        <v>25</v>
      </c>
      <c r="Z474" s="56">
        <v>46002</v>
      </c>
    </row>
    <row r="475" spans="1:27" x14ac:dyDescent="0.15">
      <c r="A475" s="47" t="s">
        <v>51</v>
      </c>
      <c r="B475" s="16"/>
      <c r="C475" s="29">
        <f>2+1</f>
        <v>3</v>
      </c>
      <c r="D475" s="17">
        <v>1</v>
      </c>
      <c r="E475" s="20"/>
      <c r="F475" s="45">
        <f t="shared" si="410"/>
        <v>4</v>
      </c>
      <c r="G475" s="16"/>
      <c r="H475" s="29"/>
      <c r="I475" s="17"/>
      <c r="J475" s="20"/>
      <c r="K475" s="45">
        <f t="shared" si="411"/>
        <v>0</v>
      </c>
      <c r="L475" s="104">
        <f t="shared" si="398"/>
        <v>4</v>
      </c>
      <c r="M475" s="58">
        <v>45989</v>
      </c>
      <c r="N475" s="33" t="s">
        <v>793</v>
      </c>
      <c r="O475" s="16">
        <v>5</v>
      </c>
      <c r="P475" s="29">
        <v>20</v>
      </c>
      <c r="Q475" s="17">
        <v>15</v>
      </c>
      <c r="R475" s="32">
        <v>10</v>
      </c>
      <c r="S475" s="9">
        <f t="shared" si="416"/>
        <v>50</v>
      </c>
      <c r="T475" s="16">
        <v>5</v>
      </c>
      <c r="U475" s="29">
        <v>5</v>
      </c>
      <c r="V475" s="17">
        <v>10</v>
      </c>
      <c r="W475" s="32">
        <v>10</v>
      </c>
      <c r="X475" s="9">
        <f t="shared" si="417"/>
        <v>30</v>
      </c>
      <c r="Y475" s="104">
        <f t="shared" si="409"/>
        <v>80</v>
      </c>
      <c r="Z475" s="56">
        <v>46000</v>
      </c>
    </row>
    <row r="476" spans="1:27" x14ac:dyDescent="0.15">
      <c r="A476" s="47" t="s">
        <v>796</v>
      </c>
      <c r="B476" s="16"/>
      <c r="C476" s="29">
        <v>-5</v>
      </c>
      <c r="D476" s="17"/>
      <c r="E476" s="20"/>
      <c r="F476" s="45">
        <f t="shared" si="410"/>
        <v>-5</v>
      </c>
      <c r="G476" s="16"/>
      <c r="H476" s="29"/>
      <c r="I476" s="17">
        <v>-3</v>
      </c>
      <c r="J476" s="20"/>
      <c r="K476" s="45">
        <f t="shared" si="411"/>
        <v>-3</v>
      </c>
      <c r="L476" s="104">
        <f t="shared" si="398"/>
        <v>-8</v>
      </c>
      <c r="M476" s="56">
        <v>45990</v>
      </c>
      <c r="N476" s="33" t="s">
        <v>797</v>
      </c>
      <c r="O476" s="16"/>
      <c r="P476" s="29">
        <v>5</v>
      </c>
      <c r="Q476" s="17"/>
      <c r="R476" s="32"/>
      <c r="S476" s="9">
        <f t="shared" si="416"/>
        <v>5</v>
      </c>
      <c r="T476" s="16"/>
      <c r="U476" s="29"/>
      <c r="V476" s="17">
        <v>3</v>
      </c>
      <c r="W476" s="32"/>
      <c r="X476" s="9">
        <f t="shared" si="417"/>
        <v>3</v>
      </c>
      <c r="Y476" s="104">
        <f t="shared" si="409"/>
        <v>8</v>
      </c>
      <c r="Z476" s="56">
        <v>45990</v>
      </c>
      <c r="AA476" s="35"/>
    </row>
    <row r="477" spans="1:27" x14ac:dyDescent="0.15">
      <c r="A477" s="47" t="s">
        <v>51</v>
      </c>
      <c r="B477" s="16"/>
      <c r="C477" s="29">
        <v>1</v>
      </c>
      <c r="D477" s="17"/>
      <c r="E477" s="20">
        <v>2</v>
      </c>
      <c r="F477" s="45">
        <f t="shared" si="410"/>
        <v>3</v>
      </c>
      <c r="G477" s="16"/>
      <c r="H477" s="29"/>
      <c r="I477" s="17"/>
      <c r="J477" s="20"/>
      <c r="K477" s="45">
        <f t="shared" si="411"/>
        <v>0</v>
      </c>
      <c r="L477" s="104">
        <f t="shared" si="398"/>
        <v>3</v>
      </c>
      <c r="M477" s="58">
        <v>45990</v>
      </c>
      <c r="N477" s="11" t="s">
        <v>801</v>
      </c>
      <c r="O477" s="16"/>
      <c r="P477" s="29">
        <v>10</v>
      </c>
      <c r="Q477" s="17">
        <v>20</v>
      </c>
      <c r="R477" s="32"/>
      <c r="S477" s="9">
        <f t="shared" si="416"/>
        <v>30</v>
      </c>
      <c r="T477" s="206"/>
      <c r="U477" s="207"/>
      <c r="V477" s="208"/>
      <c r="W477" s="209"/>
      <c r="X477" s="9">
        <f t="shared" si="417"/>
        <v>0</v>
      </c>
      <c r="Y477" s="104">
        <f t="shared" si="409"/>
        <v>30</v>
      </c>
      <c r="Z477" s="56">
        <v>46008</v>
      </c>
    </row>
    <row r="478" spans="1:27" x14ac:dyDescent="0.15">
      <c r="A478" s="47" t="s">
        <v>51</v>
      </c>
      <c r="B478" s="16">
        <v>1</v>
      </c>
      <c r="C478" s="29">
        <v>2</v>
      </c>
      <c r="D478" s="17">
        <v>1</v>
      </c>
      <c r="E478" s="20"/>
      <c r="F478" s="45">
        <f t="shared" si="410"/>
        <v>4</v>
      </c>
      <c r="G478" s="16"/>
      <c r="H478" s="29"/>
      <c r="I478" s="17"/>
      <c r="J478" s="20"/>
      <c r="K478" s="45">
        <f t="shared" si="411"/>
        <v>0</v>
      </c>
      <c r="L478" s="104">
        <f t="shared" si="398"/>
        <v>4</v>
      </c>
      <c r="M478" s="58">
        <v>45992</v>
      </c>
      <c r="N478" s="33" t="s">
        <v>805</v>
      </c>
      <c r="O478" s="16"/>
      <c r="P478" s="29">
        <v>3</v>
      </c>
      <c r="Q478" s="17"/>
      <c r="R478" s="32">
        <v>3</v>
      </c>
      <c r="S478" s="9">
        <f>SUM(O478:R478)</f>
        <v>6</v>
      </c>
      <c r="T478" s="16"/>
      <c r="U478" s="29"/>
      <c r="V478" s="17"/>
      <c r="W478" s="32">
        <v>3</v>
      </c>
      <c r="X478" s="9">
        <f>SUM(T478:W478)</f>
        <v>3</v>
      </c>
      <c r="Y478" s="104">
        <f t="shared" si="409"/>
        <v>9</v>
      </c>
      <c r="Z478" s="56">
        <v>45993</v>
      </c>
      <c r="AA478" s="292"/>
    </row>
    <row r="479" spans="1:27" x14ac:dyDescent="0.15">
      <c r="A479" s="254" t="s">
        <v>804</v>
      </c>
      <c r="B479" s="255"/>
      <c r="C479" s="256">
        <v>-3</v>
      </c>
      <c r="D479" s="257"/>
      <c r="E479" s="258">
        <v>-3</v>
      </c>
      <c r="F479" s="259">
        <f t="shared" si="410"/>
        <v>-6</v>
      </c>
      <c r="G479" s="255"/>
      <c r="H479" s="256"/>
      <c r="I479" s="257"/>
      <c r="J479" s="258">
        <v>-3</v>
      </c>
      <c r="K479" s="259">
        <f t="shared" si="411"/>
        <v>-3</v>
      </c>
      <c r="L479" s="260">
        <f t="shared" si="398"/>
        <v>-9</v>
      </c>
      <c r="M479" s="261">
        <v>45993</v>
      </c>
      <c r="N479" s="11" t="s">
        <v>806</v>
      </c>
      <c r="O479" s="16">
        <v>4</v>
      </c>
      <c r="P479" s="29">
        <v>5</v>
      </c>
      <c r="Q479" s="17">
        <v>3</v>
      </c>
      <c r="R479" s="32">
        <v>6</v>
      </c>
      <c r="S479" s="9">
        <f>SUM(O479:R479)</f>
        <v>18</v>
      </c>
      <c r="T479" s="206"/>
      <c r="U479" s="207"/>
      <c r="V479" s="208"/>
      <c r="W479" s="209"/>
      <c r="X479" s="9">
        <f>SUM(T479:W479)</f>
        <v>0</v>
      </c>
      <c r="Y479" s="104">
        <f t="shared" si="409"/>
        <v>18</v>
      </c>
      <c r="Z479" s="56">
        <v>45996</v>
      </c>
    </row>
    <row r="480" spans="1:27" x14ac:dyDescent="0.15">
      <c r="A480" s="33" t="s">
        <v>51</v>
      </c>
      <c r="B480" s="16"/>
      <c r="C480" s="29"/>
      <c r="D480" s="17">
        <v>1</v>
      </c>
      <c r="E480" s="20"/>
      <c r="F480" s="45">
        <f t="shared" si="410"/>
        <v>1</v>
      </c>
      <c r="G480" s="16"/>
      <c r="H480" s="29"/>
      <c r="I480" s="17"/>
      <c r="J480" s="20"/>
      <c r="K480" s="45">
        <f t="shared" si="411"/>
        <v>0</v>
      </c>
      <c r="L480" s="104">
        <f t="shared" si="398"/>
        <v>1</v>
      </c>
      <c r="M480" s="58">
        <v>45993</v>
      </c>
      <c r="N480" s="33" t="s">
        <v>821</v>
      </c>
      <c r="O480" s="16">
        <v>6</v>
      </c>
      <c r="P480" s="29">
        <v>8</v>
      </c>
      <c r="Q480" s="17">
        <v>5</v>
      </c>
      <c r="R480" s="32">
        <v>25</v>
      </c>
      <c r="S480" s="9">
        <f t="shared" ref="S480:S482" si="418">SUM(O480:R480)</f>
        <v>44</v>
      </c>
      <c r="T480" s="16"/>
      <c r="U480" s="29">
        <v>10</v>
      </c>
      <c r="V480" s="17"/>
      <c r="W480" s="32">
        <v>5</v>
      </c>
      <c r="X480" s="9">
        <f t="shared" ref="X480:X482" si="419">SUM(T480:W480)</f>
        <v>15</v>
      </c>
      <c r="Y480" s="104">
        <f t="shared" si="409"/>
        <v>59</v>
      </c>
      <c r="Z480" s="56">
        <v>46000</v>
      </c>
    </row>
    <row r="481" spans="1:26" x14ac:dyDescent="0.15">
      <c r="A481" s="33" t="s">
        <v>823</v>
      </c>
      <c r="B481" s="16">
        <v>1</v>
      </c>
      <c r="C481" s="29"/>
      <c r="D481" s="17">
        <v>1</v>
      </c>
      <c r="E481" s="20"/>
      <c r="F481" s="45">
        <f t="shared" si="410"/>
        <v>2</v>
      </c>
      <c r="G481" s="16">
        <v>1</v>
      </c>
      <c r="H481" s="29"/>
      <c r="I481" s="17"/>
      <c r="J481" s="20"/>
      <c r="K481" s="45">
        <f t="shared" si="411"/>
        <v>1</v>
      </c>
      <c r="L481" s="104">
        <f t="shared" si="398"/>
        <v>3</v>
      </c>
      <c r="M481" s="56">
        <v>45996</v>
      </c>
      <c r="N481" s="11" t="s">
        <v>850</v>
      </c>
      <c r="O481" s="16"/>
      <c r="P481" s="29"/>
      <c r="Q481" s="17"/>
      <c r="R481" s="32">
        <v>2</v>
      </c>
      <c r="S481" s="9">
        <f t="shared" si="418"/>
        <v>2</v>
      </c>
      <c r="T481" s="206"/>
      <c r="U481" s="207"/>
      <c r="V481" s="208"/>
      <c r="W481" s="209"/>
      <c r="X481" s="9">
        <f t="shared" si="419"/>
        <v>0</v>
      </c>
      <c r="Y481" s="104">
        <f t="shared" si="409"/>
        <v>2</v>
      </c>
      <c r="Z481" s="56">
        <v>46006</v>
      </c>
    </row>
    <row r="482" spans="1:26" x14ac:dyDescent="0.15">
      <c r="A482" s="33" t="s">
        <v>825</v>
      </c>
      <c r="B482" s="16"/>
      <c r="C482" s="29"/>
      <c r="D482" s="17"/>
      <c r="E482" s="20">
        <v>1</v>
      </c>
      <c r="F482" s="45">
        <f t="shared" si="410"/>
        <v>1</v>
      </c>
      <c r="G482" s="16"/>
      <c r="H482" s="29"/>
      <c r="I482" s="17"/>
      <c r="J482" s="20"/>
      <c r="K482" s="45">
        <f t="shared" si="411"/>
        <v>0</v>
      </c>
      <c r="L482" s="104">
        <f t="shared" si="398"/>
        <v>1</v>
      </c>
      <c r="M482" s="56">
        <v>45999</v>
      </c>
      <c r="N482" s="11" t="s">
        <v>854</v>
      </c>
      <c r="O482" s="16">
        <v>30</v>
      </c>
      <c r="P482" s="29">
        <v>42</v>
      </c>
      <c r="Q482" s="17">
        <v>25</v>
      </c>
      <c r="R482" s="32">
        <v>25</v>
      </c>
      <c r="S482" s="9">
        <f t="shared" si="418"/>
        <v>122</v>
      </c>
      <c r="T482" s="16">
        <f>30+2</f>
        <v>32</v>
      </c>
      <c r="U482" s="29">
        <v>42</v>
      </c>
      <c r="V482" s="17">
        <v>25</v>
      </c>
      <c r="W482" s="32">
        <v>25</v>
      </c>
      <c r="X482" s="9">
        <f t="shared" si="419"/>
        <v>124</v>
      </c>
      <c r="Y482" s="104">
        <f t="shared" si="409"/>
        <v>246</v>
      </c>
      <c r="Z482" s="56">
        <v>46009</v>
      </c>
    </row>
    <row r="483" spans="1:26" x14ac:dyDescent="0.15">
      <c r="A483" s="47" t="s">
        <v>827</v>
      </c>
      <c r="B483" s="16">
        <v>-2</v>
      </c>
      <c r="C483" s="29">
        <v>-1</v>
      </c>
      <c r="D483" s="17"/>
      <c r="E483" s="20"/>
      <c r="F483" s="45">
        <f t="shared" si="410"/>
        <v>-3</v>
      </c>
      <c r="G483" s="16">
        <v>-1</v>
      </c>
      <c r="H483" s="29"/>
      <c r="I483" s="17">
        <v>-1</v>
      </c>
      <c r="J483" s="20"/>
      <c r="K483" s="45">
        <f t="shared" si="411"/>
        <v>-2</v>
      </c>
      <c r="L483" s="104">
        <f t="shared" si="398"/>
        <v>-5</v>
      </c>
      <c r="M483" s="58">
        <v>45993</v>
      </c>
      <c r="N483" s="11"/>
      <c r="O483" s="16"/>
      <c r="P483" s="29"/>
      <c r="Q483" s="17"/>
      <c r="R483" s="32"/>
      <c r="S483" s="9">
        <f t="shared" ref="S483:S486" si="420">SUM(O483:R483)</f>
        <v>0</v>
      </c>
      <c r="T483" s="16"/>
      <c r="U483" s="29"/>
      <c r="V483" s="17"/>
      <c r="W483" s="32"/>
      <c r="X483" s="9">
        <f t="shared" ref="X483:X486" si="421">SUM(T483:W483)</f>
        <v>0</v>
      </c>
      <c r="Y483" s="104">
        <f t="shared" ref="Y483:Y486" si="422">S483+X483</f>
        <v>0</v>
      </c>
      <c r="Z483" s="56"/>
    </row>
    <row r="484" spans="1:26" x14ac:dyDescent="0.15">
      <c r="A484" s="33" t="s">
        <v>51</v>
      </c>
      <c r="B484" s="16"/>
      <c r="C484" s="29"/>
      <c r="D484" s="17"/>
      <c r="E484" s="20">
        <v>1</v>
      </c>
      <c r="F484" s="45">
        <f t="shared" si="410"/>
        <v>1</v>
      </c>
      <c r="G484" s="16"/>
      <c r="H484" s="29"/>
      <c r="I484" s="17"/>
      <c r="J484" s="20"/>
      <c r="K484" s="45">
        <f t="shared" si="411"/>
        <v>0</v>
      </c>
      <c r="L484" s="104">
        <f t="shared" si="398"/>
        <v>1</v>
      </c>
      <c r="M484" s="58">
        <v>45997</v>
      </c>
      <c r="N484" s="137"/>
      <c r="O484" s="16"/>
      <c r="P484" s="29"/>
      <c r="Q484" s="17"/>
      <c r="R484" s="32"/>
      <c r="S484" s="9">
        <f t="shared" si="420"/>
        <v>0</v>
      </c>
      <c r="T484" s="16"/>
      <c r="U484" s="29"/>
      <c r="V484" s="17"/>
      <c r="W484" s="32"/>
      <c r="X484" s="9">
        <f t="shared" si="421"/>
        <v>0</v>
      </c>
      <c r="Y484" s="104">
        <f t="shared" si="422"/>
        <v>0</v>
      </c>
    </row>
    <row r="485" spans="1:26" x14ac:dyDescent="0.15">
      <c r="A485" s="33" t="s">
        <v>833</v>
      </c>
      <c r="B485" s="16">
        <v>1</v>
      </c>
      <c r="C485" s="29">
        <v>1</v>
      </c>
      <c r="D485" s="17"/>
      <c r="E485" s="20"/>
      <c r="F485" s="45">
        <f t="shared" si="410"/>
        <v>2</v>
      </c>
      <c r="G485" s="16"/>
      <c r="H485" s="29"/>
      <c r="I485" s="17"/>
      <c r="J485" s="20"/>
      <c r="K485" s="45">
        <f t="shared" si="411"/>
        <v>0</v>
      </c>
      <c r="L485" s="104">
        <f t="shared" si="398"/>
        <v>2</v>
      </c>
      <c r="M485" s="56">
        <v>46001</v>
      </c>
      <c r="N485" s="72"/>
      <c r="O485" s="16"/>
      <c r="P485" s="29"/>
      <c r="Q485" s="17"/>
      <c r="R485" s="32"/>
      <c r="S485" s="9">
        <f t="shared" si="420"/>
        <v>0</v>
      </c>
      <c r="T485" s="16"/>
      <c r="U485" s="29"/>
      <c r="V485" s="17"/>
      <c r="W485" s="32"/>
      <c r="X485" s="9">
        <f t="shared" si="421"/>
        <v>0</v>
      </c>
      <c r="Y485" s="104">
        <f t="shared" si="422"/>
        <v>0</v>
      </c>
    </row>
    <row r="486" spans="1:26" x14ac:dyDescent="0.15">
      <c r="A486" s="33" t="s">
        <v>844</v>
      </c>
      <c r="B486" s="16"/>
      <c r="C486" s="29"/>
      <c r="D486" s="17"/>
      <c r="E486" s="20"/>
      <c r="F486" s="45">
        <f t="shared" si="410"/>
        <v>0</v>
      </c>
      <c r="G486" s="16"/>
      <c r="H486" s="29">
        <v>1</v>
      </c>
      <c r="I486" s="17"/>
      <c r="J486" s="20"/>
      <c r="K486" s="45">
        <f t="shared" si="411"/>
        <v>1</v>
      </c>
      <c r="L486" s="104">
        <f t="shared" si="398"/>
        <v>1</v>
      </c>
      <c r="M486" s="56">
        <v>46002</v>
      </c>
      <c r="N486" s="72"/>
      <c r="O486" s="16"/>
      <c r="P486" s="29"/>
      <c r="Q486" s="17"/>
      <c r="R486" s="32"/>
      <c r="S486" s="9">
        <f t="shared" si="420"/>
        <v>0</v>
      </c>
      <c r="T486" s="16"/>
      <c r="U486" s="29"/>
      <c r="V486" s="17"/>
      <c r="W486" s="32"/>
      <c r="X486" s="9">
        <f t="shared" si="421"/>
        <v>0</v>
      </c>
      <c r="Y486" s="104">
        <f t="shared" si="422"/>
        <v>0</v>
      </c>
    </row>
    <row r="487" spans="1:26" x14ac:dyDescent="0.15">
      <c r="A487" s="33" t="s">
        <v>849</v>
      </c>
      <c r="B487" s="16"/>
      <c r="C487" s="29">
        <v>1</v>
      </c>
      <c r="D487" s="17"/>
      <c r="E487" s="20"/>
      <c r="F487" s="45">
        <f t="shared" si="410"/>
        <v>1</v>
      </c>
      <c r="G487" s="16"/>
      <c r="H487" s="29"/>
      <c r="I487" s="17"/>
      <c r="J487" s="20"/>
      <c r="K487" s="45">
        <f t="shared" si="411"/>
        <v>0</v>
      </c>
      <c r="L487" s="104">
        <f t="shared" si="398"/>
        <v>1</v>
      </c>
      <c r="M487" s="56">
        <v>46003</v>
      </c>
      <c r="N487" s="72"/>
      <c r="O487" s="16"/>
      <c r="P487" s="29"/>
      <c r="Q487" s="17"/>
      <c r="R487" s="32"/>
      <c r="S487" s="9">
        <f t="shared" ref="S487:S488" si="423">SUM(O487:R487)</f>
        <v>0</v>
      </c>
      <c r="T487" s="16"/>
      <c r="U487" s="29"/>
      <c r="V487" s="17"/>
      <c r="W487" s="32"/>
      <c r="X487" s="9">
        <f t="shared" ref="X487:X488" si="424">SUM(T487:W487)</f>
        <v>0</v>
      </c>
      <c r="Y487" s="104">
        <f t="shared" ref="Y487:Y488" si="425">S487+X487</f>
        <v>0</v>
      </c>
    </row>
    <row r="488" spans="1:26" x14ac:dyDescent="0.15">
      <c r="A488" s="47" t="s">
        <v>851</v>
      </c>
      <c r="B488" s="16"/>
      <c r="C488" s="29"/>
      <c r="D488" s="17"/>
      <c r="E488" s="20"/>
      <c r="F488" s="45">
        <f t="shared" si="410"/>
        <v>0</v>
      </c>
      <c r="G488" s="16"/>
      <c r="H488" s="29"/>
      <c r="I488" s="17"/>
      <c r="J488" s="20">
        <v>-1</v>
      </c>
      <c r="K488" s="45">
        <f t="shared" si="411"/>
        <v>-1</v>
      </c>
      <c r="L488" s="104">
        <f t="shared" si="398"/>
        <v>-1</v>
      </c>
      <c r="M488" s="56">
        <v>46000</v>
      </c>
      <c r="N488" s="11" t="s">
        <v>724</v>
      </c>
      <c r="O488" s="16"/>
      <c r="P488" s="29"/>
      <c r="Q488" s="17"/>
      <c r="R488" s="32"/>
      <c r="S488" s="9">
        <f t="shared" si="423"/>
        <v>0</v>
      </c>
      <c r="T488" s="16"/>
      <c r="U488" s="29"/>
      <c r="V488" s="17"/>
      <c r="W488" s="32"/>
      <c r="X488" s="9">
        <f t="shared" si="424"/>
        <v>0</v>
      </c>
      <c r="Y488" s="104">
        <f t="shared" si="425"/>
        <v>0</v>
      </c>
      <c r="Z488" s="157" t="s">
        <v>27</v>
      </c>
    </row>
    <row r="489" spans="1:26" x14ac:dyDescent="0.15">
      <c r="A489" s="33" t="s">
        <v>853</v>
      </c>
      <c r="B489" s="16"/>
      <c r="C489" s="29"/>
      <c r="D489" s="17"/>
      <c r="E489" s="20"/>
      <c r="F489" s="45">
        <f t="shared" si="410"/>
        <v>0</v>
      </c>
      <c r="G489" s="16"/>
      <c r="H489" s="29"/>
      <c r="I489" s="17">
        <v>1</v>
      </c>
      <c r="J489" s="20"/>
      <c r="K489" s="45">
        <f t="shared" si="411"/>
        <v>1</v>
      </c>
      <c r="L489" s="104">
        <f t="shared" si="398"/>
        <v>1</v>
      </c>
      <c r="M489" s="56">
        <v>46006</v>
      </c>
      <c r="N489" s="72" t="s">
        <v>648</v>
      </c>
      <c r="O489" s="166"/>
      <c r="P489" s="167"/>
      <c r="Q489" s="160"/>
      <c r="R489" s="168"/>
      <c r="S489" s="165">
        <f t="shared" ref="S489:S490" si="426">SUM(O489:R489)</f>
        <v>0</v>
      </c>
      <c r="T489" s="166"/>
      <c r="U489" s="167"/>
      <c r="V489" s="160"/>
      <c r="W489" s="168"/>
      <c r="X489" s="165">
        <f t="shared" ref="X489:X490" si="427">SUM(T489:W489)</f>
        <v>0</v>
      </c>
      <c r="Y489" s="169">
        <f t="shared" ref="Y489:Y490" si="428">S489+X489</f>
        <v>0</v>
      </c>
      <c r="Z489" s="224"/>
    </row>
    <row r="490" spans="1:26" ht="14.25" thickBot="1" x14ac:dyDescent="0.2">
      <c r="A490" s="33" t="s">
        <v>855</v>
      </c>
      <c r="B490" s="37"/>
      <c r="C490" s="38">
        <v>1</v>
      </c>
      <c r="D490" s="39">
        <v>1</v>
      </c>
      <c r="E490" s="40"/>
      <c r="F490" s="45">
        <f t="shared" si="410"/>
        <v>2</v>
      </c>
      <c r="G490" s="37"/>
      <c r="H490" s="38"/>
      <c r="I490" s="39"/>
      <c r="J490" s="40">
        <v>1</v>
      </c>
      <c r="K490" s="45">
        <f t="shared" si="411"/>
        <v>1</v>
      </c>
      <c r="L490" s="104">
        <f t="shared" si="398"/>
        <v>3</v>
      </c>
      <c r="M490" s="56">
        <v>46008</v>
      </c>
      <c r="N490" s="128" t="s">
        <v>520</v>
      </c>
      <c r="O490" s="37"/>
      <c r="P490" s="38"/>
      <c r="Q490" s="39"/>
      <c r="R490" s="129"/>
      <c r="S490" s="10">
        <f t="shared" si="426"/>
        <v>0</v>
      </c>
      <c r="T490" s="37"/>
      <c r="U490" s="38"/>
      <c r="V490" s="39"/>
      <c r="W490" s="129"/>
      <c r="X490" s="10">
        <f t="shared" si="427"/>
        <v>0</v>
      </c>
      <c r="Y490" s="101">
        <f t="shared" si="428"/>
        <v>0</v>
      </c>
      <c r="Z490" s="157" t="s">
        <v>631</v>
      </c>
    </row>
    <row r="491" spans="1:26" ht="14.25" thickBot="1" x14ac:dyDescent="0.2">
      <c r="A491" s="13" t="s">
        <v>8</v>
      </c>
      <c r="B491" s="22">
        <f>SUM(B466:B490)</f>
        <v>7</v>
      </c>
      <c r="C491" s="30">
        <f>SUM(C466:C490)</f>
        <v>9</v>
      </c>
      <c r="D491" s="23">
        <f>SUM(D466:D490)</f>
        <v>8</v>
      </c>
      <c r="E491" s="24">
        <f>SUM(E466:E490)</f>
        <v>2</v>
      </c>
      <c r="F491" s="21">
        <f>SUM(B491:E491)</f>
        <v>26</v>
      </c>
      <c r="G491" s="22">
        <f>SUM(G466:G490)</f>
        <v>0</v>
      </c>
      <c r="H491" s="30">
        <f>SUM(H466:H490)</f>
        <v>1</v>
      </c>
      <c r="I491" s="23">
        <f>SUM(I466:I490)</f>
        <v>1</v>
      </c>
      <c r="J491" s="24">
        <f>SUM(J466:J490)</f>
        <v>-3</v>
      </c>
      <c r="K491" s="21">
        <f>SUM(G491:J491)</f>
        <v>-1</v>
      </c>
      <c r="L491" s="105">
        <f t="shared" si="398"/>
        <v>25</v>
      </c>
      <c r="N491" s="49" t="s">
        <v>8</v>
      </c>
      <c r="O491" s="22">
        <f>SUM(O466:O490)</f>
        <v>67</v>
      </c>
      <c r="P491" s="30">
        <f>SUM(P466:P490)</f>
        <v>141</v>
      </c>
      <c r="Q491" s="23">
        <f>SUM(Q466:Q490)</f>
        <v>90</v>
      </c>
      <c r="R491" s="24">
        <f>SUM(R466:R490)</f>
        <v>115</v>
      </c>
      <c r="S491" s="48">
        <f t="shared" ref="S491" si="429">SUM(O491:R491)</f>
        <v>413</v>
      </c>
      <c r="T491" s="22">
        <f>SUM(T466:T490)</f>
        <v>37</v>
      </c>
      <c r="U491" s="30">
        <f>SUM(U466:U490)</f>
        <v>62</v>
      </c>
      <c r="V491" s="23">
        <f>SUM(V466:V490)</f>
        <v>38</v>
      </c>
      <c r="W491" s="24">
        <f>SUM(W466:W490)</f>
        <v>43</v>
      </c>
      <c r="X491" s="48">
        <f t="shared" ref="X491" si="430">SUM(T491:W491)</f>
        <v>180</v>
      </c>
      <c r="Y491" s="122">
        <f t="shared" si="409"/>
        <v>593</v>
      </c>
    </row>
    <row r="492" spans="1:26" ht="14.25" thickBot="1" x14ac:dyDescent="0.2">
      <c r="A492" s="14" t="s">
        <v>9</v>
      </c>
      <c r="B492" s="25">
        <f t="shared" ref="B492:K492" si="431">B465-B491</f>
        <v>5</v>
      </c>
      <c r="C492" s="31">
        <f t="shared" si="431"/>
        <v>3</v>
      </c>
      <c r="D492" s="26">
        <f t="shared" si="431"/>
        <v>5</v>
      </c>
      <c r="E492" s="27">
        <f t="shared" si="431"/>
        <v>4</v>
      </c>
      <c r="F492" s="83">
        <f t="shared" si="431"/>
        <v>17</v>
      </c>
      <c r="G492" s="25">
        <f t="shared" si="431"/>
        <v>5</v>
      </c>
      <c r="H492" s="31">
        <f t="shared" si="431"/>
        <v>5</v>
      </c>
      <c r="I492" s="26">
        <f t="shared" si="431"/>
        <v>4</v>
      </c>
      <c r="J492" s="27">
        <f t="shared" si="431"/>
        <v>6</v>
      </c>
      <c r="K492" s="83">
        <f t="shared" si="431"/>
        <v>20</v>
      </c>
      <c r="L492" s="102">
        <f t="shared" si="398"/>
        <v>37</v>
      </c>
      <c r="N492" s="13" t="s">
        <v>9</v>
      </c>
      <c r="O492" s="25">
        <f t="shared" ref="O492:X492" si="432">O465-O491</f>
        <v>126</v>
      </c>
      <c r="P492" s="31">
        <f t="shared" si="432"/>
        <v>110</v>
      </c>
      <c r="Q492" s="26">
        <f t="shared" si="432"/>
        <v>137</v>
      </c>
      <c r="R492" s="27">
        <f t="shared" si="432"/>
        <v>115</v>
      </c>
      <c r="S492" s="36">
        <f t="shared" si="432"/>
        <v>488</v>
      </c>
      <c r="T492" s="25">
        <f t="shared" si="432"/>
        <v>28</v>
      </c>
      <c r="U492" s="31">
        <f t="shared" si="432"/>
        <v>35</v>
      </c>
      <c r="V492" s="26">
        <f t="shared" si="432"/>
        <v>88</v>
      </c>
      <c r="W492" s="27">
        <f t="shared" si="432"/>
        <v>64</v>
      </c>
      <c r="X492" s="36">
        <f t="shared" si="432"/>
        <v>215</v>
      </c>
      <c r="Y492" s="102">
        <f t="shared" si="409"/>
        <v>703</v>
      </c>
    </row>
    <row r="493" spans="1:26" x14ac:dyDescent="0.15">
      <c r="N493" s="189" t="s">
        <v>313</v>
      </c>
      <c r="O493" s="71">
        <f>O492/$S$492*100</f>
        <v>25.819672131147541</v>
      </c>
      <c r="P493" s="71">
        <f t="shared" ref="P493:S493" si="433">P492/$S$492*100</f>
        <v>22.540983606557376</v>
      </c>
      <c r="Q493" s="71">
        <f t="shared" si="433"/>
        <v>28.07377049180328</v>
      </c>
      <c r="R493" s="71">
        <f t="shared" si="433"/>
        <v>23.565573770491806</v>
      </c>
      <c r="S493" s="71">
        <f t="shared" si="433"/>
        <v>100</v>
      </c>
      <c r="T493" s="71">
        <f>T492/$X$492*100</f>
        <v>13.023255813953488</v>
      </c>
      <c r="U493" s="71">
        <f t="shared" ref="U493:X493" si="434">U492/$X$492*100</f>
        <v>16.279069767441861</v>
      </c>
      <c r="V493" s="71">
        <f t="shared" si="434"/>
        <v>40.930232558139537</v>
      </c>
      <c r="W493" s="71">
        <f t="shared" si="434"/>
        <v>29.767441860465116</v>
      </c>
      <c r="X493" s="71">
        <f t="shared" si="434"/>
        <v>100</v>
      </c>
    </row>
    <row r="494" spans="1:26" x14ac:dyDescent="0.15">
      <c r="N494" s="189" t="s">
        <v>597</v>
      </c>
      <c r="O494" s="116">
        <v>16.600000000000001</v>
      </c>
      <c r="P494" s="116">
        <v>29.7</v>
      </c>
      <c r="Q494" s="116">
        <v>24.7</v>
      </c>
      <c r="R494" s="149">
        <v>29</v>
      </c>
      <c r="S494" s="149">
        <v>100</v>
      </c>
      <c r="T494" s="116">
        <v>15.5</v>
      </c>
      <c r="U494" s="116">
        <v>24.3</v>
      </c>
      <c r="V494" s="116">
        <v>32.9</v>
      </c>
      <c r="W494" s="116">
        <v>27.3</v>
      </c>
      <c r="X494" s="149">
        <v>100</v>
      </c>
    </row>
    <row r="495" spans="1:26" ht="19.5" thickBot="1" x14ac:dyDescent="0.25">
      <c r="A495" s="2" t="s">
        <v>18</v>
      </c>
      <c r="B495" s="2"/>
      <c r="C495" s="1"/>
      <c r="D495" s="1"/>
      <c r="E495" s="1"/>
      <c r="F495" s="84"/>
      <c r="G495" s="2"/>
      <c r="H495" s="1" t="s">
        <v>157</v>
      </c>
      <c r="I495" s="1"/>
      <c r="J495" s="1"/>
      <c r="K495" s="84" t="s">
        <v>13</v>
      </c>
      <c r="L495" s="84"/>
      <c r="N495" s="2" t="s">
        <v>19</v>
      </c>
      <c r="O495" s="71"/>
      <c r="P495" s="71"/>
      <c r="Q495" s="71"/>
      <c r="R495" s="71"/>
      <c r="S495" s="84"/>
      <c r="T495" s="1" t="s">
        <v>157</v>
      </c>
      <c r="U495" s="71"/>
      <c r="V495" s="71"/>
      <c r="W495" s="71"/>
      <c r="X495" s="84" t="s">
        <v>13</v>
      </c>
    </row>
    <row r="496" spans="1:26" ht="14.25" thickBot="1" x14ac:dyDescent="0.2">
      <c r="A496" s="5" t="s">
        <v>0</v>
      </c>
      <c r="B496" s="322" t="s">
        <v>32</v>
      </c>
      <c r="C496" s="323"/>
      <c r="D496" s="323"/>
      <c r="E496" s="323"/>
      <c r="F496" s="324"/>
      <c r="G496" s="325" t="s">
        <v>31</v>
      </c>
      <c r="H496" s="326"/>
      <c r="I496" s="326"/>
      <c r="J496" s="326"/>
      <c r="K496" s="327"/>
      <c r="L496" s="320" t="s">
        <v>30</v>
      </c>
      <c r="N496" s="5" t="s">
        <v>0</v>
      </c>
      <c r="O496" s="322" t="s">
        <v>200</v>
      </c>
      <c r="P496" s="323"/>
      <c r="Q496" s="323"/>
      <c r="R496" s="323"/>
      <c r="S496" s="324"/>
      <c r="T496" s="325" t="s">
        <v>201</v>
      </c>
      <c r="U496" s="326"/>
      <c r="V496" s="326"/>
      <c r="W496" s="326"/>
      <c r="X496" s="327"/>
      <c r="Y496" s="320" t="s">
        <v>30</v>
      </c>
    </row>
    <row r="497" spans="1:28" ht="14.25" thickBot="1" x14ac:dyDescent="0.2">
      <c r="A497" s="5" t="s">
        <v>1</v>
      </c>
      <c r="B497" s="3" t="s">
        <v>22</v>
      </c>
      <c r="C497" s="28" t="s">
        <v>23</v>
      </c>
      <c r="D497" s="4" t="s">
        <v>24</v>
      </c>
      <c r="E497" s="15" t="s">
        <v>25</v>
      </c>
      <c r="F497" s="19" t="s">
        <v>2</v>
      </c>
      <c r="G497" s="3" t="s">
        <v>22</v>
      </c>
      <c r="H497" s="28" t="s">
        <v>23</v>
      </c>
      <c r="I497" s="4" t="s">
        <v>24</v>
      </c>
      <c r="J497" s="15" t="s">
        <v>25</v>
      </c>
      <c r="K497" s="19" t="s">
        <v>2</v>
      </c>
      <c r="L497" s="321"/>
      <c r="N497" s="5" t="s">
        <v>1</v>
      </c>
      <c r="O497" s="3" t="s">
        <v>22</v>
      </c>
      <c r="P497" s="28" t="s">
        <v>23</v>
      </c>
      <c r="Q497" s="4" t="s">
        <v>24</v>
      </c>
      <c r="R497" s="15" t="s">
        <v>25</v>
      </c>
      <c r="S497" s="19" t="s">
        <v>2</v>
      </c>
      <c r="T497" s="3" t="s">
        <v>22</v>
      </c>
      <c r="U497" s="28" t="s">
        <v>23</v>
      </c>
      <c r="V497" s="4" t="s">
        <v>24</v>
      </c>
      <c r="W497" s="15" t="s">
        <v>25</v>
      </c>
      <c r="X497" s="19" t="s">
        <v>2</v>
      </c>
      <c r="Y497" s="321"/>
    </row>
    <row r="498" spans="1:28" x14ac:dyDescent="0.15">
      <c r="A498" s="78" t="s">
        <v>10</v>
      </c>
      <c r="B498" s="79">
        <f>B492</f>
        <v>5</v>
      </c>
      <c r="C498" s="80">
        <f>C492</f>
        <v>3</v>
      </c>
      <c r="D498" s="80">
        <f>D492</f>
        <v>5</v>
      </c>
      <c r="E498" s="81">
        <f>E492</f>
        <v>4</v>
      </c>
      <c r="F498" s="82">
        <f>SUM(B498:E498)</f>
        <v>17</v>
      </c>
      <c r="G498" s="79">
        <f>G492</f>
        <v>5</v>
      </c>
      <c r="H498" s="80">
        <f>H492</f>
        <v>5</v>
      </c>
      <c r="I498" s="80">
        <f>I492</f>
        <v>4</v>
      </c>
      <c r="J498" s="81">
        <f>J492</f>
        <v>6</v>
      </c>
      <c r="K498" s="82">
        <f>SUM(G498:J498)</f>
        <v>20</v>
      </c>
      <c r="L498" s="98">
        <f>F498+K498</f>
        <v>37</v>
      </c>
      <c r="N498" s="78" t="s">
        <v>10</v>
      </c>
      <c r="O498" s="79">
        <f>O492</f>
        <v>126</v>
      </c>
      <c r="P498" s="80">
        <f>P492</f>
        <v>110</v>
      </c>
      <c r="Q498" s="80">
        <f>Q492</f>
        <v>137</v>
      </c>
      <c r="R498" s="81">
        <f>R492</f>
        <v>115</v>
      </c>
      <c r="S498" s="82">
        <f>SUM(O498:R498)</f>
        <v>488</v>
      </c>
      <c r="T498" s="79">
        <f>T492</f>
        <v>28</v>
      </c>
      <c r="U498" s="80">
        <f>U492</f>
        <v>35</v>
      </c>
      <c r="V498" s="80">
        <f>V492</f>
        <v>88</v>
      </c>
      <c r="W498" s="81">
        <f>W492</f>
        <v>64</v>
      </c>
      <c r="X498" s="82">
        <f>SUM(T498:W498)</f>
        <v>215</v>
      </c>
      <c r="Y498" s="98">
        <f>S498+X498</f>
        <v>703</v>
      </c>
    </row>
    <row r="499" spans="1:28" x14ac:dyDescent="0.15">
      <c r="A499" s="254" t="s">
        <v>3</v>
      </c>
      <c r="B499" s="262"/>
      <c r="C499" s="263">
        <v>3</v>
      </c>
      <c r="D499" s="264">
        <v>3</v>
      </c>
      <c r="E499" s="265">
        <v>3</v>
      </c>
      <c r="F499" s="266">
        <f>SUM(B499:E499)</f>
        <v>9</v>
      </c>
      <c r="G499" s="262"/>
      <c r="H499" s="263"/>
      <c r="I499" s="264"/>
      <c r="J499" s="265"/>
      <c r="K499" s="266">
        <f>SUM(G499:J499)</f>
        <v>0</v>
      </c>
      <c r="L499" s="267">
        <f t="shared" ref="L499:L530" si="435">F499+K499</f>
        <v>9</v>
      </c>
      <c r="M499" s="261">
        <v>46008</v>
      </c>
      <c r="N499" s="12" t="s">
        <v>392</v>
      </c>
      <c r="O499" s="16"/>
      <c r="P499" s="29"/>
      <c r="Q499" s="17"/>
      <c r="R499" s="20">
        <v>8</v>
      </c>
      <c r="S499" s="45">
        <f t="shared" ref="S499" si="436">SUM(O499:R499)</f>
        <v>8</v>
      </c>
      <c r="T499" s="16"/>
      <c r="U499" s="29"/>
      <c r="V499" s="17"/>
      <c r="W499" s="20"/>
      <c r="X499" s="45">
        <f t="shared" ref="X499" si="437">SUM(T499:W499)</f>
        <v>0</v>
      </c>
      <c r="Y499" s="100">
        <f t="shared" ref="Y499" si="438">S499+X499</f>
        <v>8</v>
      </c>
      <c r="Z499" s="58">
        <v>46039</v>
      </c>
    </row>
    <row r="500" spans="1:28" x14ac:dyDescent="0.15">
      <c r="A500" s="12" t="s">
        <v>268</v>
      </c>
      <c r="B500" s="6">
        <v>2</v>
      </c>
      <c r="C500" s="18">
        <v>8</v>
      </c>
      <c r="D500" s="7">
        <v>2</v>
      </c>
      <c r="E500" s="8">
        <v>11</v>
      </c>
      <c r="F500" s="9">
        <f>SUM(B500:E500)</f>
        <v>23</v>
      </c>
      <c r="G500" s="6"/>
      <c r="H500" s="18"/>
      <c r="I500" s="7"/>
      <c r="J500" s="8"/>
      <c r="K500" s="9">
        <f>SUM(G500:J500)</f>
        <v>0</v>
      </c>
      <c r="L500" s="100">
        <f t="shared" si="435"/>
        <v>23</v>
      </c>
      <c r="M500" s="58">
        <v>46008</v>
      </c>
      <c r="N500" s="12" t="s">
        <v>3</v>
      </c>
      <c r="O500" s="16"/>
      <c r="P500" s="29"/>
      <c r="Q500" s="17"/>
      <c r="R500" s="20"/>
      <c r="S500" s="45">
        <f t="shared" ref="S500" si="439">SUM(O500:R500)</f>
        <v>0</v>
      </c>
      <c r="T500" s="16"/>
      <c r="U500" s="29"/>
      <c r="V500" s="17"/>
      <c r="W500" s="20"/>
      <c r="X500" s="45">
        <f t="shared" ref="X500" si="440">SUM(T500:W500)</f>
        <v>0</v>
      </c>
      <c r="Y500" s="100">
        <f t="shared" ref="Y500" si="441">S500+X500</f>
        <v>0</v>
      </c>
    </row>
    <row r="501" spans="1:28" x14ac:dyDescent="0.15">
      <c r="A501" s="12" t="s">
        <v>360</v>
      </c>
      <c r="B501" s="6">
        <v>2</v>
      </c>
      <c r="C501" s="18">
        <v>3</v>
      </c>
      <c r="D501" s="7">
        <v>3</v>
      </c>
      <c r="E501" s="8">
        <v>1</v>
      </c>
      <c r="F501" s="9">
        <f>SUM(B501:E501)</f>
        <v>9</v>
      </c>
      <c r="G501" s="6">
        <v>1</v>
      </c>
      <c r="H501" s="18"/>
      <c r="I501" s="7">
        <v>1</v>
      </c>
      <c r="J501" s="8"/>
      <c r="K501" s="9">
        <f>SUM(G501:J501)</f>
        <v>2</v>
      </c>
      <c r="L501" s="100">
        <f t="shared" si="435"/>
        <v>11</v>
      </c>
      <c r="M501" s="58">
        <v>46007</v>
      </c>
      <c r="N501" s="12" t="s">
        <v>392</v>
      </c>
      <c r="O501" s="16"/>
      <c r="P501" s="29"/>
      <c r="Q501" s="17"/>
      <c r="R501" s="20">
        <v>5</v>
      </c>
      <c r="S501" s="45">
        <f t="shared" ref="S501:S502" si="442">SUM(O501:R501)</f>
        <v>5</v>
      </c>
      <c r="T501" s="16"/>
      <c r="U501" s="29"/>
      <c r="V501" s="17"/>
      <c r="W501" s="20"/>
      <c r="X501" s="45">
        <f t="shared" ref="X501:X502" si="443">SUM(T501:W501)</f>
        <v>0</v>
      </c>
      <c r="Y501" s="100">
        <f t="shared" ref="Y501:Y502" si="444">S501+X501</f>
        <v>5</v>
      </c>
      <c r="Z501" s="58">
        <v>46053</v>
      </c>
    </row>
    <row r="502" spans="1:28" ht="14.25" thickBot="1" x14ac:dyDescent="0.2">
      <c r="A502" s="283" t="s">
        <v>6</v>
      </c>
      <c r="B502" s="284"/>
      <c r="C502" s="285"/>
      <c r="D502" s="286"/>
      <c r="E502" s="287"/>
      <c r="F502" s="300">
        <f>SUM(B502:E502)</f>
        <v>0</v>
      </c>
      <c r="G502" s="284"/>
      <c r="H502" s="285">
        <v>3</v>
      </c>
      <c r="I502" s="286"/>
      <c r="J502" s="287"/>
      <c r="K502" s="300">
        <f>SUM(G502:J502)</f>
        <v>3</v>
      </c>
      <c r="L502" s="301">
        <f t="shared" si="435"/>
        <v>3</v>
      </c>
      <c r="M502" s="261">
        <v>46028</v>
      </c>
      <c r="N502" s="12" t="s">
        <v>392</v>
      </c>
      <c r="O502" s="16"/>
      <c r="P502" s="29"/>
      <c r="Q502" s="17"/>
      <c r="R502" s="20"/>
      <c r="S502" s="45">
        <f t="shared" si="442"/>
        <v>0</v>
      </c>
      <c r="T502" s="16">
        <v>3</v>
      </c>
      <c r="U502" s="29"/>
      <c r="V502" s="17"/>
      <c r="W502" s="20"/>
      <c r="X502" s="45">
        <f t="shared" si="443"/>
        <v>3</v>
      </c>
      <c r="Y502" s="100">
        <f t="shared" si="444"/>
        <v>3</v>
      </c>
      <c r="Z502" s="58">
        <v>46060</v>
      </c>
    </row>
    <row r="503" spans="1:28" ht="14.25" thickBot="1" x14ac:dyDescent="0.2">
      <c r="A503" s="14" t="s">
        <v>7</v>
      </c>
      <c r="B503" s="62">
        <f t="shared" ref="B503:K503" si="445">SUM(B498:B502)</f>
        <v>9</v>
      </c>
      <c r="C503" s="63">
        <f t="shared" si="445"/>
        <v>17</v>
      </c>
      <c r="D503" s="64">
        <f t="shared" si="445"/>
        <v>13</v>
      </c>
      <c r="E503" s="65">
        <f t="shared" si="445"/>
        <v>19</v>
      </c>
      <c r="F503" s="66">
        <f t="shared" si="445"/>
        <v>58</v>
      </c>
      <c r="G503" s="62">
        <f t="shared" si="445"/>
        <v>6</v>
      </c>
      <c r="H503" s="63">
        <f t="shared" si="445"/>
        <v>8</v>
      </c>
      <c r="I503" s="64">
        <f t="shared" si="445"/>
        <v>5</v>
      </c>
      <c r="J503" s="65">
        <f t="shared" si="445"/>
        <v>6</v>
      </c>
      <c r="K503" s="66">
        <f t="shared" si="445"/>
        <v>25</v>
      </c>
      <c r="L503" s="102">
        <f t="shared" si="435"/>
        <v>83</v>
      </c>
      <c r="N503" s="13" t="s">
        <v>7</v>
      </c>
      <c r="O503" s="25">
        <f t="shared" ref="O503:X503" si="446">SUM(O498:O502)</f>
        <v>126</v>
      </c>
      <c r="P503" s="31">
        <f t="shared" si="446"/>
        <v>110</v>
      </c>
      <c r="Q503" s="26">
        <f t="shared" si="446"/>
        <v>137</v>
      </c>
      <c r="R503" s="67">
        <f t="shared" si="446"/>
        <v>128</v>
      </c>
      <c r="S503" s="68">
        <f t="shared" si="446"/>
        <v>501</v>
      </c>
      <c r="T503" s="25">
        <f t="shared" si="446"/>
        <v>31</v>
      </c>
      <c r="U503" s="31">
        <f t="shared" si="446"/>
        <v>35</v>
      </c>
      <c r="V503" s="26">
        <f t="shared" si="446"/>
        <v>88</v>
      </c>
      <c r="W503" s="67">
        <f t="shared" si="446"/>
        <v>64</v>
      </c>
      <c r="X503" s="68">
        <f t="shared" si="446"/>
        <v>218</v>
      </c>
      <c r="Y503" s="102">
        <f t="shared" ref="Y503:Y530" si="447">S503+X503</f>
        <v>719</v>
      </c>
      <c r="AA503" s="195"/>
      <c r="AB503" s="195"/>
    </row>
    <row r="504" spans="1:28" x14ac:dyDescent="0.15">
      <c r="A504" s="33" t="s">
        <v>860</v>
      </c>
      <c r="B504" s="41"/>
      <c r="C504" s="42"/>
      <c r="D504" s="43">
        <v>3</v>
      </c>
      <c r="E504" s="44">
        <v>3</v>
      </c>
      <c r="F504" s="70">
        <f t="shared" ref="F504:F528" si="448">SUM(B504:E504)</f>
        <v>6</v>
      </c>
      <c r="G504" s="41"/>
      <c r="H504" s="42"/>
      <c r="I504" s="43"/>
      <c r="J504" s="44"/>
      <c r="K504" s="70">
        <f t="shared" ref="K504:K528" si="449">SUM(G504:J504)</f>
        <v>0</v>
      </c>
      <c r="L504" s="103">
        <f t="shared" si="435"/>
        <v>6</v>
      </c>
      <c r="M504" s="56">
        <v>46009</v>
      </c>
      <c r="N504" s="268" t="s">
        <v>861</v>
      </c>
      <c r="O504" s="255"/>
      <c r="P504" s="256">
        <v>3</v>
      </c>
      <c r="Q504" s="257">
        <v>3</v>
      </c>
      <c r="R504" s="269">
        <v>3</v>
      </c>
      <c r="S504" s="270">
        <f t="shared" ref="S504:S509" si="450">SUM(O504:R504)</f>
        <v>9</v>
      </c>
      <c r="T504" s="255"/>
      <c r="U504" s="256"/>
      <c r="V504" s="257"/>
      <c r="W504" s="269"/>
      <c r="X504" s="270">
        <f t="shared" ref="X504:X509" si="451">SUM(T504:W504)</f>
        <v>0</v>
      </c>
      <c r="Y504" s="297">
        <f t="shared" si="447"/>
        <v>9</v>
      </c>
      <c r="Z504" s="261">
        <v>46008</v>
      </c>
    </row>
    <row r="505" spans="1:28" x14ac:dyDescent="0.15">
      <c r="A505" s="33" t="s">
        <v>862</v>
      </c>
      <c r="B505" s="16"/>
      <c r="C505" s="29"/>
      <c r="D505" s="17"/>
      <c r="E505" s="20"/>
      <c r="F505" s="45">
        <f t="shared" si="448"/>
        <v>0</v>
      </c>
      <c r="G505" s="16"/>
      <c r="H505" s="29"/>
      <c r="I505" s="17">
        <v>1</v>
      </c>
      <c r="J505" s="20"/>
      <c r="K505" s="45">
        <f t="shared" si="449"/>
        <v>1</v>
      </c>
      <c r="L505" s="104">
        <f t="shared" si="435"/>
        <v>1</v>
      </c>
      <c r="M505" s="56">
        <v>46010</v>
      </c>
      <c r="N505" s="11" t="s">
        <v>870</v>
      </c>
      <c r="O505" s="16"/>
      <c r="P505" s="29"/>
      <c r="Q505" s="17">
        <v>1</v>
      </c>
      <c r="R505" s="32">
        <v>2</v>
      </c>
      <c r="S505" s="9">
        <f t="shared" si="450"/>
        <v>3</v>
      </c>
      <c r="T505" s="206"/>
      <c r="U505" s="207"/>
      <c r="V505" s="208"/>
      <c r="W505" s="209"/>
      <c r="X505" s="9">
        <f t="shared" si="451"/>
        <v>0</v>
      </c>
      <c r="Y505" s="104">
        <f t="shared" si="447"/>
        <v>3</v>
      </c>
      <c r="Z505" s="56">
        <v>46011</v>
      </c>
    </row>
    <row r="506" spans="1:28" x14ac:dyDescent="0.15">
      <c r="A506" s="33" t="s">
        <v>655</v>
      </c>
      <c r="B506" s="16">
        <v>1</v>
      </c>
      <c r="C506" s="29"/>
      <c r="D506" s="17"/>
      <c r="E506" s="20"/>
      <c r="F506" s="45">
        <f t="shared" si="448"/>
        <v>1</v>
      </c>
      <c r="G506" s="16"/>
      <c r="H506" s="29">
        <v>1</v>
      </c>
      <c r="I506" s="17"/>
      <c r="J506" s="20"/>
      <c r="K506" s="45">
        <f t="shared" si="449"/>
        <v>1</v>
      </c>
      <c r="L506" s="104">
        <f t="shared" si="435"/>
        <v>2</v>
      </c>
      <c r="M506" s="56">
        <v>46010</v>
      </c>
      <c r="N506" s="11" t="s">
        <v>835</v>
      </c>
      <c r="O506" s="16">
        <v>20</v>
      </c>
      <c r="P506" s="29">
        <v>30</v>
      </c>
      <c r="Q506" s="17">
        <v>20</v>
      </c>
      <c r="R506" s="32">
        <v>40</v>
      </c>
      <c r="S506" s="9">
        <f t="shared" si="450"/>
        <v>110</v>
      </c>
      <c r="T506" s="206"/>
      <c r="U506" s="207"/>
      <c r="V506" s="208"/>
      <c r="W506" s="209"/>
      <c r="X506" s="9">
        <f t="shared" si="451"/>
        <v>0</v>
      </c>
      <c r="Y506" s="104">
        <f t="shared" si="447"/>
        <v>110</v>
      </c>
      <c r="Z506" s="56">
        <v>46016</v>
      </c>
    </row>
    <row r="507" spans="1:28" x14ac:dyDescent="0.15">
      <c r="A507" s="47" t="s">
        <v>51</v>
      </c>
      <c r="B507" s="16"/>
      <c r="C507" s="29"/>
      <c r="D507" s="17">
        <v>1</v>
      </c>
      <c r="E507" s="20"/>
      <c r="F507" s="45">
        <f t="shared" si="448"/>
        <v>1</v>
      </c>
      <c r="G507" s="16"/>
      <c r="H507" s="29"/>
      <c r="I507" s="17"/>
      <c r="J507" s="20">
        <v>1</v>
      </c>
      <c r="K507" s="45">
        <f t="shared" si="449"/>
        <v>1</v>
      </c>
      <c r="L507" s="104">
        <f t="shared" si="435"/>
        <v>2</v>
      </c>
      <c r="M507" s="58">
        <v>46009</v>
      </c>
      <c r="N507" s="11" t="s">
        <v>873</v>
      </c>
      <c r="O507" s="16"/>
      <c r="P507" s="29"/>
      <c r="Q507" s="17">
        <v>5</v>
      </c>
      <c r="R507" s="32">
        <v>5</v>
      </c>
      <c r="S507" s="9">
        <f t="shared" si="450"/>
        <v>10</v>
      </c>
      <c r="T507" s="206"/>
      <c r="U507" s="207"/>
      <c r="V507" s="208"/>
      <c r="W507" s="209"/>
      <c r="X507" s="9">
        <f t="shared" si="451"/>
        <v>0</v>
      </c>
      <c r="Y507" s="104">
        <f t="shared" si="447"/>
        <v>10</v>
      </c>
      <c r="Z507" s="56">
        <v>46015</v>
      </c>
    </row>
    <row r="508" spans="1:28" x14ac:dyDescent="0.15">
      <c r="A508" s="11" t="s">
        <v>871</v>
      </c>
      <c r="B508" s="16"/>
      <c r="C508" s="29">
        <v>5</v>
      </c>
      <c r="D508" s="17">
        <v>5</v>
      </c>
      <c r="E508" s="20"/>
      <c r="F508" s="45">
        <f t="shared" si="448"/>
        <v>10</v>
      </c>
      <c r="G508" s="16"/>
      <c r="H508" s="29"/>
      <c r="I508" s="17"/>
      <c r="J508" s="20"/>
      <c r="K508" s="45">
        <f t="shared" si="449"/>
        <v>0</v>
      </c>
      <c r="L508" s="104">
        <f t="shared" si="435"/>
        <v>10</v>
      </c>
      <c r="M508" s="56">
        <v>46015</v>
      </c>
      <c r="N508" s="268" t="s">
        <v>861</v>
      </c>
      <c r="O508" s="255"/>
      <c r="P508" s="256"/>
      <c r="Q508" s="257"/>
      <c r="R508" s="269"/>
      <c r="S508" s="270">
        <f>SUM(O508:R508)</f>
        <v>0</v>
      </c>
      <c r="T508" s="255"/>
      <c r="U508" s="256">
        <v>3</v>
      </c>
      <c r="V508" s="257"/>
      <c r="W508" s="269"/>
      <c r="X508" s="270">
        <f>SUM(T508:W508)</f>
        <v>3</v>
      </c>
      <c r="Y508" s="260">
        <f t="shared" ref="Y508" si="452">S508+X508</f>
        <v>3</v>
      </c>
      <c r="Z508" s="261">
        <v>46028</v>
      </c>
    </row>
    <row r="509" spans="1:28" x14ac:dyDescent="0.15">
      <c r="A509" s="33" t="s">
        <v>874</v>
      </c>
      <c r="B509" s="16">
        <v>1</v>
      </c>
      <c r="C509" s="29"/>
      <c r="D509" s="17"/>
      <c r="E509" s="20"/>
      <c r="F509" s="45">
        <f t="shared" si="448"/>
        <v>1</v>
      </c>
      <c r="G509" s="16"/>
      <c r="H509" s="29"/>
      <c r="I509" s="17"/>
      <c r="J509" s="20"/>
      <c r="K509" s="45">
        <f t="shared" si="449"/>
        <v>0</v>
      </c>
      <c r="L509" s="104">
        <f t="shared" si="435"/>
        <v>1</v>
      </c>
      <c r="M509" s="56">
        <v>46016</v>
      </c>
      <c r="N509" s="33"/>
      <c r="O509" s="16"/>
      <c r="P509" s="29"/>
      <c r="Q509" s="17"/>
      <c r="R509" s="32"/>
      <c r="S509" s="9">
        <f t="shared" si="450"/>
        <v>0</v>
      </c>
      <c r="T509" s="16"/>
      <c r="U509" s="29"/>
      <c r="V509" s="17"/>
      <c r="W509" s="32"/>
      <c r="X509" s="9">
        <f t="shared" si="451"/>
        <v>0</v>
      </c>
      <c r="Y509" s="104">
        <f t="shared" si="447"/>
        <v>0</v>
      </c>
    </row>
    <row r="510" spans="1:28" x14ac:dyDescent="0.15">
      <c r="A510" s="47" t="s">
        <v>51</v>
      </c>
      <c r="B510" s="16"/>
      <c r="C510" s="29"/>
      <c r="D510" s="17"/>
      <c r="E510" s="20"/>
      <c r="F510" s="45">
        <f t="shared" si="448"/>
        <v>0</v>
      </c>
      <c r="G510" s="16"/>
      <c r="H510" s="29">
        <v>1</v>
      </c>
      <c r="I510" s="17"/>
      <c r="J510" s="20"/>
      <c r="K510" s="45">
        <f t="shared" si="449"/>
        <v>1</v>
      </c>
      <c r="L510" s="104">
        <f t="shared" si="435"/>
        <v>1</v>
      </c>
      <c r="M510" s="58">
        <v>46015</v>
      </c>
      <c r="N510" s="33"/>
      <c r="O510" s="16"/>
      <c r="P510" s="29"/>
      <c r="Q510" s="17"/>
      <c r="R510" s="32"/>
      <c r="S510" s="9">
        <f>SUM(O510:R510)</f>
        <v>0</v>
      </c>
      <c r="T510" s="16"/>
      <c r="U510" s="29"/>
      <c r="V510" s="17"/>
      <c r="W510" s="32"/>
      <c r="X510" s="9">
        <f>SUM(T510:W510)</f>
        <v>0</v>
      </c>
      <c r="Y510" s="104">
        <f t="shared" si="447"/>
        <v>0</v>
      </c>
    </row>
    <row r="511" spans="1:28" x14ac:dyDescent="0.15">
      <c r="A511" s="33" t="s">
        <v>877</v>
      </c>
      <c r="B511" s="16"/>
      <c r="C511" s="29">
        <v>1</v>
      </c>
      <c r="D511" s="17">
        <v>1</v>
      </c>
      <c r="E511" s="20"/>
      <c r="F511" s="45">
        <f t="shared" si="448"/>
        <v>2</v>
      </c>
      <c r="G511" s="16"/>
      <c r="H511" s="29"/>
      <c r="I511" s="17"/>
      <c r="J511" s="20"/>
      <c r="K511" s="45">
        <f t="shared" si="449"/>
        <v>0</v>
      </c>
      <c r="L511" s="104">
        <f t="shared" si="435"/>
        <v>2</v>
      </c>
      <c r="M511" s="56">
        <v>46029</v>
      </c>
      <c r="N511" s="33"/>
      <c r="O511" s="16"/>
      <c r="P511" s="29"/>
      <c r="Q511" s="17"/>
      <c r="R511" s="32"/>
      <c r="S511" s="9">
        <f t="shared" ref="S511:S515" si="453">SUM(O511:R511)</f>
        <v>0</v>
      </c>
      <c r="T511" s="16"/>
      <c r="U511" s="29"/>
      <c r="V511" s="17"/>
      <c r="W511" s="32"/>
      <c r="X511" s="9">
        <f t="shared" ref="X511:X515" si="454">SUM(T511:W511)</f>
        <v>0</v>
      </c>
      <c r="Y511" s="104">
        <f t="shared" si="447"/>
        <v>0</v>
      </c>
    </row>
    <row r="512" spans="1:28" x14ac:dyDescent="0.15">
      <c r="A512" s="47" t="s">
        <v>51</v>
      </c>
      <c r="B512" s="16"/>
      <c r="C512" s="29">
        <v>1</v>
      </c>
      <c r="D512" s="17"/>
      <c r="E512" s="20"/>
      <c r="F512" s="45">
        <f t="shared" si="448"/>
        <v>1</v>
      </c>
      <c r="G512" s="16"/>
      <c r="H512" s="29">
        <v>1</v>
      </c>
      <c r="I512" s="17"/>
      <c r="J512" s="20"/>
      <c r="K512" s="45">
        <f t="shared" si="449"/>
        <v>1</v>
      </c>
      <c r="L512" s="104">
        <f t="shared" si="435"/>
        <v>2</v>
      </c>
      <c r="M512" s="58">
        <v>46027</v>
      </c>
      <c r="N512" s="33"/>
      <c r="O512" s="16"/>
      <c r="P512" s="29"/>
      <c r="Q512" s="17"/>
      <c r="R512" s="32"/>
      <c r="S512" s="9">
        <f t="shared" si="453"/>
        <v>0</v>
      </c>
      <c r="T512" s="16"/>
      <c r="U512" s="29"/>
      <c r="V512" s="17"/>
      <c r="W512" s="32"/>
      <c r="X512" s="9">
        <f t="shared" si="454"/>
        <v>0</v>
      </c>
      <c r="Y512" s="104">
        <f t="shared" si="447"/>
        <v>0</v>
      </c>
    </row>
    <row r="513" spans="1:26" x14ac:dyDescent="0.15">
      <c r="A513" s="33" t="s">
        <v>889</v>
      </c>
      <c r="B513" s="16"/>
      <c r="C513" s="29"/>
      <c r="D513" s="17"/>
      <c r="E513" s="20"/>
      <c r="F513" s="45">
        <f t="shared" si="448"/>
        <v>0</v>
      </c>
      <c r="G513" s="16"/>
      <c r="H513" s="29"/>
      <c r="I513" s="17">
        <v>1</v>
      </c>
      <c r="J513" s="20">
        <v>1</v>
      </c>
      <c r="K513" s="45">
        <f t="shared" si="449"/>
        <v>2</v>
      </c>
      <c r="L513" s="104">
        <f t="shared" si="435"/>
        <v>2</v>
      </c>
      <c r="M513" s="56">
        <v>46037</v>
      </c>
      <c r="N513" s="33"/>
      <c r="O513" s="16"/>
      <c r="P513" s="29"/>
      <c r="Q513" s="17"/>
      <c r="R513" s="32"/>
      <c r="S513" s="9">
        <f t="shared" si="453"/>
        <v>0</v>
      </c>
      <c r="T513" s="16"/>
      <c r="U513" s="29"/>
      <c r="V513" s="17"/>
      <c r="W513" s="32"/>
      <c r="X513" s="9">
        <f t="shared" si="454"/>
        <v>0</v>
      </c>
      <c r="Y513" s="104">
        <f t="shared" si="447"/>
        <v>0</v>
      </c>
    </row>
    <row r="514" spans="1:26" x14ac:dyDescent="0.15">
      <c r="A514" s="47" t="s">
        <v>51</v>
      </c>
      <c r="B514" s="16">
        <v>1</v>
      </c>
      <c r="C514" s="29"/>
      <c r="D514" s="17"/>
      <c r="E514" s="20"/>
      <c r="F514" s="45">
        <f t="shared" si="448"/>
        <v>1</v>
      </c>
      <c r="G514" s="16"/>
      <c r="H514" s="29"/>
      <c r="I514" s="17"/>
      <c r="J514" s="20"/>
      <c r="K514" s="45">
        <f t="shared" si="449"/>
        <v>0</v>
      </c>
      <c r="L514" s="104">
        <f t="shared" si="435"/>
        <v>1</v>
      </c>
      <c r="M514" s="58">
        <v>46035</v>
      </c>
      <c r="N514" s="33"/>
      <c r="O514" s="16"/>
      <c r="P514" s="29"/>
      <c r="Q514" s="17"/>
      <c r="R514" s="32"/>
      <c r="S514" s="9">
        <f t="shared" si="453"/>
        <v>0</v>
      </c>
      <c r="T514" s="16"/>
      <c r="U514" s="29"/>
      <c r="V514" s="17"/>
      <c r="W514" s="32"/>
      <c r="X514" s="9">
        <f t="shared" si="454"/>
        <v>0</v>
      </c>
      <c r="Y514" s="104">
        <f t="shared" si="447"/>
        <v>0</v>
      </c>
    </row>
    <row r="515" spans="1:26" x14ac:dyDescent="0.15">
      <c r="A515" s="11" t="s">
        <v>896</v>
      </c>
      <c r="B515" s="16"/>
      <c r="C515" s="29">
        <v>3</v>
      </c>
      <c r="D515" s="17"/>
      <c r="E515" s="20"/>
      <c r="F515" s="45">
        <f t="shared" si="448"/>
        <v>3</v>
      </c>
      <c r="G515" s="16"/>
      <c r="H515" s="29"/>
      <c r="I515" s="17"/>
      <c r="J515" s="20"/>
      <c r="K515" s="45">
        <f t="shared" si="449"/>
        <v>0</v>
      </c>
      <c r="L515" s="104">
        <f t="shared" si="435"/>
        <v>3</v>
      </c>
      <c r="M515" s="56">
        <v>46038</v>
      </c>
      <c r="N515" s="72"/>
      <c r="O515" s="16"/>
      <c r="P515" s="29"/>
      <c r="Q515" s="17"/>
      <c r="R515" s="32"/>
      <c r="S515" s="9">
        <f t="shared" si="453"/>
        <v>0</v>
      </c>
      <c r="T515" s="16"/>
      <c r="U515" s="29"/>
      <c r="V515" s="17"/>
      <c r="W515" s="32"/>
      <c r="X515" s="9">
        <f t="shared" si="454"/>
        <v>0</v>
      </c>
      <c r="Y515" s="104">
        <f t="shared" si="447"/>
        <v>0</v>
      </c>
    </row>
    <row r="516" spans="1:26" x14ac:dyDescent="0.15">
      <c r="A516" s="33" t="s">
        <v>897</v>
      </c>
      <c r="B516" s="16"/>
      <c r="C516" s="29">
        <v>2</v>
      </c>
      <c r="D516" s="17"/>
      <c r="E516" s="20"/>
      <c r="F516" s="45">
        <f t="shared" si="448"/>
        <v>2</v>
      </c>
      <c r="G516" s="16"/>
      <c r="H516" s="29"/>
      <c r="I516" s="17"/>
      <c r="J516" s="20"/>
      <c r="K516" s="45">
        <f t="shared" si="449"/>
        <v>0</v>
      </c>
      <c r="L516" s="104">
        <f t="shared" si="435"/>
        <v>2</v>
      </c>
      <c r="M516" s="56">
        <v>46038</v>
      </c>
      <c r="N516" s="33"/>
      <c r="O516" s="16"/>
      <c r="P516" s="29"/>
      <c r="Q516" s="17"/>
      <c r="R516" s="32"/>
      <c r="S516" s="9">
        <f>SUM(O516:R516)</f>
        <v>0</v>
      </c>
      <c r="T516" s="16"/>
      <c r="U516" s="29"/>
      <c r="V516" s="17"/>
      <c r="W516" s="32"/>
      <c r="X516" s="9">
        <f>SUM(T516:W516)</f>
        <v>0</v>
      </c>
      <c r="Y516" s="104">
        <f t="shared" si="447"/>
        <v>0</v>
      </c>
    </row>
    <row r="517" spans="1:26" x14ac:dyDescent="0.15">
      <c r="A517" s="47" t="s">
        <v>51</v>
      </c>
      <c r="B517" s="16"/>
      <c r="C517" s="29"/>
      <c r="D517" s="17"/>
      <c r="E517" s="20"/>
      <c r="F517" s="45">
        <f t="shared" si="448"/>
        <v>0</v>
      </c>
      <c r="G517" s="16"/>
      <c r="H517" s="29">
        <v>1</v>
      </c>
      <c r="I517" s="17"/>
      <c r="J517" s="20"/>
      <c r="K517" s="45">
        <f t="shared" si="449"/>
        <v>1</v>
      </c>
      <c r="L517" s="104">
        <f t="shared" si="435"/>
        <v>1</v>
      </c>
      <c r="M517" s="56">
        <v>46036</v>
      </c>
      <c r="N517" s="72"/>
      <c r="O517" s="16"/>
      <c r="P517" s="29"/>
      <c r="Q517" s="17"/>
      <c r="R517" s="32"/>
      <c r="S517" s="9">
        <f>SUM(O517:R517)</f>
        <v>0</v>
      </c>
      <c r="T517" s="16"/>
      <c r="U517" s="29"/>
      <c r="V517" s="17"/>
      <c r="W517" s="32"/>
      <c r="X517" s="9">
        <f>SUM(T517:W517)</f>
        <v>0</v>
      </c>
      <c r="Y517" s="104">
        <f t="shared" si="447"/>
        <v>0</v>
      </c>
    </row>
    <row r="518" spans="1:26" x14ac:dyDescent="0.15">
      <c r="A518" s="33" t="s">
        <v>901</v>
      </c>
      <c r="B518" s="16"/>
      <c r="C518" s="29"/>
      <c r="D518" s="17">
        <v>1</v>
      </c>
      <c r="E518" s="20"/>
      <c r="F518" s="45">
        <f t="shared" si="448"/>
        <v>1</v>
      </c>
      <c r="G518" s="16"/>
      <c r="H518" s="29"/>
      <c r="I518" s="17"/>
      <c r="J518" s="20"/>
      <c r="K518" s="45">
        <f t="shared" si="449"/>
        <v>0</v>
      </c>
      <c r="L518" s="104">
        <f t="shared" si="435"/>
        <v>1</v>
      </c>
      <c r="M518" s="56">
        <v>46041</v>
      </c>
      <c r="N518" s="72"/>
      <c r="O518" s="16"/>
      <c r="P518" s="29"/>
      <c r="Q518" s="17"/>
      <c r="R518" s="32"/>
      <c r="S518" s="9">
        <f t="shared" ref="S518:S520" si="455">SUM(O518:R518)</f>
        <v>0</v>
      </c>
      <c r="T518" s="16"/>
      <c r="U518" s="29"/>
      <c r="V518" s="17"/>
      <c r="W518" s="32"/>
      <c r="X518" s="9">
        <f t="shared" ref="X518:X520" si="456">SUM(T518:W518)</f>
        <v>0</v>
      </c>
      <c r="Y518" s="104">
        <f t="shared" si="447"/>
        <v>0</v>
      </c>
    </row>
    <row r="519" spans="1:26" x14ac:dyDescent="0.15">
      <c r="A519" s="47" t="s">
        <v>904</v>
      </c>
      <c r="B519" s="16"/>
      <c r="C519" s="29"/>
      <c r="D519" s="17"/>
      <c r="E519" s="20">
        <v>8</v>
      </c>
      <c r="F519" s="45">
        <f t="shared" si="448"/>
        <v>8</v>
      </c>
      <c r="G519" s="16"/>
      <c r="H519" s="29"/>
      <c r="I519" s="17"/>
      <c r="J519" s="20"/>
      <c r="K519" s="45">
        <f t="shared" si="449"/>
        <v>0</v>
      </c>
      <c r="L519" s="104">
        <f t="shared" si="435"/>
        <v>8</v>
      </c>
      <c r="M519" s="58">
        <v>46039</v>
      </c>
      <c r="N519" s="72"/>
      <c r="O519" s="16"/>
      <c r="P519" s="29"/>
      <c r="Q519" s="17"/>
      <c r="R519" s="32"/>
      <c r="S519" s="9">
        <f t="shared" si="455"/>
        <v>0</v>
      </c>
      <c r="T519" s="16"/>
      <c r="U519" s="29"/>
      <c r="V519" s="17"/>
      <c r="W519" s="32"/>
      <c r="X519" s="9">
        <f t="shared" si="456"/>
        <v>0</v>
      </c>
      <c r="Y519" s="104">
        <f t="shared" si="447"/>
        <v>0</v>
      </c>
    </row>
    <row r="520" spans="1:26" x14ac:dyDescent="0.15">
      <c r="A520" s="47" t="s">
        <v>51</v>
      </c>
      <c r="B520" s="16"/>
      <c r="C520" s="29"/>
      <c r="D520" s="17"/>
      <c r="E520" s="20">
        <v>1</v>
      </c>
      <c r="F520" s="45">
        <f t="shared" si="448"/>
        <v>1</v>
      </c>
      <c r="G520" s="16"/>
      <c r="H520" s="29"/>
      <c r="I520" s="17"/>
      <c r="J520" s="20"/>
      <c r="K520" s="45">
        <f t="shared" si="449"/>
        <v>0</v>
      </c>
      <c r="L520" s="104">
        <f t="shared" si="435"/>
        <v>1</v>
      </c>
      <c r="M520" s="58">
        <v>46041</v>
      </c>
      <c r="N520" s="72"/>
      <c r="O520" s="16"/>
      <c r="P520" s="29"/>
      <c r="Q520" s="17"/>
      <c r="R520" s="32"/>
      <c r="S520" s="9">
        <f t="shared" si="455"/>
        <v>0</v>
      </c>
      <c r="T520" s="16"/>
      <c r="U520" s="29"/>
      <c r="V520" s="17"/>
      <c r="W520" s="32"/>
      <c r="X520" s="9">
        <f t="shared" si="456"/>
        <v>0</v>
      </c>
      <c r="Y520" s="104">
        <f t="shared" si="447"/>
        <v>0</v>
      </c>
    </row>
    <row r="521" spans="1:26" x14ac:dyDescent="0.15">
      <c r="A521" s="33" t="s">
        <v>911</v>
      </c>
      <c r="B521" s="16">
        <v>1</v>
      </c>
      <c r="C521" s="29"/>
      <c r="D521" s="17"/>
      <c r="E521" s="20"/>
      <c r="F521" s="45">
        <f t="shared" si="448"/>
        <v>1</v>
      </c>
      <c r="G521" s="16"/>
      <c r="H521" s="29"/>
      <c r="I521" s="17"/>
      <c r="J521" s="20"/>
      <c r="K521" s="45">
        <f t="shared" si="449"/>
        <v>0</v>
      </c>
      <c r="L521" s="104">
        <f t="shared" si="435"/>
        <v>1</v>
      </c>
      <c r="M521" s="56">
        <v>46044</v>
      </c>
      <c r="N521" s="72"/>
      <c r="O521" s="16"/>
      <c r="P521" s="29"/>
      <c r="Q521" s="17"/>
      <c r="R521" s="32"/>
      <c r="S521" s="9">
        <f t="shared" ref="S521:S528" si="457">SUM(O521:R521)</f>
        <v>0</v>
      </c>
      <c r="T521" s="16"/>
      <c r="U521" s="29"/>
      <c r="V521" s="17"/>
      <c r="W521" s="32"/>
      <c r="X521" s="9">
        <f t="shared" ref="X521:X528" si="458">SUM(T521:W521)</f>
        <v>0</v>
      </c>
      <c r="Y521" s="104">
        <f t="shared" ref="Y521:Y528" si="459">S521+X521</f>
        <v>0</v>
      </c>
    </row>
    <row r="522" spans="1:26" x14ac:dyDescent="0.15">
      <c r="A522" s="47" t="s">
        <v>915</v>
      </c>
      <c r="B522" s="16">
        <v>-3</v>
      </c>
      <c r="C522" s="29">
        <v>-2</v>
      </c>
      <c r="D522" s="17">
        <v>-2</v>
      </c>
      <c r="E522" s="20">
        <v>-5</v>
      </c>
      <c r="F522" s="45">
        <f t="shared" si="448"/>
        <v>-12</v>
      </c>
      <c r="G522" s="16"/>
      <c r="H522" s="29"/>
      <c r="I522" s="17"/>
      <c r="J522" s="20"/>
      <c r="K522" s="45">
        <f t="shared" si="449"/>
        <v>0</v>
      </c>
      <c r="L522" s="104">
        <f t="shared" si="435"/>
        <v>-12</v>
      </c>
      <c r="M522" s="58">
        <v>46043</v>
      </c>
      <c r="N522" s="72"/>
      <c r="O522" s="16"/>
      <c r="P522" s="29"/>
      <c r="Q522" s="17"/>
      <c r="R522" s="32"/>
      <c r="S522" s="9">
        <f t="shared" si="457"/>
        <v>0</v>
      </c>
      <c r="T522" s="16"/>
      <c r="U522" s="29"/>
      <c r="V522" s="17"/>
      <c r="W522" s="32"/>
      <c r="X522" s="9">
        <f t="shared" si="458"/>
        <v>0</v>
      </c>
      <c r="Y522" s="104">
        <f t="shared" si="459"/>
        <v>0</v>
      </c>
    </row>
    <row r="523" spans="1:26" x14ac:dyDescent="0.15">
      <c r="A523" s="47" t="s">
        <v>51</v>
      </c>
      <c r="B523" s="16"/>
      <c r="C523" s="29"/>
      <c r="D523" s="17">
        <v>1</v>
      </c>
      <c r="E523" s="20"/>
      <c r="F523" s="45">
        <f t="shared" si="448"/>
        <v>1</v>
      </c>
      <c r="G523" s="16"/>
      <c r="H523" s="29"/>
      <c r="I523" s="17"/>
      <c r="J523" s="20"/>
      <c r="K523" s="45">
        <f t="shared" si="449"/>
        <v>0</v>
      </c>
      <c r="L523" s="104">
        <f t="shared" si="435"/>
        <v>1</v>
      </c>
      <c r="M523" s="58">
        <v>46043</v>
      </c>
      <c r="N523" s="72" t="s">
        <v>673</v>
      </c>
      <c r="O523" s="166"/>
      <c r="P523" s="167"/>
      <c r="Q523" s="160"/>
      <c r="R523" s="168"/>
      <c r="S523" s="165">
        <f t="shared" si="457"/>
        <v>0</v>
      </c>
      <c r="T523" s="161"/>
      <c r="U523" s="162"/>
      <c r="V523" s="163"/>
      <c r="W523" s="164"/>
      <c r="X523" s="165">
        <f t="shared" ref="X523:X524" si="460">SUM(T523:W523)</f>
        <v>0</v>
      </c>
      <c r="Y523" s="169">
        <f t="shared" ref="Y523:Y524" si="461">S523+X523</f>
        <v>0</v>
      </c>
      <c r="Z523" s="157"/>
    </row>
    <row r="524" spans="1:26" x14ac:dyDescent="0.15">
      <c r="A524" s="47" t="s">
        <v>51</v>
      </c>
      <c r="B524" s="16"/>
      <c r="C524" s="29">
        <v>1</v>
      </c>
      <c r="D524" s="17"/>
      <c r="E524" s="20"/>
      <c r="F524" s="45">
        <f t="shared" si="448"/>
        <v>1</v>
      </c>
      <c r="G524" s="16"/>
      <c r="H524" s="29"/>
      <c r="I524" s="17"/>
      <c r="J524" s="20"/>
      <c r="K524" s="45">
        <f t="shared" si="449"/>
        <v>0</v>
      </c>
      <c r="L524" s="104">
        <f t="shared" si="435"/>
        <v>1</v>
      </c>
      <c r="M524" s="58">
        <v>46045</v>
      </c>
      <c r="N524" s="11" t="s">
        <v>664</v>
      </c>
      <c r="O524" s="16"/>
      <c r="P524" s="29"/>
      <c r="Q524" s="17"/>
      <c r="R524" s="32"/>
      <c r="S524" s="9">
        <f t="shared" ref="S524" si="462">SUM(O524:R524)</f>
        <v>0</v>
      </c>
      <c r="T524" s="206"/>
      <c r="U524" s="207"/>
      <c r="V524" s="208"/>
      <c r="W524" s="209"/>
      <c r="X524" s="9">
        <f t="shared" si="460"/>
        <v>0</v>
      </c>
      <c r="Y524" s="104">
        <f t="shared" si="461"/>
        <v>0</v>
      </c>
      <c r="Z524" s="157" t="s">
        <v>665</v>
      </c>
    </row>
    <row r="525" spans="1:26" x14ac:dyDescent="0.15">
      <c r="A525" s="47" t="s">
        <v>51</v>
      </c>
      <c r="B525" s="16"/>
      <c r="C525" s="29"/>
      <c r="D525" s="17"/>
      <c r="E525" s="20"/>
      <c r="F525" s="45">
        <f t="shared" si="448"/>
        <v>0</v>
      </c>
      <c r="G525" s="16"/>
      <c r="H525" s="29"/>
      <c r="I525" s="17">
        <v>1</v>
      </c>
      <c r="J525" s="20"/>
      <c r="K525" s="45">
        <f t="shared" si="449"/>
        <v>1</v>
      </c>
      <c r="L525" s="104">
        <f t="shared" si="435"/>
        <v>1</v>
      </c>
      <c r="M525" s="56">
        <v>46048</v>
      </c>
      <c r="N525" s="72" t="s">
        <v>683</v>
      </c>
      <c r="O525" s="166"/>
      <c r="P525" s="167"/>
      <c r="Q525" s="160"/>
      <c r="R525" s="168"/>
      <c r="S525" s="165">
        <f t="shared" si="457"/>
        <v>0</v>
      </c>
      <c r="T525" s="161"/>
      <c r="U525" s="162"/>
      <c r="V525" s="163"/>
      <c r="W525" s="164"/>
      <c r="X525" s="165">
        <f t="shared" si="458"/>
        <v>0</v>
      </c>
      <c r="Y525" s="169">
        <f t="shared" si="459"/>
        <v>0</v>
      </c>
      <c r="Z525" s="224"/>
    </row>
    <row r="526" spans="1:26" x14ac:dyDescent="0.15">
      <c r="A526" s="33" t="s">
        <v>921</v>
      </c>
      <c r="B526" s="16"/>
      <c r="C526" s="29">
        <v>1</v>
      </c>
      <c r="D526" s="17"/>
      <c r="E526" s="20"/>
      <c r="F526" s="45">
        <f t="shared" si="448"/>
        <v>1</v>
      </c>
      <c r="G526" s="16"/>
      <c r="H526" s="29"/>
      <c r="I526" s="17"/>
      <c r="J526" s="20"/>
      <c r="K526" s="45">
        <f t="shared" si="449"/>
        <v>0</v>
      </c>
      <c r="L526" s="104">
        <f t="shared" si="435"/>
        <v>1</v>
      </c>
      <c r="M526" s="56">
        <v>46051</v>
      </c>
      <c r="N526" s="11" t="s">
        <v>682</v>
      </c>
      <c r="O526" s="16"/>
      <c r="P526" s="29"/>
      <c r="Q526" s="17"/>
      <c r="R526" s="32"/>
      <c r="S526" s="9">
        <f t="shared" si="457"/>
        <v>0</v>
      </c>
      <c r="T526" s="206"/>
      <c r="U526" s="207"/>
      <c r="V526" s="208"/>
      <c r="W526" s="209"/>
      <c r="X526" s="9">
        <f t="shared" si="458"/>
        <v>0</v>
      </c>
      <c r="Y526" s="104">
        <f t="shared" si="459"/>
        <v>0</v>
      </c>
      <c r="Z526" s="157" t="s">
        <v>723</v>
      </c>
    </row>
    <row r="527" spans="1:26" x14ac:dyDescent="0.15">
      <c r="A527" s="47" t="s">
        <v>51</v>
      </c>
      <c r="B527" s="16"/>
      <c r="C527" s="29"/>
      <c r="D527" s="17">
        <v>1</v>
      </c>
      <c r="E527" s="20"/>
      <c r="F527" s="45">
        <f t="shared" si="448"/>
        <v>1</v>
      </c>
      <c r="G527" s="16"/>
      <c r="H527" s="29"/>
      <c r="I527" s="17"/>
      <c r="J527" s="20"/>
      <c r="K527" s="45">
        <f t="shared" si="449"/>
        <v>0</v>
      </c>
      <c r="L527" s="104">
        <f t="shared" si="435"/>
        <v>1</v>
      </c>
      <c r="M527" s="58">
        <v>46049</v>
      </c>
      <c r="N527" s="72" t="s">
        <v>645</v>
      </c>
      <c r="O527" s="166"/>
      <c r="P527" s="167"/>
      <c r="Q527" s="160"/>
      <c r="R527" s="168"/>
      <c r="S527" s="165">
        <f t="shared" si="457"/>
        <v>0</v>
      </c>
      <c r="T527" s="166"/>
      <c r="U527" s="167"/>
      <c r="V527" s="160"/>
      <c r="W527" s="168"/>
      <c r="X527" s="165">
        <f t="shared" si="458"/>
        <v>0</v>
      </c>
      <c r="Y527" s="169">
        <f t="shared" si="459"/>
        <v>0</v>
      </c>
      <c r="Z527" s="224"/>
    </row>
    <row r="528" spans="1:26" ht="14.25" thickBot="1" x14ac:dyDescent="0.2">
      <c r="A528" s="47" t="s">
        <v>926</v>
      </c>
      <c r="B528" s="37">
        <v>1</v>
      </c>
      <c r="C528" s="38"/>
      <c r="D528" s="39"/>
      <c r="E528" s="40"/>
      <c r="F528" s="45">
        <f t="shared" si="448"/>
        <v>1</v>
      </c>
      <c r="G528" s="37"/>
      <c r="H528" s="38"/>
      <c r="I528" s="39"/>
      <c r="J528" s="40"/>
      <c r="K528" s="45">
        <f t="shared" si="449"/>
        <v>0</v>
      </c>
      <c r="L528" s="104">
        <f t="shared" si="435"/>
        <v>1</v>
      </c>
      <c r="M528" s="58">
        <v>46050</v>
      </c>
      <c r="N528" s="128" t="s">
        <v>641</v>
      </c>
      <c r="O528" s="37"/>
      <c r="P528" s="38"/>
      <c r="Q528" s="39"/>
      <c r="R528" s="129"/>
      <c r="S528" s="10">
        <f t="shared" si="457"/>
        <v>0</v>
      </c>
      <c r="T528" s="37"/>
      <c r="U528" s="38"/>
      <c r="V528" s="39"/>
      <c r="W528" s="129"/>
      <c r="X528" s="10">
        <f t="shared" si="458"/>
        <v>0</v>
      </c>
      <c r="Y528" s="101">
        <f t="shared" si="459"/>
        <v>0</v>
      </c>
      <c r="Z528" s="157" t="s">
        <v>743</v>
      </c>
    </row>
    <row r="529" spans="1:28" ht="14.25" thickBot="1" x14ac:dyDescent="0.2">
      <c r="A529" s="13" t="s">
        <v>8</v>
      </c>
      <c r="B529" s="22">
        <f>SUM(B504:B528)</f>
        <v>2</v>
      </c>
      <c r="C529" s="30">
        <f>SUM(C504:C528)</f>
        <v>12</v>
      </c>
      <c r="D529" s="23">
        <f>SUM(D504:D528)</f>
        <v>11</v>
      </c>
      <c r="E529" s="24">
        <f>SUM(E504:E528)</f>
        <v>7</v>
      </c>
      <c r="F529" s="21">
        <f>SUM(B529:E529)</f>
        <v>32</v>
      </c>
      <c r="G529" s="22">
        <f>SUM(G504:G528)</f>
        <v>0</v>
      </c>
      <c r="H529" s="30">
        <f>SUM(H504:H528)</f>
        <v>4</v>
      </c>
      <c r="I529" s="23">
        <f>SUM(I504:I528)</f>
        <v>3</v>
      </c>
      <c r="J529" s="24">
        <f>SUM(J504:J528)</f>
        <v>2</v>
      </c>
      <c r="K529" s="21">
        <f>SUM(G529:J529)</f>
        <v>9</v>
      </c>
      <c r="L529" s="105">
        <f t="shared" si="435"/>
        <v>41</v>
      </c>
      <c r="N529" s="49" t="s">
        <v>8</v>
      </c>
      <c r="O529" s="22">
        <f>SUM(O504:O528)</f>
        <v>20</v>
      </c>
      <c r="P529" s="30">
        <f>SUM(P504:P528)</f>
        <v>33</v>
      </c>
      <c r="Q529" s="23">
        <f>SUM(Q504:Q528)</f>
        <v>29</v>
      </c>
      <c r="R529" s="24">
        <f>SUM(R504:R528)</f>
        <v>50</v>
      </c>
      <c r="S529" s="48">
        <f t="shared" ref="S529" si="463">SUM(O529:R529)</f>
        <v>132</v>
      </c>
      <c r="T529" s="22">
        <f>SUM(T504:T528)</f>
        <v>0</v>
      </c>
      <c r="U529" s="30">
        <f>SUM(U504:U528)</f>
        <v>3</v>
      </c>
      <c r="V529" s="23">
        <f>SUM(V504:V528)</f>
        <v>0</v>
      </c>
      <c r="W529" s="24">
        <f>SUM(W504:W528)</f>
        <v>0</v>
      </c>
      <c r="X529" s="48">
        <f t="shared" ref="X529" si="464">SUM(T529:W529)</f>
        <v>3</v>
      </c>
      <c r="Y529" s="122">
        <f t="shared" si="447"/>
        <v>135</v>
      </c>
    </row>
    <row r="530" spans="1:28" ht="14.25" thickBot="1" x14ac:dyDescent="0.2">
      <c r="A530" s="14" t="s">
        <v>9</v>
      </c>
      <c r="B530" s="25">
        <f t="shared" ref="B530:K530" si="465">B503-B529</f>
        <v>7</v>
      </c>
      <c r="C530" s="31">
        <f t="shared" si="465"/>
        <v>5</v>
      </c>
      <c r="D530" s="26">
        <f t="shared" si="465"/>
        <v>2</v>
      </c>
      <c r="E530" s="27">
        <f t="shared" si="465"/>
        <v>12</v>
      </c>
      <c r="F530" s="83">
        <f t="shared" si="465"/>
        <v>26</v>
      </c>
      <c r="G530" s="25">
        <f t="shared" si="465"/>
        <v>6</v>
      </c>
      <c r="H530" s="31">
        <f t="shared" si="465"/>
        <v>4</v>
      </c>
      <c r="I530" s="26">
        <f t="shared" si="465"/>
        <v>2</v>
      </c>
      <c r="J530" s="27">
        <f t="shared" si="465"/>
        <v>4</v>
      </c>
      <c r="K530" s="83">
        <f t="shared" si="465"/>
        <v>16</v>
      </c>
      <c r="L530" s="102">
        <f t="shared" si="435"/>
        <v>42</v>
      </c>
      <c r="N530" s="13" t="s">
        <v>9</v>
      </c>
      <c r="O530" s="25">
        <f t="shared" ref="O530:X530" si="466">O503-O529</f>
        <v>106</v>
      </c>
      <c r="P530" s="31">
        <f t="shared" si="466"/>
        <v>77</v>
      </c>
      <c r="Q530" s="26">
        <f t="shared" si="466"/>
        <v>108</v>
      </c>
      <c r="R530" s="27">
        <f t="shared" si="466"/>
        <v>78</v>
      </c>
      <c r="S530" s="36">
        <f t="shared" si="466"/>
        <v>369</v>
      </c>
      <c r="T530" s="25">
        <f t="shared" si="466"/>
        <v>31</v>
      </c>
      <c r="U530" s="31">
        <f t="shared" si="466"/>
        <v>32</v>
      </c>
      <c r="V530" s="26">
        <f t="shared" si="466"/>
        <v>88</v>
      </c>
      <c r="W530" s="27">
        <f t="shared" si="466"/>
        <v>64</v>
      </c>
      <c r="X530" s="36">
        <f t="shared" si="466"/>
        <v>215</v>
      </c>
      <c r="Y530" s="102">
        <f t="shared" si="447"/>
        <v>584</v>
      </c>
    </row>
    <row r="533" spans="1:28" ht="19.5" thickBot="1" x14ac:dyDescent="0.25">
      <c r="A533" s="2" t="s">
        <v>18</v>
      </c>
      <c r="B533" s="2"/>
      <c r="C533" s="1"/>
      <c r="D533" s="1"/>
      <c r="E533" s="1"/>
      <c r="F533" s="84"/>
      <c r="G533" s="2"/>
      <c r="H533" s="1" t="s">
        <v>157</v>
      </c>
      <c r="I533" s="1"/>
      <c r="J533" s="1"/>
      <c r="K533" s="84" t="s">
        <v>13</v>
      </c>
      <c r="L533" s="84"/>
      <c r="N533" s="2" t="s">
        <v>19</v>
      </c>
      <c r="O533" s="71"/>
      <c r="P533" s="71"/>
      <c r="Q533" s="71"/>
      <c r="R533" s="71"/>
      <c r="S533" s="84"/>
      <c r="T533" s="1" t="s">
        <v>157</v>
      </c>
      <c r="U533" s="71"/>
      <c r="V533" s="71"/>
      <c r="W533" s="71"/>
      <c r="X533" s="84" t="s">
        <v>13</v>
      </c>
    </row>
    <row r="534" spans="1:28" ht="14.25" thickBot="1" x14ac:dyDescent="0.2">
      <c r="A534" s="5" t="s">
        <v>0</v>
      </c>
      <c r="B534" s="322" t="s">
        <v>32</v>
      </c>
      <c r="C534" s="323"/>
      <c r="D534" s="323"/>
      <c r="E534" s="323"/>
      <c r="F534" s="324"/>
      <c r="G534" s="325" t="s">
        <v>31</v>
      </c>
      <c r="H534" s="326"/>
      <c r="I534" s="326"/>
      <c r="J534" s="326"/>
      <c r="K534" s="327"/>
      <c r="L534" s="320" t="s">
        <v>30</v>
      </c>
      <c r="N534" s="5" t="s">
        <v>0</v>
      </c>
      <c r="O534" s="322" t="s">
        <v>200</v>
      </c>
      <c r="P534" s="323"/>
      <c r="Q534" s="323"/>
      <c r="R534" s="323"/>
      <c r="S534" s="324"/>
      <c r="T534" s="325" t="s">
        <v>201</v>
      </c>
      <c r="U534" s="326"/>
      <c r="V534" s="326"/>
      <c r="W534" s="326"/>
      <c r="X534" s="327"/>
      <c r="Y534" s="320" t="s">
        <v>30</v>
      </c>
    </row>
    <row r="535" spans="1:28" ht="14.25" thickBot="1" x14ac:dyDescent="0.2">
      <c r="A535" s="5" t="s">
        <v>1</v>
      </c>
      <c r="B535" s="3" t="s">
        <v>22</v>
      </c>
      <c r="C535" s="28" t="s">
        <v>23</v>
      </c>
      <c r="D535" s="4" t="s">
        <v>24</v>
      </c>
      <c r="E535" s="15" t="s">
        <v>25</v>
      </c>
      <c r="F535" s="19" t="s">
        <v>2</v>
      </c>
      <c r="G535" s="3" t="s">
        <v>22</v>
      </c>
      <c r="H535" s="28" t="s">
        <v>23</v>
      </c>
      <c r="I535" s="4" t="s">
        <v>24</v>
      </c>
      <c r="J535" s="15" t="s">
        <v>25</v>
      </c>
      <c r="K535" s="19" t="s">
        <v>2</v>
      </c>
      <c r="L535" s="321"/>
      <c r="N535" s="5" t="s">
        <v>1</v>
      </c>
      <c r="O535" s="3" t="s">
        <v>22</v>
      </c>
      <c r="P535" s="28" t="s">
        <v>23</v>
      </c>
      <c r="Q535" s="4" t="s">
        <v>24</v>
      </c>
      <c r="R535" s="15" t="s">
        <v>25</v>
      </c>
      <c r="S535" s="19" t="s">
        <v>2</v>
      </c>
      <c r="T535" s="3" t="s">
        <v>22</v>
      </c>
      <c r="U535" s="28" t="s">
        <v>23</v>
      </c>
      <c r="V535" s="4" t="s">
        <v>24</v>
      </c>
      <c r="W535" s="15" t="s">
        <v>25</v>
      </c>
      <c r="X535" s="19" t="s">
        <v>2</v>
      </c>
      <c r="Y535" s="321"/>
    </row>
    <row r="536" spans="1:28" x14ac:dyDescent="0.15">
      <c r="A536" s="78" t="s">
        <v>10</v>
      </c>
      <c r="B536" s="79">
        <f>B530</f>
        <v>7</v>
      </c>
      <c r="C536" s="80">
        <f>C530</f>
        <v>5</v>
      </c>
      <c r="D536" s="80">
        <f>D530</f>
        <v>2</v>
      </c>
      <c r="E536" s="81">
        <f>E530</f>
        <v>12</v>
      </c>
      <c r="F536" s="82">
        <f>SUM(B536:E536)</f>
        <v>26</v>
      </c>
      <c r="G536" s="79">
        <f>G530</f>
        <v>6</v>
      </c>
      <c r="H536" s="80">
        <f>H530</f>
        <v>4</v>
      </c>
      <c r="I536" s="80">
        <f>I530</f>
        <v>2</v>
      </c>
      <c r="J536" s="81">
        <f>J530</f>
        <v>4</v>
      </c>
      <c r="K536" s="82">
        <f>SUM(G536:J536)</f>
        <v>16</v>
      </c>
      <c r="L536" s="98">
        <f>F536+K536</f>
        <v>42</v>
      </c>
      <c r="N536" s="78" t="s">
        <v>10</v>
      </c>
      <c r="O536" s="79">
        <f>O530</f>
        <v>106</v>
      </c>
      <c r="P536" s="80">
        <f>P530</f>
        <v>77</v>
      </c>
      <c r="Q536" s="80">
        <f>Q530</f>
        <v>108</v>
      </c>
      <c r="R536" s="81">
        <f>R530</f>
        <v>78</v>
      </c>
      <c r="S536" s="82">
        <f>SUM(O536:R536)</f>
        <v>369</v>
      </c>
      <c r="T536" s="79">
        <f>T530</f>
        <v>31</v>
      </c>
      <c r="U536" s="80">
        <f>U530</f>
        <v>32</v>
      </c>
      <c r="V536" s="80">
        <f>V530</f>
        <v>88</v>
      </c>
      <c r="W536" s="81">
        <f>W530</f>
        <v>64</v>
      </c>
      <c r="X536" s="82">
        <f>SUM(T536:W536)</f>
        <v>215</v>
      </c>
      <c r="Y536" s="98">
        <f>S536+X536</f>
        <v>584</v>
      </c>
    </row>
    <row r="537" spans="1:28" x14ac:dyDescent="0.15">
      <c r="A537" s="47" t="s">
        <v>925</v>
      </c>
      <c r="B537" s="41">
        <v>1</v>
      </c>
      <c r="C537" s="42"/>
      <c r="D537" s="43"/>
      <c r="E537" s="44"/>
      <c r="F537" s="70">
        <f t="shared" ref="F537" si="467">SUM(B537:E537)</f>
        <v>1</v>
      </c>
      <c r="G537" s="41">
        <v>1</v>
      </c>
      <c r="H537" s="42"/>
      <c r="I537" s="43"/>
      <c r="J537" s="44"/>
      <c r="K537" s="70">
        <f t="shared" ref="K537" si="468">SUM(G537:J537)</f>
        <v>1</v>
      </c>
      <c r="L537" s="103">
        <f t="shared" ref="L537" si="469">F537+K537</f>
        <v>2</v>
      </c>
      <c r="M537" s="56">
        <v>46050</v>
      </c>
      <c r="N537" s="12" t="s">
        <v>732</v>
      </c>
      <c r="O537" s="16"/>
      <c r="P537" s="29"/>
      <c r="Q537" s="17"/>
      <c r="R537" s="20"/>
      <c r="S537" s="45">
        <f t="shared" ref="S537:S538" si="470">SUM(O537:R537)</f>
        <v>0</v>
      </c>
      <c r="T537" s="16">
        <v>50</v>
      </c>
      <c r="U537" s="29">
        <v>70</v>
      </c>
      <c r="V537" s="17">
        <v>0</v>
      </c>
      <c r="W537" s="20">
        <v>30</v>
      </c>
      <c r="X537" s="45">
        <f t="shared" ref="X537:X538" si="471">SUM(T537:W537)</f>
        <v>150</v>
      </c>
      <c r="Y537" s="100">
        <f t="shared" ref="Y537:Y538" si="472">S537+X537</f>
        <v>150</v>
      </c>
      <c r="Z537" s="56" t="s">
        <v>892</v>
      </c>
      <c r="AA537" s="35"/>
      <c r="AB537" s="35"/>
    </row>
    <row r="538" spans="1:28" x14ac:dyDescent="0.15">
      <c r="A538" s="283" t="s">
        <v>4</v>
      </c>
      <c r="B538" s="284"/>
      <c r="C538" s="285"/>
      <c r="D538" s="286">
        <v>3</v>
      </c>
      <c r="E538" s="287"/>
      <c r="F538" s="270">
        <f>SUM(B538:E538)</f>
        <v>3</v>
      </c>
      <c r="G538" s="284"/>
      <c r="H538" s="285"/>
      <c r="I538" s="286">
        <v>3</v>
      </c>
      <c r="J538" s="287"/>
      <c r="K538" s="270">
        <f>SUM(G538:J538)</f>
        <v>3</v>
      </c>
      <c r="L538" s="288">
        <f t="shared" ref="L538:L568" si="473">F538+K538</f>
        <v>6</v>
      </c>
      <c r="M538" s="261">
        <v>46051</v>
      </c>
      <c r="N538" s="12" t="s">
        <v>47</v>
      </c>
      <c r="O538" s="16"/>
      <c r="P538" s="29"/>
      <c r="Q538" s="17"/>
      <c r="R538" s="20"/>
      <c r="S538" s="45">
        <f t="shared" si="470"/>
        <v>0</v>
      </c>
      <c r="T538" s="16">
        <v>6</v>
      </c>
      <c r="U538" s="29">
        <v>4</v>
      </c>
      <c r="V538" s="17"/>
      <c r="W538" s="20">
        <v>6</v>
      </c>
      <c r="X538" s="45">
        <f t="shared" si="471"/>
        <v>16</v>
      </c>
      <c r="Y538" s="100">
        <f t="shared" si="472"/>
        <v>16</v>
      </c>
      <c r="Z538" s="157"/>
      <c r="AA538" s="35"/>
      <c r="AB538" s="35"/>
    </row>
    <row r="539" spans="1:28" x14ac:dyDescent="0.15">
      <c r="A539" s="12" t="s">
        <v>66</v>
      </c>
      <c r="B539" s="6"/>
      <c r="C539" s="18">
        <v>-1</v>
      </c>
      <c r="D539" s="7"/>
      <c r="E539" s="8"/>
      <c r="F539" s="9">
        <f>SUM(B539:E539)</f>
        <v>-1</v>
      </c>
      <c r="G539" s="6"/>
      <c r="H539" s="18"/>
      <c r="I539" s="7"/>
      <c r="J539" s="8"/>
      <c r="K539" s="9">
        <f>SUM(G539:J539)</f>
        <v>0</v>
      </c>
      <c r="L539" s="100">
        <f t="shared" si="473"/>
        <v>-1</v>
      </c>
      <c r="M539" s="58">
        <v>46051</v>
      </c>
      <c r="N539" s="12" t="s">
        <v>888</v>
      </c>
      <c r="O539" s="16">
        <v>0</v>
      </c>
      <c r="P539" s="29">
        <v>40</v>
      </c>
      <c r="Q539" s="17">
        <v>10</v>
      </c>
      <c r="R539" s="20">
        <v>30</v>
      </c>
      <c r="S539" s="45">
        <f t="shared" ref="S539" si="474">SUM(O539:R539)</f>
        <v>80</v>
      </c>
      <c r="T539" s="16"/>
      <c r="U539" s="29"/>
      <c r="V539" s="17"/>
      <c r="W539" s="20"/>
      <c r="X539" s="45">
        <f t="shared" ref="X539" si="475">SUM(T539:W539)</f>
        <v>0</v>
      </c>
      <c r="Y539" s="100">
        <f t="shared" ref="Y539" si="476">S539+X539</f>
        <v>80</v>
      </c>
      <c r="Z539" s="56" t="s">
        <v>893</v>
      </c>
      <c r="AA539" s="35"/>
      <c r="AB539" s="35"/>
    </row>
    <row r="540" spans="1:28" ht="14.25" thickBot="1" x14ac:dyDescent="0.2">
      <c r="A540" s="283" t="s">
        <v>6</v>
      </c>
      <c r="B540" s="284"/>
      <c r="C540" s="285"/>
      <c r="D540" s="286">
        <v>3</v>
      </c>
      <c r="E540" s="287"/>
      <c r="F540" s="300">
        <f>SUM(B540:E540)</f>
        <v>3</v>
      </c>
      <c r="G540" s="284"/>
      <c r="H540" s="285"/>
      <c r="I540" s="286"/>
      <c r="J540" s="287"/>
      <c r="K540" s="300">
        <f>SUM(G540:J540)</f>
        <v>0</v>
      </c>
      <c r="L540" s="301">
        <f t="shared" si="473"/>
        <v>3</v>
      </c>
      <c r="M540" s="261">
        <v>46056</v>
      </c>
      <c r="N540" s="12" t="s">
        <v>734</v>
      </c>
      <c r="O540" s="16"/>
      <c r="P540" s="29"/>
      <c r="Q540" s="17">
        <v>60</v>
      </c>
      <c r="R540" s="20">
        <v>60</v>
      </c>
      <c r="S540" s="45">
        <f t="shared" ref="S540" si="477">SUM(O540:R540)</f>
        <v>120</v>
      </c>
      <c r="T540" s="16"/>
      <c r="U540" s="29"/>
      <c r="V540" s="17"/>
      <c r="W540" s="20"/>
      <c r="X540" s="45">
        <f t="shared" ref="X540" si="478">SUM(T540:W540)</f>
        <v>0</v>
      </c>
      <c r="Y540" s="100">
        <f t="shared" ref="Y540" si="479">S540+X540</f>
        <v>120</v>
      </c>
      <c r="Z540" s="56" t="s">
        <v>894</v>
      </c>
      <c r="AA540" s="35"/>
      <c r="AB540" s="35"/>
    </row>
    <row r="541" spans="1:28" ht="14.25" thickBot="1" x14ac:dyDescent="0.2">
      <c r="A541" s="14" t="s">
        <v>7</v>
      </c>
      <c r="B541" s="62">
        <f t="shared" ref="B541:K541" si="480">SUM(B536:B540)</f>
        <v>8</v>
      </c>
      <c r="C541" s="63">
        <f t="shared" si="480"/>
        <v>4</v>
      </c>
      <c r="D541" s="64">
        <f t="shared" si="480"/>
        <v>8</v>
      </c>
      <c r="E541" s="65">
        <f t="shared" si="480"/>
        <v>12</v>
      </c>
      <c r="F541" s="66">
        <f t="shared" si="480"/>
        <v>32</v>
      </c>
      <c r="G541" s="62">
        <f t="shared" si="480"/>
        <v>7</v>
      </c>
      <c r="H541" s="63">
        <f t="shared" si="480"/>
        <v>4</v>
      </c>
      <c r="I541" s="64">
        <f t="shared" si="480"/>
        <v>5</v>
      </c>
      <c r="J541" s="65">
        <f t="shared" si="480"/>
        <v>4</v>
      </c>
      <c r="K541" s="66">
        <f t="shared" si="480"/>
        <v>20</v>
      </c>
      <c r="L541" s="102">
        <f t="shared" si="473"/>
        <v>52</v>
      </c>
      <c r="N541" s="13" t="s">
        <v>7</v>
      </c>
      <c r="O541" s="25">
        <f t="shared" ref="O541:X541" si="481">SUM(O536:O540)</f>
        <v>106</v>
      </c>
      <c r="P541" s="31">
        <f t="shared" si="481"/>
        <v>117</v>
      </c>
      <c r="Q541" s="26">
        <f t="shared" si="481"/>
        <v>178</v>
      </c>
      <c r="R541" s="67">
        <f t="shared" si="481"/>
        <v>168</v>
      </c>
      <c r="S541" s="68">
        <f t="shared" si="481"/>
        <v>569</v>
      </c>
      <c r="T541" s="25">
        <f t="shared" si="481"/>
        <v>87</v>
      </c>
      <c r="U541" s="31">
        <f t="shared" si="481"/>
        <v>106</v>
      </c>
      <c r="V541" s="26">
        <f t="shared" si="481"/>
        <v>88</v>
      </c>
      <c r="W541" s="67">
        <f t="shared" si="481"/>
        <v>100</v>
      </c>
      <c r="X541" s="68">
        <f t="shared" si="481"/>
        <v>381</v>
      </c>
      <c r="Y541" s="102">
        <f t="shared" ref="Y541:Y568" si="482">S541+X541</f>
        <v>950</v>
      </c>
    </row>
    <row r="542" spans="1:28" x14ac:dyDescent="0.15">
      <c r="A542" s="47" t="s">
        <v>930</v>
      </c>
      <c r="B542" s="41"/>
      <c r="C542" s="42"/>
      <c r="D542" s="43"/>
      <c r="E542" s="44">
        <v>5</v>
      </c>
      <c r="F542" s="70">
        <f t="shared" ref="F542:F566" si="483">SUM(B542:E542)</f>
        <v>5</v>
      </c>
      <c r="G542" s="41"/>
      <c r="H542" s="42"/>
      <c r="I542" s="43"/>
      <c r="J542" s="44"/>
      <c r="K542" s="70">
        <f t="shared" ref="K542:K566" si="484">SUM(G542:J542)</f>
        <v>0</v>
      </c>
      <c r="L542" s="103">
        <f t="shared" si="473"/>
        <v>5</v>
      </c>
      <c r="M542" s="58">
        <v>46053</v>
      </c>
      <c r="N542" s="11" t="s">
        <v>875</v>
      </c>
      <c r="O542" s="16">
        <v>20</v>
      </c>
      <c r="P542" s="29">
        <v>25</v>
      </c>
      <c r="Q542" s="17">
        <v>20</v>
      </c>
      <c r="R542" s="32">
        <v>15</v>
      </c>
      <c r="S542" s="9">
        <f t="shared" ref="S542:S547" si="485">SUM(O542:R542)</f>
        <v>80</v>
      </c>
      <c r="T542" s="16">
        <v>10</v>
      </c>
      <c r="U542" s="29">
        <v>10</v>
      </c>
      <c r="V542" s="17">
        <v>10</v>
      </c>
      <c r="W542" s="32">
        <v>10</v>
      </c>
      <c r="X542" s="9">
        <f t="shared" ref="X542:X547" si="486">SUM(T542:W542)</f>
        <v>40</v>
      </c>
      <c r="Y542" s="103">
        <f t="shared" si="482"/>
        <v>120</v>
      </c>
      <c r="Z542" s="56">
        <v>45666</v>
      </c>
    </row>
    <row r="543" spans="1:28" x14ac:dyDescent="0.15">
      <c r="A543" s="33" t="s">
        <v>931</v>
      </c>
      <c r="B543" s="16">
        <v>1</v>
      </c>
      <c r="C543" s="29">
        <v>2</v>
      </c>
      <c r="D543" s="17">
        <v>2</v>
      </c>
      <c r="E543" s="20">
        <v>2</v>
      </c>
      <c r="F543" s="45">
        <f t="shared" si="483"/>
        <v>7</v>
      </c>
      <c r="G543" s="16"/>
      <c r="H543" s="29">
        <v>1</v>
      </c>
      <c r="I543" s="17">
        <v>1</v>
      </c>
      <c r="J543" s="20">
        <v>1</v>
      </c>
      <c r="K543" s="45">
        <f t="shared" si="484"/>
        <v>3</v>
      </c>
      <c r="L543" s="104">
        <f t="shared" si="473"/>
        <v>10</v>
      </c>
      <c r="M543" s="56">
        <v>46057</v>
      </c>
      <c r="N543" s="11" t="s">
        <v>879</v>
      </c>
      <c r="O543" s="16">
        <v>20</v>
      </c>
      <c r="P543" s="29">
        <v>20</v>
      </c>
      <c r="Q543" s="17">
        <v>20</v>
      </c>
      <c r="R543" s="32">
        <v>20</v>
      </c>
      <c r="S543" s="9">
        <f t="shared" si="485"/>
        <v>80</v>
      </c>
      <c r="T543" s="206"/>
      <c r="U543" s="207"/>
      <c r="V543" s="208"/>
      <c r="W543" s="209"/>
      <c r="X543" s="9">
        <f t="shared" si="486"/>
        <v>0</v>
      </c>
      <c r="Y543" s="104">
        <f t="shared" si="482"/>
        <v>80</v>
      </c>
      <c r="Z543" s="56">
        <v>46045</v>
      </c>
    </row>
    <row r="544" spans="1:28" x14ac:dyDescent="0.15">
      <c r="A544" s="47" t="s">
        <v>51</v>
      </c>
      <c r="B544" s="16"/>
      <c r="C544" s="29"/>
      <c r="D544" s="17">
        <v>2</v>
      </c>
      <c r="E544" s="20"/>
      <c r="F544" s="45">
        <f t="shared" si="483"/>
        <v>2</v>
      </c>
      <c r="G544" s="16"/>
      <c r="H544" s="29"/>
      <c r="I544" s="17"/>
      <c r="J544" s="20"/>
      <c r="K544" s="45">
        <f t="shared" si="484"/>
        <v>0</v>
      </c>
      <c r="L544" s="104">
        <f t="shared" si="473"/>
        <v>2</v>
      </c>
      <c r="M544" s="58">
        <v>46055</v>
      </c>
      <c r="N544" s="11" t="s">
        <v>895</v>
      </c>
      <c r="O544" s="16"/>
      <c r="P544" s="29">
        <v>10</v>
      </c>
      <c r="Q544" s="17">
        <v>10</v>
      </c>
      <c r="R544" s="32">
        <v>10</v>
      </c>
      <c r="S544" s="9">
        <f t="shared" si="485"/>
        <v>30</v>
      </c>
      <c r="T544" s="206"/>
      <c r="U544" s="207"/>
      <c r="V544" s="208"/>
      <c r="W544" s="209"/>
      <c r="X544" s="9">
        <f t="shared" si="486"/>
        <v>0</v>
      </c>
      <c r="Y544" s="104">
        <f t="shared" si="482"/>
        <v>30</v>
      </c>
      <c r="Z544" s="56">
        <v>46051</v>
      </c>
    </row>
    <row r="545" spans="1:27" x14ac:dyDescent="0.15">
      <c r="A545" s="47" t="s">
        <v>51</v>
      </c>
      <c r="B545" s="16"/>
      <c r="C545" s="29"/>
      <c r="D545" s="17"/>
      <c r="E545" s="20"/>
      <c r="F545" s="45">
        <f t="shared" si="483"/>
        <v>0</v>
      </c>
      <c r="G545" s="16"/>
      <c r="H545" s="29">
        <v>1</v>
      </c>
      <c r="I545" s="17"/>
      <c r="J545" s="20"/>
      <c r="K545" s="45">
        <f t="shared" si="484"/>
        <v>1</v>
      </c>
      <c r="L545" s="104">
        <f t="shared" si="473"/>
        <v>1</v>
      </c>
      <c r="M545" s="58">
        <v>46056</v>
      </c>
      <c r="N545" s="11" t="s">
        <v>898</v>
      </c>
      <c r="O545" s="16"/>
      <c r="P545" s="29"/>
      <c r="Q545" s="17"/>
      <c r="R545" s="32"/>
      <c r="S545" s="9">
        <f t="shared" si="485"/>
        <v>0</v>
      </c>
      <c r="T545" s="16"/>
      <c r="U545" s="29">
        <v>5</v>
      </c>
      <c r="V545" s="17">
        <v>15</v>
      </c>
      <c r="W545" s="32">
        <v>15</v>
      </c>
      <c r="X545" s="9">
        <f t="shared" si="486"/>
        <v>35</v>
      </c>
      <c r="Y545" s="104">
        <f t="shared" si="482"/>
        <v>35</v>
      </c>
      <c r="Z545" s="56">
        <v>46037</v>
      </c>
    </row>
    <row r="546" spans="1:27" x14ac:dyDescent="0.15">
      <c r="A546" s="254" t="s">
        <v>936</v>
      </c>
      <c r="B546" s="255"/>
      <c r="C546" s="256">
        <v>-3</v>
      </c>
      <c r="D546" s="257"/>
      <c r="E546" s="258"/>
      <c r="F546" s="259">
        <f t="shared" si="483"/>
        <v>-3</v>
      </c>
      <c r="G546" s="255"/>
      <c r="H546" s="256">
        <v>-3</v>
      </c>
      <c r="I546" s="257"/>
      <c r="J546" s="258"/>
      <c r="K546" s="259">
        <f t="shared" si="484"/>
        <v>-3</v>
      </c>
      <c r="L546" s="260">
        <f t="shared" si="473"/>
        <v>-6</v>
      </c>
      <c r="M546" s="261">
        <v>46057</v>
      </c>
      <c r="N546" s="11" t="s">
        <v>899</v>
      </c>
      <c r="O546" s="16"/>
      <c r="P546" s="29">
        <v>10</v>
      </c>
      <c r="Q546" s="17">
        <v>15</v>
      </c>
      <c r="R546" s="32">
        <v>5</v>
      </c>
      <c r="S546" s="9">
        <f t="shared" si="485"/>
        <v>30</v>
      </c>
      <c r="T546" s="16">
        <v>5</v>
      </c>
      <c r="U546" s="29">
        <v>5</v>
      </c>
      <c r="V546" s="17"/>
      <c r="W546" s="32">
        <v>10</v>
      </c>
      <c r="X546" s="9">
        <f t="shared" si="486"/>
        <v>20</v>
      </c>
      <c r="Y546" s="104">
        <f t="shared" si="482"/>
        <v>50</v>
      </c>
      <c r="Z546" s="56">
        <v>46038</v>
      </c>
    </row>
    <row r="547" spans="1:27" x14ac:dyDescent="0.15">
      <c r="A547" s="47" t="s">
        <v>938</v>
      </c>
      <c r="B547" s="16"/>
      <c r="C547" s="29"/>
      <c r="D547" s="17" t="s">
        <v>933</v>
      </c>
      <c r="E547" s="20">
        <v>-1</v>
      </c>
      <c r="F547" s="45">
        <f t="shared" si="483"/>
        <v>-1</v>
      </c>
      <c r="G547" s="16"/>
      <c r="H547" s="29"/>
      <c r="I547" s="17"/>
      <c r="J547" s="20"/>
      <c r="K547" s="45">
        <f t="shared" si="484"/>
        <v>0</v>
      </c>
      <c r="L547" s="104">
        <f t="shared" si="473"/>
        <v>-1</v>
      </c>
      <c r="M547" s="58">
        <v>46058</v>
      </c>
      <c r="N547" s="11" t="s">
        <v>905</v>
      </c>
      <c r="O547" s="16">
        <v>5</v>
      </c>
      <c r="P547" s="29">
        <v>15</v>
      </c>
      <c r="Q547" s="17"/>
      <c r="R547" s="32">
        <v>10</v>
      </c>
      <c r="S547" s="9">
        <f t="shared" si="485"/>
        <v>30</v>
      </c>
      <c r="T547" s="206"/>
      <c r="U547" s="207"/>
      <c r="V547" s="208"/>
      <c r="W547" s="209"/>
      <c r="X547" s="9">
        <f t="shared" si="486"/>
        <v>0</v>
      </c>
      <c r="Y547" s="104">
        <f t="shared" si="482"/>
        <v>30</v>
      </c>
      <c r="Z547" s="56">
        <v>46058</v>
      </c>
    </row>
    <row r="548" spans="1:27" x14ac:dyDescent="0.15">
      <c r="A548" s="33" t="s">
        <v>939</v>
      </c>
      <c r="B548" s="16">
        <v>1</v>
      </c>
      <c r="C548" s="29"/>
      <c r="D548" s="17"/>
      <c r="E548" s="20"/>
      <c r="F548" s="45">
        <f t="shared" si="483"/>
        <v>1</v>
      </c>
      <c r="G548" s="16"/>
      <c r="H548" s="29"/>
      <c r="I548" s="17"/>
      <c r="J548" s="20"/>
      <c r="K548" s="45">
        <f t="shared" si="484"/>
        <v>0</v>
      </c>
      <c r="L548" s="104">
        <f t="shared" si="473"/>
        <v>1</v>
      </c>
      <c r="M548" s="56">
        <v>46062</v>
      </c>
      <c r="N548" s="11" t="s">
        <v>918</v>
      </c>
      <c r="O548" s="16">
        <v>5</v>
      </c>
      <c r="P548" s="29">
        <v>10</v>
      </c>
      <c r="Q548" s="17"/>
      <c r="R548" s="32"/>
      <c r="S548" s="9">
        <f>SUM(O548:R548)</f>
        <v>15</v>
      </c>
      <c r="T548" s="206"/>
      <c r="U548" s="207"/>
      <c r="V548" s="208"/>
      <c r="W548" s="209"/>
      <c r="X548" s="9">
        <f>SUM(T548:W548)</f>
        <v>0</v>
      </c>
      <c r="Y548" s="104">
        <f t="shared" si="482"/>
        <v>15</v>
      </c>
      <c r="Z548" s="56">
        <v>46065</v>
      </c>
    </row>
    <row r="549" spans="1:27" x14ac:dyDescent="0.15">
      <c r="A549" s="47" t="s">
        <v>941</v>
      </c>
      <c r="B549" s="16"/>
      <c r="C549" s="29"/>
      <c r="D549" s="17"/>
      <c r="E549" s="20"/>
      <c r="F549" s="45">
        <f t="shared" si="483"/>
        <v>0</v>
      </c>
      <c r="G549" s="16">
        <v>3</v>
      </c>
      <c r="H549" s="29"/>
      <c r="I549" s="17"/>
      <c r="J549" s="20"/>
      <c r="K549" s="45">
        <f t="shared" si="484"/>
        <v>3</v>
      </c>
      <c r="L549" s="104">
        <f t="shared" si="473"/>
        <v>3</v>
      </c>
      <c r="M549" s="58">
        <v>46060</v>
      </c>
      <c r="N549" s="268" t="s">
        <v>861</v>
      </c>
      <c r="O549" s="255"/>
      <c r="P549" s="256"/>
      <c r="Q549" s="257">
        <v>3</v>
      </c>
      <c r="R549" s="269"/>
      <c r="S549" s="270">
        <f t="shared" ref="S549:S553" si="487">SUM(O549:R549)</f>
        <v>3</v>
      </c>
      <c r="T549" s="255"/>
      <c r="U549" s="256"/>
      <c r="V549" s="257">
        <v>3</v>
      </c>
      <c r="W549" s="269"/>
      <c r="X549" s="270">
        <f t="shared" ref="X549:X553" si="488">SUM(T549:W549)</f>
        <v>3</v>
      </c>
      <c r="Y549" s="260">
        <f t="shared" si="482"/>
        <v>6</v>
      </c>
      <c r="Z549" s="261">
        <v>46051</v>
      </c>
    </row>
    <row r="550" spans="1:27" x14ac:dyDescent="0.15">
      <c r="A550" s="47" t="s">
        <v>51</v>
      </c>
      <c r="B550" s="16"/>
      <c r="C550" s="29">
        <v>1</v>
      </c>
      <c r="D550" s="17">
        <v>1</v>
      </c>
      <c r="E550" s="20"/>
      <c r="F550" s="45">
        <f t="shared" si="483"/>
        <v>2</v>
      </c>
      <c r="G550" s="16"/>
      <c r="H550" s="29"/>
      <c r="I550" s="17"/>
      <c r="J550" s="20"/>
      <c r="K550" s="45">
        <f t="shared" si="484"/>
        <v>0</v>
      </c>
      <c r="L550" s="104">
        <f t="shared" si="473"/>
        <v>2</v>
      </c>
      <c r="M550" s="58">
        <v>46065</v>
      </c>
      <c r="N550" s="11" t="s">
        <v>932</v>
      </c>
      <c r="O550" s="16">
        <v>5</v>
      </c>
      <c r="P550" s="29"/>
      <c r="Q550" s="17"/>
      <c r="R550" s="32"/>
      <c r="S550" s="9">
        <f t="shared" si="487"/>
        <v>5</v>
      </c>
      <c r="T550" s="206"/>
      <c r="U550" s="207"/>
      <c r="V550" s="208"/>
      <c r="W550" s="209"/>
      <c r="X550" s="9">
        <f t="shared" si="488"/>
        <v>0</v>
      </c>
      <c r="Y550" s="104">
        <f t="shared" si="482"/>
        <v>5</v>
      </c>
      <c r="Z550" s="56">
        <v>46071</v>
      </c>
    </row>
    <row r="551" spans="1:27" x14ac:dyDescent="0.15">
      <c r="A551" s="47" t="s">
        <v>51</v>
      </c>
      <c r="B551" s="16"/>
      <c r="C551" s="29">
        <v>1</v>
      </c>
      <c r="D551" s="17"/>
      <c r="E551" s="20"/>
      <c r="F551" s="45">
        <f t="shared" si="483"/>
        <v>1</v>
      </c>
      <c r="G551" s="16"/>
      <c r="H551" s="29"/>
      <c r="I551" s="17"/>
      <c r="J551" s="20"/>
      <c r="K551" s="45">
        <f t="shared" si="484"/>
        <v>0</v>
      </c>
      <c r="L551" s="104">
        <f t="shared" si="473"/>
        <v>1</v>
      </c>
      <c r="M551" s="58">
        <v>46069</v>
      </c>
      <c r="N551" s="268" t="s">
        <v>861</v>
      </c>
      <c r="O551" s="255"/>
      <c r="P551" s="256"/>
      <c r="Q551" s="257">
        <v>3</v>
      </c>
      <c r="R551" s="269"/>
      <c r="S551" s="270">
        <f t="shared" si="487"/>
        <v>3</v>
      </c>
      <c r="T551" s="255"/>
      <c r="U551" s="256"/>
      <c r="V551" s="257"/>
      <c r="W551" s="269"/>
      <c r="X551" s="270">
        <f t="shared" si="488"/>
        <v>0</v>
      </c>
      <c r="Y551" s="260">
        <f t="shared" si="482"/>
        <v>3</v>
      </c>
      <c r="Z551" s="261">
        <v>46056</v>
      </c>
    </row>
    <row r="552" spans="1:27" x14ac:dyDescent="0.15">
      <c r="A552" s="47" t="s">
        <v>51</v>
      </c>
      <c r="B552" s="16"/>
      <c r="C552" s="29"/>
      <c r="D552" s="17"/>
      <c r="E552" s="20"/>
      <c r="F552" s="45">
        <f t="shared" si="483"/>
        <v>0</v>
      </c>
      <c r="G552" s="16"/>
      <c r="H552" s="29">
        <v>1</v>
      </c>
      <c r="I552" s="17"/>
      <c r="J552" s="20"/>
      <c r="K552" s="45">
        <f t="shared" si="484"/>
        <v>1</v>
      </c>
      <c r="L552" s="104">
        <f t="shared" si="473"/>
        <v>1</v>
      </c>
      <c r="M552" s="58">
        <v>46070</v>
      </c>
      <c r="N552" s="268" t="s">
        <v>861</v>
      </c>
      <c r="O552" s="255"/>
      <c r="P552" s="256">
        <v>3</v>
      </c>
      <c r="Q552" s="257"/>
      <c r="R552" s="269"/>
      <c r="S552" s="270">
        <f t="shared" si="487"/>
        <v>3</v>
      </c>
      <c r="T552" s="255"/>
      <c r="U552" s="256">
        <v>3</v>
      </c>
      <c r="V552" s="257"/>
      <c r="W552" s="269"/>
      <c r="X552" s="270">
        <f t="shared" si="488"/>
        <v>3</v>
      </c>
      <c r="Y552" s="260">
        <f t="shared" si="482"/>
        <v>6</v>
      </c>
      <c r="Z552" s="261">
        <v>46057</v>
      </c>
    </row>
    <row r="553" spans="1:27" x14ac:dyDescent="0.15">
      <c r="A553" s="33" t="s">
        <v>956</v>
      </c>
      <c r="B553" s="16"/>
      <c r="C553" s="29">
        <v>1</v>
      </c>
      <c r="D553" s="17"/>
      <c r="E553" s="20"/>
      <c r="F553" s="45">
        <f t="shared" si="483"/>
        <v>1</v>
      </c>
      <c r="G553" s="16"/>
      <c r="H553" s="29">
        <v>1</v>
      </c>
      <c r="I553" s="17"/>
      <c r="J553" s="20"/>
      <c r="K553" s="45">
        <f t="shared" si="484"/>
        <v>1</v>
      </c>
      <c r="L553" s="104">
        <f t="shared" si="473"/>
        <v>2</v>
      </c>
      <c r="M553" s="56">
        <v>46073</v>
      </c>
      <c r="N553" s="11" t="s">
        <v>943</v>
      </c>
      <c r="O553" s="16"/>
      <c r="P553" s="29">
        <v>10</v>
      </c>
      <c r="Q553" s="17">
        <v>10</v>
      </c>
      <c r="R553" s="32"/>
      <c r="S553" s="9">
        <f t="shared" si="487"/>
        <v>20</v>
      </c>
      <c r="T553" s="206"/>
      <c r="U553" s="207"/>
      <c r="V553" s="208"/>
      <c r="W553" s="209"/>
      <c r="X553" s="9">
        <f t="shared" si="488"/>
        <v>0</v>
      </c>
      <c r="Y553" s="104">
        <f t="shared" si="482"/>
        <v>20</v>
      </c>
      <c r="Z553" s="56">
        <v>46079</v>
      </c>
    </row>
    <row r="554" spans="1:27" x14ac:dyDescent="0.15">
      <c r="A554" s="33" t="s">
        <v>697</v>
      </c>
      <c r="B554" s="16"/>
      <c r="C554" s="29"/>
      <c r="D554" s="17"/>
      <c r="E554" s="20">
        <v>1</v>
      </c>
      <c r="F554" s="45">
        <f t="shared" si="483"/>
        <v>1</v>
      </c>
      <c r="G554" s="16"/>
      <c r="H554" s="29"/>
      <c r="I554" s="17"/>
      <c r="J554" s="20"/>
      <c r="K554" s="45">
        <f t="shared" si="484"/>
        <v>0</v>
      </c>
      <c r="L554" s="104">
        <f t="shared" si="473"/>
        <v>1</v>
      </c>
      <c r="M554" s="56">
        <v>46073</v>
      </c>
      <c r="N554" s="11" t="s">
        <v>945</v>
      </c>
      <c r="O554" s="16">
        <v>10</v>
      </c>
      <c r="P554" s="29">
        <v>10</v>
      </c>
      <c r="Q554" s="17">
        <v>10</v>
      </c>
      <c r="R554" s="32">
        <v>10</v>
      </c>
      <c r="S554" s="9">
        <f>SUM(O554:R554)</f>
        <v>40</v>
      </c>
      <c r="T554" s="206"/>
      <c r="U554" s="207"/>
      <c r="V554" s="208"/>
      <c r="W554" s="209"/>
      <c r="X554" s="9">
        <f>SUM(T554:W554)</f>
        <v>0</v>
      </c>
      <c r="Y554" s="104">
        <f t="shared" si="482"/>
        <v>40</v>
      </c>
      <c r="Z554" s="56">
        <v>46066</v>
      </c>
      <c r="AA554" s="35"/>
    </row>
    <row r="555" spans="1:27" x14ac:dyDescent="0.15">
      <c r="A555" s="47" t="s">
        <v>961</v>
      </c>
      <c r="B555" s="16"/>
      <c r="C555" s="29"/>
      <c r="D555" s="17">
        <v>-1</v>
      </c>
      <c r="E555" s="20"/>
      <c r="F555" s="45">
        <f t="shared" si="483"/>
        <v>-1</v>
      </c>
      <c r="G555" s="16"/>
      <c r="H555" s="29"/>
      <c r="I555" s="17"/>
      <c r="J555" s="20"/>
      <c r="K555" s="45">
        <f t="shared" si="484"/>
        <v>0</v>
      </c>
      <c r="L555" s="104">
        <f t="shared" si="473"/>
        <v>-1</v>
      </c>
      <c r="M555" s="58">
        <v>46070</v>
      </c>
      <c r="N555" s="33" t="s">
        <v>954</v>
      </c>
      <c r="O555" s="16">
        <v>3</v>
      </c>
      <c r="P555" s="29">
        <v>2</v>
      </c>
      <c r="Q555" s="17"/>
      <c r="R555" s="32"/>
      <c r="S555" s="9">
        <f>SUM(O555:R555)</f>
        <v>5</v>
      </c>
      <c r="T555" s="16"/>
      <c r="U555" s="29">
        <v>3</v>
      </c>
      <c r="V555" s="17"/>
      <c r="W555" s="32"/>
      <c r="X555" s="9">
        <f>SUM(T555:W555)</f>
        <v>3</v>
      </c>
      <c r="Y555" s="104">
        <f t="shared" si="482"/>
        <v>8</v>
      </c>
      <c r="Z555" s="56">
        <v>46072</v>
      </c>
      <c r="AA555" s="35"/>
    </row>
    <row r="556" spans="1:27" x14ac:dyDescent="0.15">
      <c r="A556" s="33" t="s">
        <v>51</v>
      </c>
      <c r="B556" s="16">
        <v>1</v>
      </c>
      <c r="C556" s="29"/>
      <c r="D556" s="17"/>
      <c r="E556" s="20">
        <v>1</v>
      </c>
      <c r="F556" s="45">
        <f t="shared" si="483"/>
        <v>2</v>
      </c>
      <c r="G556" s="16"/>
      <c r="H556" s="29"/>
      <c r="I556" s="17"/>
      <c r="J556" s="20"/>
      <c r="K556" s="45">
        <f t="shared" si="484"/>
        <v>0</v>
      </c>
      <c r="L556" s="104">
        <f t="shared" si="473"/>
        <v>2</v>
      </c>
      <c r="M556" s="58">
        <v>46072</v>
      </c>
      <c r="N556" s="33" t="s">
        <v>955</v>
      </c>
      <c r="O556" s="16"/>
      <c r="P556" s="29"/>
      <c r="Q556" s="17"/>
      <c r="R556" s="32"/>
      <c r="S556" s="9">
        <f t="shared" ref="S556:S567" si="489">SUM(O556:R556)</f>
        <v>0</v>
      </c>
      <c r="T556" s="16"/>
      <c r="U556" s="29"/>
      <c r="V556" s="17">
        <v>1</v>
      </c>
      <c r="W556" s="32"/>
      <c r="X556" s="9">
        <f t="shared" ref="X556:X567" si="490">SUM(T556:W556)</f>
        <v>1</v>
      </c>
      <c r="Y556" s="104">
        <f t="shared" si="482"/>
        <v>1</v>
      </c>
      <c r="Z556" s="56">
        <v>46078</v>
      </c>
    </row>
    <row r="557" spans="1:27" x14ac:dyDescent="0.15">
      <c r="A557" s="47" t="s">
        <v>119</v>
      </c>
      <c r="B557" s="16"/>
      <c r="C557" s="29">
        <v>-3</v>
      </c>
      <c r="D557" s="17"/>
      <c r="E557" s="20"/>
      <c r="F557" s="45">
        <f t="shared" si="483"/>
        <v>-3</v>
      </c>
      <c r="G557" s="16"/>
      <c r="H557" s="29"/>
      <c r="I557" s="17"/>
      <c r="J557" s="20"/>
      <c r="K557" s="45">
        <f t="shared" si="484"/>
        <v>0</v>
      </c>
      <c r="L557" s="104">
        <f t="shared" si="473"/>
        <v>-3</v>
      </c>
      <c r="M557" s="56">
        <v>46073</v>
      </c>
      <c r="N557" s="33" t="s">
        <v>861</v>
      </c>
      <c r="O557" s="16"/>
      <c r="P557" s="29">
        <v>3</v>
      </c>
      <c r="Q557" s="17"/>
      <c r="R557" s="32"/>
      <c r="S557" s="9">
        <f t="shared" si="489"/>
        <v>3</v>
      </c>
      <c r="T557" s="16"/>
      <c r="U557" s="29"/>
      <c r="V557" s="17"/>
      <c r="W557" s="32"/>
      <c r="X557" s="9">
        <f t="shared" si="490"/>
        <v>0</v>
      </c>
      <c r="Y557" s="104">
        <f t="shared" si="482"/>
        <v>3</v>
      </c>
      <c r="Z557" s="56">
        <v>46073</v>
      </c>
    </row>
    <row r="558" spans="1:27" x14ac:dyDescent="0.15">
      <c r="A558" s="47" t="s">
        <v>51</v>
      </c>
      <c r="B558" s="16"/>
      <c r="C558" s="29"/>
      <c r="D558" s="17">
        <v>1</v>
      </c>
      <c r="E558" s="20"/>
      <c r="F558" s="45">
        <f t="shared" si="483"/>
        <v>1</v>
      </c>
      <c r="G558" s="16"/>
      <c r="H558" s="29"/>
      <c r="I558" s="17"/>
      <c r="J558" s="20"/>
      <c r="K558" s="45">
        <f t="shared" si="484"/>
        <v>0</v>
      </c>
      <c r="L558" s="104">
        <f t="shared" si="473"/>
        <v>1</v>
      </c>
      <c r="M558" s="58">
        <v>46073</v>
      </c>
      <c r="N558" s="33" t="s">
        <v>861</v>
      </c>
      <c r="O558" s="16"/>
      <c r="P558" s="29"/>
      <c r="Q558" s="17">
        <v>3</v>
      </c>
      <c r="R558" s="32"/>
      <c r="S558" s="9">
        <f t="shared" si="489"/>
        <v>3</v>
      </c>
      <c r="T558" s="16"/>
      <c r="U558" s="29">
        <v>3</v>
      </c>
      <c r="V558" s="17"/>
      <c r="W558" s="32">
        <v>3</v>
      </c>
      <c r="X558" s="9">
        <f t="shared" si="490"/>
        <v>6</v>
      </c>
      <c r="Y558" s="104">
        <f t="shared" si="482"/>
        <v>9</v>
      </c>
      <c r="Z558" s="58">
        <v>46074</v>
      </c>
    </row>
    <row r="559" spans="1:27" x14ac:dyDescent="0.15">
      <c r="A559" s="47" t="s">
        <v>119</v>
      </c>
      <c r="B559" s="16"/>
      <c r="C559" s="29"/>
      <c r="D559" s="17">
        <v>-3</v>
      </c>
      <c r="E559" s="20"/>
      <c r="F559" s="45">
        <f t="shared" si="483"/>
        <v>-3</v>
      </c>
      <c r="G559" s="16"/>
      <c r="H559" s="29">
        <v>-3</v>
      </c>
      <c r="I559" s="17"/>
      <c r="J559" s="20">
        <v>-3</v>
      </c>
      <c r="K559" s="45">
        <f t="shared" si="484"/>
        <v>-6</v>
      </c>
      <c r="L559" s="104">
        <f t="shared" si="473"/>
        <v>-9</v>
      </c>
      <c r="M559" s="58">
        <v>46074</v>
      </c>
      <c r="N559" s="11" t="s">
        <v>968</v>
      </c>
      <c r="O559" s="16">
        <v>0</v>
      </c>
      <c r="P559" s="29">
        <v>0</v>
      </c>
      <c r="Q559" s="17">
        <v>1</v>
      </c>
      <c r="R559" s="32">
        <v>0</v>
      </c>
      <c r="S559" s="9">
        <f t="shared" ref="S559:S563" si="491">SUM(O559:R559)</f>
        <v>1</v>
      </c>
      <c r="T559" s="16">
        <v>-2</v>
      </c>
      <c r="U559" s="29">
        <v>0</v>
      </c>
      <c r="V559" s="17">
        <v>0</v>
      </c>
      <c r="W559" s="32">
        <v>0</v>
      </c>
      <c r="X559" s="9">
        <f t="shared" ref="X559:X563" si="492">SUM(T559:W559)</f>
        <v>-2</v>
      </c>
      <c r="Y559" s="104">
        <f t="shared" ref="Y559:Y564" si="493">S559+X559</f>
        <v>-1</v>
      </c>
      <c r="Z559" s="58">
        <v>46074</v>
      </c>
    </row>
    <row r="560" spans="1:27" x14ac:dyDescent="0.15">
      <c r="A560" s="47" t="s">
        <v>51</v>
      </c>
      <c r="B560" s="16"/>
      <c r="C560" s="29"/>
      <c r="D560" s="17"/>
      <c r="E560" s="20"/>
      <c r="F560" s="45">
        <f t="shared" si="483"/>
        <v>0</v>
      </c>
      <c r="G560" s="16"/>
      <c r="H560" s="29">
        <v>2</v>
      </c>
      <c r="I560" s="17"/>
      <c r="J560" s="20"/>
      <c r="K560" s="45">
        <f t="shared" si="484"/>
        <v>2</v>
      </c>
      <c r="L560" s="104">
        <f t="shared" si="473"/>
        <v>2</v>
      </c>
      <c r="M560" s="58">
        <v>46077</v>
      </c>
      <c r="N560" s="72"/>
      <c r="O560" s="16"/>
      <c r="P560" s="29"/>
      <c r="Q560" s="17"/>
      <c r="R560" s="32"/>
      <c r="S560" s="9">
        <f t="shared" si="491"/>
        <v>0</v>
      </c>
      <c r="T560" s="16"/>
      <c r="U560" s="29"/>
      <c r="V560" s="17"/>
      <c r="W560" s="32"/>
      <c r="X560" s="9">
        <f t="shared" si="492"/>
        <v>0</v>
      </c>
      <c r="Y560" s="104">
        <f t="shared" si="493"/>
        <v>0</v>
      </c>
    </row>
    <row r="561" spans="1:27" x14ac:dyDescent="0.15">
      <c r="A561" s="47" t="s">
        <v>51</v>
      </c>
      <c r="B561" s="16"/>
      <c r="C561" s="29"/>
      <c r="D561" s="17"/>
      <c r="E561" s="20"/>
      <c r="F561" s="45">
        <f t="shared" si="483"/>
        <v>0</v>
      </c>
      <c r="G561" s="16"/>
      <c r="H561" s="29">
        <v>1</v>
      </c>
      <c r="I561" s="17"/>
      <c r="J561" s="20"/>
      <c r="K561" s="45">
        <f t="shared" si="484"/>
        <v>1</v>
      </c>
      <c r="L561" s="104">
        <f t="shared" si="473"/>
        <v>1</v>
      </c>
      <c r="M561" s="58">
        <v>46078</v>
      </c>
      <c r="N561" s="11" t="s">
        <v>830</v>
      </c>
      <c r="O561" s="16"/>
      <c r="P561" s="29"/>
      <c r="Q561" s="17"/>
      <c r="R561" s="32"/>
      <c r="S561" s="9">
        <f t="shared" si="491"/>
        <v>0</v>
      </c>
      <c r="T561" s="16"/>
      <c r="U561" s="29"/>
      <c r="V561" s="17"/>
      <c r="W561" s="32"/>
      <c r="X561" s="9">
        <f t="shared" si="492"/>
        <v>0</v>
      </c>
      <c r="Y561" s="104">
        <f t="shared" si="493"/>
        <v>0</v>
      </c>
      <c r="Z561" s="157" t="s">
        <v>831</v>
      </c>
    </row>
    <row r="562" spans="1:27" x14ac:dyDescent="0.15">
      <c r="A562" s="33"/>
      <c r="B562" s="16"/>
      <c r="C562" s="29"/>
      <c r="D562" s="17"/>
      <c r="E562" s="20"/>
      <c r="F562" s="45">
        <f t="shared" si="483"/>
        <v>0</v>
      </c>
      <c r="G562" s="16"/>
      <c r="H562" s="29"/>
      <c r="I562" s="17"/>
      <c r="J562" s="20"/>
      <c r="K562" s="45">
        <f t="shared" si="484"/>
        <v>0</v>
      </c>
      <c r="L562" s="104">
        <f t="shared" si="473"/>
        <v>0</v>
      </c>
      <c r="N562" s="72" t="s">
        <v>624</v>
      </c>
      <c r="O562" s="166"/>
      <c r="P562" s="160"/>
      <c r="Q562" s="167"/>
      <c r="R562" s="302"/>
      <c r="S562" s="165">
        <f t="shared" si="491"/>
        <v>0</v>
      </c>
      <c r="T562" s="166"/>
      <c r="U562" s="160"/>
      <c r="V562" s="167"/>
      <c r="W562" s="302"/>
      <c r="X562" s="165">
        <f t="shared" si="492"/>
        <v>0</v>
      </c>
      <c r="Y562" s="169">
        <f t="shared" si="493"/>
        <v>0</v>
      </c>
      <c r="Z562" s="157"/>
    </row>
    <row r="563" spans="1:27" x14ac:dyDescent="0.15">
      <c r="A563" s="47"/>
      <c r="B563" s="16"/>
      <c r="C563" s="29"/>
      <c r="D563" s="17"/>
      <c r="E563" s="20"/>
      <c r="F563" s="45">
        <f t="shared" si="483"/>
        <v>0</v>
      </c>
      <c r="G563" s="16"/>
      <c r="H563" s="29"/>
      <c r="I563" s="17"/>
      <c r="J563" s="20"/>
      <c r="K563" s="45">
        <f t="shared" si="484"/>
        <v>0</v>
      </c>
      <c r="L563" s="104">
        <f t="shared" si="473"/>
        <v>0</v>
      </c>
      <c r="N563" s="11" t="s">
        <v>644</v>
      </c>
      <c r="O563" s="16"/>
      <c r="P563" s="29"/>
      <c r="Q563" s="17"/>
      <c r="R563" s="32"/>
      <c r="S563" s="9">
        <f t="shared" si="491"/>
        <v>0</v>
      </c>
      <c r="T563" s="16"/>
      <c r="U563" s="29"/>
      <c r="V563" s="17"/>
      <c r="W563" s="32"/>
      <c r="X563" s="9">
        <f t="shared" si="492"/>
        <v>0</v>
      </c>
      <c r="Y563" s="104">
        <f t="shared" si="493"/>
        <v>0</v>
      </c>
      <c r="Z563" s="56">
        <v>45669</v>
      </c>
    </row>
    <row r="564" spans="1:27" x14ac:dyDescent="0.15">
      <c r="A564" s="47"/>
      <c r="B564" s="16"/>
      <c r="C564" s="29"/>
      <c r="D564" s="17"/>
      <c r="E564" s="20"/>
      <c r="F564" s="45">
        <f t="shared" si="483"/>
        <v>0</v>
      </c>
      <c r="G564" s="16"/>
      <c r="H564" s="29"/>
      <c r="I564" s="17"/>
      <c r="J564" s="20"/>
      <c r="K564" s="45">
        <f t="shared" si="484"/>
        <v>0</v>
      </c>
      <c r="L564" s="104">
        <f t="shared" si="473"/>
        <v>0</v>
      </c>
      <c r="N564" s="11" t="s">
        <v>858</v>
      </c>
      <c r="O564" s="16"/>
      <c r="P564" s="29"/>
      <c r="Q564" s="17"/>
      <c r="R564" s="32"/>
      <c r="S564" s="9">
        <f t="shared" ref="S564" si="494">SUM(O564:R564)</f>
        <v>0</v>
      </c>
      <c r="T564" s="16"/>
      <c r="U564" s="29"/>
      <c r="V564" s="17"/>
      <c r="W564" s="32"/>
      <c r="X564" s="9">
        <f t="shared" ref="X564" si="495">SUM(T564:W564)</f>
        <v>0</v>
      </c>
      <c r="Y564" s="104">
        <f t="shared" si="493"/>
        <v>0</v>
      </c>
      <c r="Z564" s="157" t="s">
        <v>859</v>
      </c>
    </row>
    <row r="565" spans="1:27" x14ac:dyDescent="0.15">
      <c r="A565" s="47"/>
      <c r="B565" s="16"/>
      <c r="C565" s="29"/>
      <c r="D565" s="17"/>
      <c r="E565" s="20"/>
      <c r="F565" s="45">
        <f t="shared" si="483"/>
        <v>0</v>
      </c>
      <c r="G565" s="16"/>
      <c r="H565" s="29"/>
      <c r="I565" s="17"/>
      <c r="J565" s="20"/>
      <c r="K565" s="45">
        <f t="shared" si="484"/>
        <v>0</v>
      </c>
      <c r="L565" s="104">
        <f t="shared" si="473"/>
        <v>0</v>
      </c>
      <c r="N565" s="72" t="s">
        <v>647</v>
      </c>
      <c r="O565" s="166"/>
      <c r="P565" s="167"/>
      <c r="Q565" s="160"/>
      <c r="R565" s="168"/>
      <c r="S565" s="165">
        <f t="shared" ref="S565:S566" si="496">SUM(O565:R565)</f>
        <v>0</v>
      </c>
      <c r="T565" s="161"/>
      <c r="U565" s="162"/>
      <c r="V565" s="163"/>
      <c r="W565" s="248"/>
      <c r="X565" s="165">
        <f t="shared" ref="X565:X566" si="497">SUM(T565:W565)</f>
        <v>0</v>
      </c>
      <c r="Y565" s="169">
        <f t="shared" ref="Y565:Y566" si="498">S565+X565</f>
        <v>0</v>
      </c>
      <c r="Z565" s="224"/>
    </row>
    <row r="566" spans="1:27" ht="14.25" thickBot="1" x14ac:dyDescent="0.2">
      <c r="A566" s="47"/>
      <c r="B566" s="37"/>
      <c r="C566" s="38"/>
      <c r="D566" s="39"/>
      <c r="E566" s="40"/>
      <c r="F566" s="45">
        <f t="shared" si="483"/>
        <v>0</v>
      </c>
      <c r="G566" s="37"/>
      <c r="H566" s="38"/>
      <c r="I566" s="39"/>
      <c r="J566" s="40"/>
      <c r="K566" s="45">
        <f t="shared" si="484"/>
        <v>0</v>
      </c>
      <c r="L566" s="104">
        <f t="shared" si="473"/>
        <v>0</v>
      </c>
      <c r="N566" s="128" t="s">
        <v>273</v>
      </c>
      <c r="O566" s="37"/>
      <c r="P566" s="38"/>
      <c r="Q566" s="39"/>
      <c r="R566" s="129"/>
      <c r="S566" s="10">
        <f t="shared" si="496"/>
        <v>0</v>
      </c>
      <c r="T566" s="123"/>
      <c r="U566" s="124"/>
      <c r="V566" s="125"/>
      <c r="W566" s="126"/>
      <c r="X566" s="10">
        <f t="shared" si="497"/>
        <v>0</v>
      </c>
      <c r="Y566" s="101">
        <f t="shared" si="498"/>
        <v>0</v>
      </c>
      <c r="Z566" s="157" t="s">
        <v>459</v>
      </c>
    </row>
    <row r="567" spans="1:27" ht="14.25" thickBot="1" x14ac:dyDescent="0.2">
      <c r="A567" s="13" t="s">
        <v>8</v>
      </c>
      <c r="B567" s="22">
        <f>SUM(B542:B566)</f>
        <v>3</v>
      </c>
      <c r="C567" s="30">
        <f>SUM(C542:C566)</f>
        <v>-1</v>
      </c>
      <c r="D567" s="23">
        <f>SUM(D542:D566)</f>
        <v>2</v>
      </c>
      <c r="E567" s="24">
        <f>SUM(E542:E566)</f>
        <v>8</v>
      </c>
      <c r="F567" s="21">
        <f>SUM(B567:E567)</f>
        <v>12</v>
      </c>
      <c r="G567" s="22">
        <f>SUM(G542:G566)</f>
        <v>3</v>
      </c>
      <c r="H567" s="30">
        <f>SUM(H542:H566)</f>
        <v>1</v>
      </c>
      <c r="I567" s="23">
        <f>SUM(I542:I566)</f>
        <v>1</v>
      </c>
      <c r="J567" s="24">
        <f>SUM(J542:J566)</f>
        <v>-2</v>
      </c>
      <c r="K567" s="21">
        <f>SUM(G567:J567)</f>
        <v>3</v>
      </c>
      <c r="L567" s="105">
        <f t="shared" si="473"/>
        <v>15</v>
      </c>
      <c r="N567" s="49" t="s">
        <v>8</v>
      </c>
      <c r="O567" s="22">
        <f>SUM(O542:O566)</f>
        <v>68</v>
      </c>
      <c r="P567" s="30">
        <f>SUM(P542:P566)</f>
        <v>118</v>
      </c>
      <c r="Q567" s="23">
        <f>SUM(Q542:Q566)</f>
        <v>95</v>
      </c>
      <c r="R567" s="24">
        <f>SUM(R542:R566)</f>
        <v>70</v>
      </c>
      <c r="S567" s="48">
        <f t="shared" si="489"/>
        <v>351</v>
      </c>
      <c r="T567" s="22">
        <f>SUM(T542:T566)</f>
        <v>13</v>
      </c>
      <c r="U567" s="30">
        <f>SUM(U542:U566)</f>
        <v>29</v>
      </c>
      <c r="V567" s="23">
        <f>SUM(V542:V566)</f>
        <v>29</v>
      </c>
      <c r="W567" s="24">
        <f>SUM(W542:W566)</f>
        <v>38</v>
      </c>
      <c r="X567" s="48">
        <f t="shared" si="490"/>
        <v>109</v>
      </c>
      <c r="Y567" s="122">
        <f t="shared" si="482"/>
        <v>460</v>
      </c>
    </row>
    <row r="568" spans="1:27" ht="14.25" thickBot="1" x14ac:dyDescent="0.2">
      <c r="A568" s="14" t="s">
        <v>9</v>
      </c>
      <c r="B568" s="25">
        <f t="shared" ref="B568:K568" si="499">B541-B567</f>
        <v>5</v>
      </c>
      <c r="C568" s="31">
        <f t="shared" si="499"/>
        <v>5</v>
      </c>
      <c r="D568" s="26">
        <f t="shared" si="499"/>
        <v>6</v>
      </c>
      <c r="E568" s="27">
        <f t="shared" si="499"/>
        <v>4</v>
      </c>
      <c r="F568" s="83">
        <f t="shared" si="499"/>
        <v>20</v>
      </c>
      <c r="G568" s="25">
        <f t="shared" si="499"/>
        <v>4</v>
      </c>
      <c r="H568" s="31">
        <f t="shared" si="499"/>
        <v>3</v>
      </c>
      <c r="I568" s="26">
        <f t="shared" si="499"/>
        <v>4</v>
      </c>
      <c r="J568" s="27">
        <f t="shared" si="499"/>
        <v>6</v>
      </c>
      <c r="K568" s="83">
        <f t="shared" si="499"/>
        <v>17</v>
      </c>
      <c r="L568" s="102">
        <f t="shared" si="473"/>
        <v>37</v>
      </c>
      <c r="N568" s="13" t="s">
        <v>9</v>
      </c>
      <c r="O568" s="25">
        <f t="shared" ref="O568:X568" si="500">O541-O567</f>
        <v>38</v>
      </c>
      <c r="P568" s="31">
        <f t="shared" si="500"/>
        <v>-1</v>
      </c>
      <c r="Q568" s="26">
        <f t="shared" si="500"/>
        <v>83</v>
      </c>
      <c r="R568" s="27">
        <f t="shared" si="500"/>
        <v>98</v>
      </c>
      <c r="S568" s="36">
        <f t="shared" si="500"/>
        <v>218</v>
      </c>
      <c r="T568" s="25">
        <f t="shared" si="500"/>
        <v>74</v>
      </c>
      <c r="U568" s="31">
        <f t="shared" si="500"/>
        <v>77</v>
      </c>
      <c r="V568" s="26">
        <f t="shared" si="500"/>
        <v>59</v>
      </c>
      <c r="W568" s="27">
        <f t="shared" si="500"/>
        <v>62</v>
      </c>
      <c r="X568" s="36">
        <f t="shared" si="500"/>
        <v>272</v>
      </c>
      <c r="Y568" s="102">
        <f t="shared" si="482"/>
        <v>490</v>
      </c>
      <c r="Z568" s="116" t="s">
        <v>970</v>
      </c>
    </row>
    <row r="569" spans="1:27" x14ac:dyDescent="0.15">
      <c r="N569" s="241" t="s">
        <v>726</v>
      </c>
      <c r="O569" s="116">
        <f>O567+O529+O491+O453+O415+O377+O339+O301+O263+O227</f>
        <v>463</v>
      </c>
      <c r="P569" s="116">
        <f t="shared" ref="P569:S569" si="501">P567+P529+P491+P453+P415+P377+P339+P301+P263+P227</f>
        <v>880</v>
      </c>
      <c r="Q569" s="116">
        <f t="shared" si="501"/>
        <v>697</v>
      </c>
      <c r="R569" s="116">
        <f t="shared" si="501"/>
        <v>828</v>
      </c>
      <c r="S569" s="116">
        <f t="shared" si="501"/>
        <v>2868</v>
      </c>
      <c r="T569" s="290">
        <f>T567+T529+T491+T453+T415+T377+T339+T301+T263+T227</f>
        <v>145</v>
      </c>
      <c r="U569" s="290">
        <f t="shared" ref="U569:X569" si="502">U567+U529+U491+U453+U415+U377+U339+U301+U263+U227</f>
        <v>246</v>
      </c>
      <c r="V569" s="290">
        <f t="shared" si="502"/>
        <v>198</v>
      </c>
      <c r="W569" s="290">
        <f t="shared" si="502"/>
        <v>220</v>
      </c>
      <c r="X569" s="290">
        <f t="shared" si="502"/>
        <v>809</v>
      </c>
      <c r="Y569" s="291">
        <f>S569+X569</f>
        <v>3677</v>
      </c>
    </row>
    <row r="570" spans="1:27" x14ac:dyDescent="0.15">
      <c r="N570" s="241"/>
      <c r="O570" s="149"/>
      <c r="P570" s="149"/>
      <c r="Q570" s="149"/>
      <c r="R570" s="149"/>
      <c r="S570" s="149"/>
      <c r="T570" s="272"/>
      <c r="U570" s="272"/>
      <c r="V570" s="272"/>
      <c r="W570" s="272"/>
      <c r="X570" s="272"/>
    </row>
    <row r="571" spans="1:27" ht="19.5" thickBot="1" x14ac:dyDescent="0.25">
      <c r="A571" s="2" t="s">
        <v>18</v>
      </c>
      <c r="B571" s="2"/>
      <c r="C571" s="1"/>
      <c r="D571" s="1"/>
      <c r="E571" s="1"/>
      <c r="F571" s="84"/>
      <c r="G571" s="2"/>
      <c r="H571" s="1" t="s">
        <v>157</v>
      </c>
      <c r="I571" s="1"/>
      <c r="J571" s="1"/>
      <c r="K571" s="84" t="s">
        <v>13</v>
      </c>
      <c r="L571" s="84"/>
      <c r="N571" s="2" t="s">
        <v>19</v>
      </c>
      <c r="O571" s="71"/>
      <c r="P571" s="71"/>
      <c r="Q571" s="71"/>
      <c r="R571" s="71"/>
      <c r="S571" s="84"/>
      <c r="T571" s="1" t="s">
        <v>157</v>
      </c>
      <c r="U571" s="71"/>
      <c r="V571" s="71"/>
      <c r="W571" s="71"/>
      <c r="X571" s="84" t="s">
        <v>13</v>
      </c>
    </row>
    <row r="572" spans="1:27" ht="14.25" thickBot="1" x14ac:dyDescent="0.2">
      <c r="A572" s="5" t="s">
        <v>0</v>
      </c>
      <c r="B572" s="322" t="s">
        <v>32</v>
      </c>
      <c r="C572" s="323"/>
      <c r="D572" s="323"/>
      <c r="E572" s="323"/>
      <c r="F572" s="324"/>
      <c r="G572" s="325" t="s">
        <v>31</v>
      </c>
      <c r="H572" s="326"/>
      <c r="I572" s="326"/>
      <c r="J572" s="326"/>
      <c r="K572" s="327"/>
      <c r="L572" s="320" t="s">
        <v>30</v>
      </c>
      <c r="N572" s="5" t="s">
        <v>0</v>
      </c>
      <c r="O572" s="322" t="s">
        <v>200</v>
      </c>
      <c r="P572" s="323"/>
      <c r="Q572" s="323"/>
      <c r="R572" s="323"/>
      <c r="S572" s="324"/>
      <c r="T572" s="325" t="s">
        <v>201</v>
      </c>
      <c r="U572" s="326"/>
      <c r="V572" s="326"/>
      <c r="W572" s="326"/>
      <c r="X572" s="327"/>
      <c r="Y572" s="320" t="s">
        <v>30</v>
      </c>
    </row>
    <row r="573" spans="1:27" ht="14.25" thickBot="1" x14ac:dyDescent="0.2">
      <c r="A573" s="5" t="s">
        <v>1</v>
      </c>
      <c r="B573" s="3" t="s">
        <v>22</v>
      </c>
      <c r="C573" s="28" t="s">
        <v>23</v>
      </c>
      <c r="D573" s="4" t="s">
        <v>24</v>
      </c>
      <c r="E573" s="15" t="s">
        <v>25</v>
      </c>
      <c r="F573" s="19" t="s">
        <v>2</v>
      </c>
      <c r="G573" s="3" t="s">
        <v>22</v>
      </c>
      <c r="H573" s="28" t="s">
        <v>23</v>
      </c>
      <c r="I573" s="4" t="s">
        <v>24</v>
      </c>
      <c r="J573" s="15" t="s">
        <v>25</v>
      </c>
      <c r="K573" s="19" t="s">
        <v>2</v>
      </c>
      <c r="L573" s="321"/>
      <c r="N573" s="5" t="s">
        <v>1</v>
      </c>
      <c r="O573" s="3" t="s">
        <v>22</v>
      </c>
      <c r="P573" s="28" t="s">
        <v>23</v>
      </c>
      <c r="Q573" s="4" t="s">
        <v>24</v>
      </c>
      <c r="R573" s="15" t="s">
        <v>25</v>
      </c>
      <c r="S573" s="19" t="s">
        <v>2</v>
      </c>
      <c r="T573" s="3" t="s">
        <v>22</v>
      </c>
      <c r="U573" s="28" t="s">
        <v>23</v>
      </c>
      <c r="V573" s="4" t="s">
        <v>24</v>
      </c>
      <c r="W573" s="15" t="s">
        <v>25</v>
      </c>
      <c r="X573" s="19" t="s">
        <v>2</v>
      </c>
      <c r="Y573" s="321"/>
    </row>
    <row r="574" spans="1:27" x14ac:dyDescent="0.15">
      <c r="A574" s="78" t="s">
        <v>10</v>
      </c>
      <c r="B574" s="79">
        <f>B568</f>
        <v>5</v>
      </c>
      <c r="C574" s="80">
        <f>C568</f>
        <v>5</v>
      </c>
      <c r="D574" s="80">
        <f>D568</f>
        <v>6</v>
      </c>
      <c r="E574" s="81">
        <f>E568</f>
        <v>4</v>
      </c>
      <c r="F574" s="82">
        <f>SUM(B574:E574)</f>
        <v>20</v>
      </c>
      <c r="G574" s="79">
        <f>G568</f>
        <v>4</v>
      </c>
      <c r="H574" s="80">
        <f>H568</f>
        <v>3</v>
      </c>
      <c r="I574" s="80">
        <f>I568</f>
        <v>4</v>
      </c>
      <c r="J574" s="81">
        <f>J568</f>
        <v>6</v>
      </c>
      <c r="K574" s="82">
        <f>SUM(G574:J574)</f>
        <v>17</v>
      </c>
      <c r="L574" s="98">
        <f>F574+K574</f>
        <v>37</v>
      </c>
      <c r="N574" s="78" t="s">
        <v>10</v>
      </c>
      <c r="O574" s="79">
        <f>O568</f>
        <v>38</v>
      </c>
      <c r="P574" s="80">
        <f>P568</f>
        <v>-1</v>
      </c>
      <c r="Q574" s="80">
        <f>Q568</f>
        <v>83</v>
      </c>
      <c r="R574" s="81">
        <f>R568</f>
        <v>98</v>
      </c>
      <c r="S574" s="82">
        <f>SUM(O574:R574)</f>
        <v>218</v>
      </c>
      <c r="T574" s="79">
        <f>T568</f>
        <v>74</v>
      </c>
      <c r="U574" s="80">
        <f>U568</f>
        <v>77</v>
      </c>
      <c r="V574" s="80">
        <f>V568</f>
        <v>59</v>
      </c>
      <c r="W574" s="81">
        <f>W568</f>
        <v>62</v>
      </c>
      <c r="X574" s="82">
        <f>SUM(T574:W574)</f>
        <v>272</v>
      </c>
      <c r="Y574" s="98">
        <f>S574+X574</f>
        <v>490</v>
      </c>
    </row>
    <row r="575" spans="1:27" x14ac:dyDescent="0.15">
      <c r="A575" s="47" t="s">
        <v>268</v>
      </c>
      <c r="B575" s="51">
        <v>2</v>
      </c>
      <c r="C575" s="52">
        <v>6</v>
      </c>
      <c r="D575" s="53">
        <v>2</v>
      </c>
      <c r="E575" s="54">
        <v>2</v>
      </c>
      <c r="F575" s="61">
        <f>SUM(B575:E575)</f>
        <v>12</v>
      </c>
      <c r="G575" s="51"/>
      <c r="H575" s="52"/>
      <c r="I575" s="53"/>
      <c r="J575" s="54"/>
      <c r="K575" s="61">
        <f>SUM(G575:J575)</f>
        <v>0</v>
      </c>
      <c r="L575" s="99">
        <f t="shared" ref="L575:L606" si="503">F575+K575</f>
        <v>12</v>
      </c>
      <c r="M575" s="58">
        <v>46085</v>
      </c>
      <c r="N575" s="12" t="s">
        <v>11</v>
      </c>
      <c r="O575" s="16">
        <v>50</v>
      </c>
      <c r="P575" s="29">
        <v>150</v>
      </c>
      <c r="Q575" s="17">
        <v>80</v>
      </c>
      <c r="R575" s="20">
        <v>175</v>
      </c>
      <c r="S575" s="45">
        <f t="shared" ref="S575:S576" si="504">SUM(O575:R575)</f>
        <v>455</v>
      </c>
      <c r="T575" s="16"/>
      <c r="U575" s="29"/>
      <c r="V575" s="17"/>
      <c r="W575" s="20"/>
      <c r="X575" s="45">
        <f t="shared" ref="X575:X576" si="505">SUM(T575:W575)</f>
        <v>0</v>
      </c>
      <c r="Y575" s="100">
        <f t="shared" ref="Y575:Y576" si="506">S575+X575</f>
        <v>455</v>
      </c>
      <c r="Z575" s="56" t="s">
        <v>969</v>
      </c>
      <c r="AA575" s="35"/>
    </row>
    <row r="576" spans="1:27" x14ac:dyDescent="0.15">
      <c r="A576" s="12" t="s">
        <v>4</v>
      </c>
      <c r="B576" s="6"/>
      <c r="C576" s="18"/>
      <c r="D576" s="7"/>
      <c r="E576" s="8"/>
      <c r="F576" s="9">
        <f>SUM(B576:E576)</f>
        <v>0</v>
      </c>
      <c r="G576" s="6">
        <v>3</v>
      </c>
      <c r="H576" s="18">
        <v>3</v>
      </c>
      <c r="I576" s="7">
        <v>3</v>
      </c>
      <c r="J576" s="8"/>
      <c r="K576" s="9">
        <f>SUM(G576:J576)</f>
        <v>9</v>
      </c>
      <c r="L576" s="100">
        <f t="shared" si="503"/>
        <v>9</v>
      </c>
      <c r="M576" s="58">
        <v>46088</v>
      </c>
      <c r="N576" s="12" t="s">
        <v>3</v>
      </c>
      <c r="O576" s="16"/>
      <c r="P576" s="29"/>
      <c r="Q576" s="17"/>
      <c r="R576" s="20"/>
      <c r="S576" s="45">
        <f t="shared" si="504"/>
        <v>0</v>
      </c>
      <c r="T576" s="16"/>
      <c r="U576" s="29"/>
      <c r="V576" s="17"/>
      <c r="W576" s="20"/>
      <c r="X576" s="45">
        <f t="shared" si="505"/>
        <v>0</v>
      </c>
      <c r="Y576" s="100">
        <f t="shared" si="506"/>
        <v>0</v>
      </c>
    </row>
    <row r="577" spans="1:28" x14ac:dyDescent="0.15">
      <c r="A577" s="47" t="s">
        <v>1020</v>
      </c>
      <c r="B577" s="16"/>
      <c r="C577" s="29"/>
      <c r="D577" s="17">
        <v>1</v>
      </c>
      <c r="E577" s="20">
        <v>1</v>
      </c>
      <c r="F577" s="45">
        <f t="shared" ref="F577" si="507">SUM(B577:E577)</f>
        <v>2</v>
      </c>
      <c r="G577" s="16">
        <v>1</v>
      </c>
      <c r="H577" s="29">
        <v>1</v>
      </c>
      <c r="I577" s="17"/>
      <c r="J577" s="20"/>
      <c r="K577" s="45">
        <f t="shared" ref="K577" si="508">SUM(G577:J577)</f>
        <v>2</v>
      </c>
      <c r="L577" s="104">
        <f t="shared" si="503"/>
        <v>4</v>
      </c>
      <c r="M577" s="56">
        <v>46092</v>
      </c>
      <c r="N577" s="12" t="s">
        <v>4</v>
      </c>
      <c r="O577" s="16"/>
      <c r="P577" s="29"/>
      <c r="Q577" s="17"/>
      <c r="R577" s="20"/>
      <c r="S577" s="45">
        <f t="shared" ref="S577:S578" si="509">SUM(O577:R577)</f>
        <v>0</v>
      </c>
      <c r="T577" s="16"/>
      <c r="U577" s="29"/>
      <c r="V577" s="17"/>
      <c r="W577" s="20"/>
      <c r="X577" s="45">
        <f t="shared" ref="X577:X578" si="510">SUM(T577:W577)</f>
        <v>0</v>
      </c>
      <c r="Y577" s="100">
        <f t="shared" ref="Y577:Y606" si="511">S577+X577</f>
        <v>0</v>
      </c>
    </row>
    <row r="578" spans="1:28" ht="14.25" thickBot="1" x14ac:dyDescent="0.2">
      <c r="A578" s="283" t="s">
        <v>6</v>
      </c>
      <c r="B578" s="284"/>
      <c r="C578" s="285"/>
      <c r="D578" s="286"/>
      <c r="E578" s="287"/>
      <c r="F578" s="300">
        <f>SUM(B578:E578)</f>
        <v>0</v>
      </c>
      <c r="G578" s="284"/>
      <c r="H578" s="285"/>
      <c r="I578" s="286"/>
      <c r="J578" s="287">
        <v>2</v>
      </c>
      <c r="K578" s="300">
        <f>SUM(G578:J578)</f>
        <v>2</v>
      </c>
      <c r="L578" s="301">
        <f t="shared" si="503"/>
        <v>2</v>
      </c>
      <c r="M578" s="261">
        <v>46099</v>
      </c>
      <c r="N578" s="12" t="s">
        <v>5</v>
      </c>
      <c r="O578" s="16"/>
      <c r="P578" s="29"/>
      <c r="Q578" s="17"/>
      <c r="R578" s="20"/>
      <c r="S578" s="45">
        <f t="shared" si="509"/>
        <v>0</v>
      </c>
      <c r="T578" s="16"/>
      <c r="U578" s="29"/>
      <c r="V578" s="17"/>
      <c r="W578" s="20"/>
      <c r="X578" s="45">
        <f t="shared" si="510"/>
        <v>0</v>
      </c>
      <c r="Y578" s="100">
        <f t="shared" si="511"/>
        <v>0</v>
      </c>
    </row>
    <row r="579" spans="1:28" ht="14.25" thickBot="1" x14ac:dyDescent="0.2">
      <c r="A579" s="14" t="s">
        <v>7</v>
      </c>
      <c r="B579" s="62">
        <f t="shared" ref="B579:K579" si="512">SUM(B574:B578)</f>
        <v>7</v>
      </c>
      <c r="C579" s="63">
        <f t="shared" si="512"/>
        <v>11</v>
      </c>
      <c r="D579" s="64">
        <f t="shared" si="512"/>
        <v>9</v>
      </c>
      <c r="E579" s="65">
        <f t="shared" si="512"/>
        <v>7</v>
      </c>
      <c r="F579" s="66">
        <f t="shared" si="512"/>
        <v>34</v>
      </c>
      <c r="G579" s="62">
        <f t="shared" si="512"/>
        <v>8</v>
      </c>
      <c r="H579" s="63">
        <f t="shared" si="512"/>
        <v>7</v>
      </c>
      <c r="I579" s="64">
        <f t="shared" si="512"/>
        <v>7</v>
      </c>
      <c r="J579" s="65">
        <f t="shared" si="512"/>
        <v>8</v>
      </c>
      <c r="K579" s="66">
        <f t="shared" si="512"/>
        <v>30</v>
      </c>
      <c r="L579" s="102">
        <f t="shared" si="503"/>
        <v>64</v>
      </c>
      <c r="N579" s="13" t="s">
        <v>7</v>
      </c>
      <c r="O579" s="25">
        <f t="shared" ref="O579:X579" si="513">SUM(O574:O578)</f>
        <v>88</v>
      </c>
      <c r="P579" s="31">
        <f t="shared" si="513"/>
        <v>149</v>
      </c>
      <c r="Q579" s="26">
        <f t="shared" si="513"/>
        <v>163</v>
      </c>
      <c r="R579" s="67">
        <f t="shared" si="513"/>
        <v>273</v>
      </c>
      <c r="S579" s="68">
        <f t="shared" si="513"/>
        <v>673</v>
      </c>
      <c r="T579" s="25">
        <f t="shared" si="513"/>
        <v>74</v>
      </c>
      <c r="U579" s="31">
        <f t="shared" si="513"/>
        <v>77</v>
      </c>
      <c r="V579" s="26">
        <f t="shared" si="513"/>
        <v>59</v>
      </c>
      <c r="W579" s="67">
        <f t="shared" si="513"/>
        <v>62</v>
      </c>
      <c r="X579" s="68">
        <f t="shared" si="513"/>
        <v>272</v>
      </c>
      <c r="Y579" s="102">
        <f t="shared" si="511"/>
        <v>945</v>
      </c>
    </row>
    <row r="580" spans="1:28" x14ac:dyDescent="0.15">
      <c r="A580" s="33" t="s">
        <v>979</v>
      </c>
      <c r="B580" s="41"/>
      <c r="C580" s="42"/>
      <c r="D580" s="43"/>
      <c r="E580" s="44"/>
      <c r="F580" s="70">
        <f t="shared" ref="F580:F603" si="514">SUM(B580:E580)</f>
        <v>0</v>
      </c>
      <c r="G580" s="41"/>
      <c r="H580" s="42"/>
      <c r="I580" s="43">
        <v>1</v>
      </c>
      <c r="J580" s="44"/>
      <c r="K580" s="70">
        <f t="shared" ref="K580:K603" si="515">SUM(G580:J580)</f>
        <v>1</v>
      </c>
      <c r="L580" s="103">
        <f t="shared" si="503"/>
        <v>1</v>
      </c>
      <c r="M580" s="56">
        <v>46085</v>
      </c>
      <c r="N580" s="11" t="s">
        <v>951</v>
      </c>
      <c r="O580" s="16"/>
      <c r="P580" s="29">
        <v>10</v>
      </c>
      <c r="Q580" s="17"/>
      <c r="R580" s="32"/>
      <c r="S580" s="9">
        <f t="shared" ref="S580:S585" si="516">SUM(O580:R580)</f>
        <v>10</v>
      </c>
      <c r="T580" s="206"/>
      <c r="U580" s="207"/>
      <c r="V580" s="208"/>
      <c r="W580" s="209"/>
      <c r="X580" s="9">
        <f t="shared" ref="X580:X585" si="517">SUM(T580:W580)</f>
        <v>0</v>
      </c>
      <c r="Y580" s="103">
        <f t="shared" si="511"/>
        <v>10</v>
      </c>
      <c r="Z580" s="56">
        <v>46086</v>
      </c>
    </row>
    <row r="581" spans="1:28" x14ac:dyDescent="0.15">
      <c r="A581" s="47" t="s">
        <v>51</v>
      </c>
      <c r="B581" s="16"/>
      <c r="C581" s="29"/>
      <c r="D581" s="17"/>
      <c r="E581" s="20"/>
      <c r="F581" s="45">
        <f t="shared" si="514"/>
        <v>0</v>
      </c>
      <c r="G581" s="16"/>
      <c r="H581" s="29"/>
      <c r="I581" s="17"/>
      <c r="J581" s="20">
        <v>1</v>
      </c>
      <c r="K581" s="45">
        <f t="shared" si="515"/>
        <v>1</v>
      </c>
      <c r="L581" s="104">
        <f t="shared" si="503"/>
        <v>1</v>
      </c>
      <c r="M581" s="56">
        <v>46083</v>
      </c>
      <c r="N581" s="11" t="s">
        <v>971</v>
      </c>
      <c r="O581" s="16">
        <v>10</v>
      </c>
      <c r="P581" s="29"/>
      <c r="Q581" s="17"/>
      <c r="R581" s="32"/>
      <c r="S581" s="9">
        <f t="shared" si="516"/>
        <v>10</v>
      </c>
      <c r="T581" s="206"/>
      <c r="U581" s="207"/>
      <c r="V581" s="208"/>
      <c r="W581" s="209"/>
      <c r="X581" s="9">
        <f t="shared" si="517"/>
        <v>0</v>
      </c>
      <c r="Y581" s="104">
        <f t="shared" si="511"/>
        <v>10</v>
      </c>
      <c r="Z581" s="56">
        <v>46091</v>
      </c>
      <c r="AA581" s="35"/>
      <c r="AB581" s="35"/>
    </row>
    <row r="582" spans="1:28" x14ac:dyDescent="0.15">
      <c r="A582" s="33" t="s">
        <v>983</v>
      </c>
      <c r="B582" s="16"/>
      <c r="C582" s="29"/>
      <c r="D582" s="17"/>
      <c r="E582" s="20">
        <v>1</v>
      </c>
      <c r="F582" s="45">
        <f t="shared" si="514"/>
        <v>1</v>
      </c>
      <c r="G582" s="16"/>
      <c r="H582" s="29"/>
      <c r="I582" s="17"/>
      <c r="J582" s="20">
        <v>1</v>
      </c>
      <c r="K582" s="45">
        <f t="shared" si="515"/>
        <v>1</v>
      </c>
      <c r="L582" s="104">
        <f t="shared" si="503"/>
        <v>2</v>
      </c>
      <c r="M582" s="56">
        <v>46086</v>
      </c>
      <c r="N582" s="11" t="s">
        <v>977</v>
      </c>
      <c r="O582" s="16"/>
      <c r="P582" s="29"/>
      <c r="Q582" s="17"/>
      <c r="R582" s="32"/>
      <c r="S582" s="9">
        <f t="shared" si="516"/>
        <v>0</v>
      </c>
      <c r="T582" s="16"/>
      <c r="U582" s="29"/>
      <c r="V582" s="17">
        <v>1</v>
      </c>
      <c r="W582" s="32"/>
      <c r="X582" s="9">
        <f t="shared" si="517"/>
        <v>1</v>
      </c>
      <c r="Y582" s="104">
        <f t="shared" si="511"/>
        <v>1</v>
      </c>
      <c r="Z582" s="56">
        <v>46086</v>
      </c>
      <c r="AA582" s="35"/>
      <c r="AB582" s="35"/>
    </row>
    <row r="583" spans="1:28" x14ac:dyDescent="0.15">
      <c r="A583" s="33" t="s">
        <v>991</v>
      </c>
      <c r="B583" s="16">
        <v>1</v>
      </c>
      <c r="C583" s="29"/>
      <c r="D583" s="17"/>
      <c r="E583" s="20"/>
      <c r="F583" s="45">
        <f t="shared" si="514"/>
        <v>1</v>
      </c>
      <c r="G583" s="16">
        <v>1</v>
      </c>
      <c r="H583" s="29"/>
      <c r="I583" s="17"/>
      <c r="J583" s="20"/>
      <c r="K583" s="45">
        <f t="shared" si="515"/>
        <v>1</v>
      </c>
      <c r="L583" s="104">
        <f t="shared" si="503"/>
        <v>2</v>
      </c>
      <c r="M583" s="56">
        <v>46087</v>
      </c>
      <c r="N583" s="33" t="s">
        <v>978</v>
      </c>
      <c r="O583" s="16">
        <v>5</v>
      </c>
      <c r="P583" s="29">
        <v>5</v>
      </c>
      <c r="Q583" s="17">
        <v>10</v>
      </c>
      <c r="R583" s="32">
        <v>10</v>
      </c>
      <c r="S583" s="9">
        <f t="shared" si="516"/>
        <v>30</v>
      </c>
      <c r="T583" s="16"/>
      <c r="U583" s="29"/>
      <c r="V583" s="17">
        <v>5</v>
      </c>
      <c r="W583" s="32">
        <v>5</v>
      </c>
      <c r="X583" s="9">
        <f t="shared" si="517"/>
        <v>10</v>
      </c>
      <c r="Y583" s="104">
        <f t="shared" si="511"/>
        <v>40</v>
      </c>
      <c r="Z583" s="56">
        <v>46086</v>
      </c>
    </row>
    <row r="584" spans="1:28" x14ac:dyDescent="0.15">
      <c r="A584" s="33" t="s">
        <v>992</v>
      </c>
      <c r="B584" s="16"/>
      <c r="C584" s="29">
        <v>1</v>
      </c>
      <c r="D584" s="17"/>
      <c r="E584" s="20"/>
      <c r="F584" s="45">
        <f t="shared" si="514"/>
        <v>1</v>
      </c>
      <c r="G584" s="16"/>
      <c r="H584" s="29"/>
      <c r="I584" s="17"/>
      <c r="J584" s="20"/>
      <c r="K584" s="45">
        <f t="shared" si="515"/>
        <v>0</v>
      </c>
      <c r="L584" s="104">
        <f t="shared" si="503"/>
        <v>1</v>
      </c>
      <c r="M584" s="56">
        <v>46087</v>
      </c>
      <c r="N584" s="11" t="s">
        <v>981</v>
      </c>
      <c r="O584" s="16">
        <v>8</v>
      </c>
      <c r="P584" s="29"/>
      <c r="Q584" s="17"/>
      <c r="R584" s="32">
        <v>9</v>
      </c>
      <c r="S584" s="9">
        <f t="shared" si="516"/>
        <v>17</v>
      </c>
      <c r="T584" s="16">
        <v>7</v>
      </c>
      <c r="U584" s="29"/>
      <c r="V584" s="17"/>
      <c r="W584" s="32"/>
      <c r="X584" s="9">
        <f t="shared" si="517"/>
        <v>7</v>
      </c>
      <c r="Y584" s="104">
        <f t="shared" si="511"/>
        <v>24</v>
      </c>
      <c r="Z584" s="56">
        <v>46084</v>
      </c>
    </row>
    <row r="585" spans="1:28" x14ac:dyDescent="0.15">
      <c r="A585" s="47" t="s">
        <v>51</v>
      </c>
      <c r="B585" s="16"/>
      <c r="C585" s="29"/>
      <c r="D585" s="17"/>
      <c r="E585" s="20">
        <v>1</v>
      </c>
      <c r="F585" s="45">
        <f t="shared" si="514"/>
        <v>1</v>
      </c>
      <c r="G585" s="16"/>
      <c r="H585" s="29"/>
      <c r="I585" s="17">
        <v>1</v>
      </c>
      <c r="J585" s="20"/>
      <c r="K585" s="45">
        <f t="shared" si="515"/>
        <v>1</v>
      </c>
      <c r="L585" s="104">
        <f t="shared" si="503"/>
        <v>2</v>
      </c>
      <c r="M585" s="56">
        <v>46086</v>
      </c>
      <c r="N585" s="11" t="s">
        <v>986</v>
      </c>
      <c r="O585" s="16"/>
      <c r="P585" s="29">
        <v>25</v>
      </c>
      <c r="Q585" s="17"/>
      <c r="R585" s="32"/>
      <c r="S585" s="9">
        <f t="shared" si="516"/>
        <v>25</v>
      </c>
      <c r="T585" s="16"/>
      <c r="U585" s="29"/>
      <c r="V585" s="17"/>
      <c r="W585" s="32"/>
      <c r="X585" s="9">
        <f t="shared" si="517"/>
        <v>0</v>
      </c>
      <c r="Y585" s="104">
        <f t="shared" si="511"/>
        <v>25</v>
      </c>
      <c r="Z585" s="56">
        <v>46086</v>
      </c>
    </row>
    <row r="586" spans="1:28" x14ac:dyDescent="0.15">
      <c r="A586" s="33" t="s">
        <v>998</v>
      </c>
      <c r="B586" s="16">
        <v>1</v>
      </c>
      <c r="C586" s="29">
        <v>1</v>
      </c>
      <c r="D586" s="17"/>
      <c r="E586" s="20"/>
      <c r="F586" s="45">
        <f t="shared" si="514"/>
        <v>2</v>
      </c>
      <c r="G586" s="16"/>
      <c r="H586" s="29"/>
      <c r="I586" s="17"/>
      <c r="J586" s="20"/>
      <c r="K586" s="45">
        <f t="shared" si="515"/>
        <v>0</v>
      </c>
      <c r="L586" s="104">
        <f t="shared" si="503"/>
        <v>2</v>
      </c>
      <c r="M586" s="56">
        <v>46090</v>
      </c>
      <c r="N586" s="11" t="s">
        <v>988</v>
      </c>
      <c r="O586" s="16">
        <v>5</v>
      </c>
      <c r="P586" s="29">
        <v>15</v>
      </c>
      <c r="Q586" s="17">
        <v>15</v>
      </c>
      <c r="R586" s="32">
        <v>15</v>
      </c>
      <c r="S586" s="9">
        <f>SUM(O586:R586)</f>
        <v>50</v>
      </c>
      <c r="T586" s="16"/>
      <c r="U586" s="29">
        <v>5</v>
      </c>
      <c r="V586" s="17">
        <v>5</v>
      </c>
      <c r="W586" s="32"/>
      <c r="X586" s="9">
        <f>SUM(T586:W586)</f>
        <v>10</v>
      </c>
      <c r="Y586" s="104">
        <f t="shared" si="511"/>
        <v>60</v>
      </c>
      <c r="Z586" s="56">
        <v>46087</v>
      </c>
    </row>
    <row r="587" spans="1:28" x14ac:dyDescent="0.15">
      <c r="A587" s="33" t="s">
        <v>1008</v>
      </c>
      <c r="B587" s="16"/>
      <c r="C587" s="29"/>
      <c r="D587" s="17"/>
      <c r="E587" s="20"/>
      <c r="F587" s="45">
        <f t="shared" si="514"/>
        <v>0</v>
      </c>
      <c r="G587" s="16">
        <v>1</v>
      </c>
      <c r="H587" s="29"/>
      <c r="I587" s="17"/>
      <c r="J587" s="20"/>
      <c r="K587" s="45">
        <f t="shared" si="515"/>
        <v>1</v>
      </c>
      <c r="L587" s="104">
        <f t="shared" si="503"/>
        <v>1</v>
      </c>
      <c r="M587" s="56">
        <v>46093</v>
      </c>
      <c r="N587" s="11" t="s">
        <v>994</v>
      </c>
      <c r="O587" s="16">
        <v>2</v>
      </c>
      <c r="P587" s="29">
        <v>6</v>
      </c>
      <c r="Q587" s="17">
        <v>5</v>
      </c>
      <c r="R587" s="32">
        <v>10</v>
      </c>
      <c r="S587" s="9">
        <f t="shared" ref="S587:S591" si="518">SUM(O587:R587)</f>
        <v>23</v>
      </c>
      <c r="T587" s="206"/>
      <c r="U587" s="207"/>
      <c r="V587" s="208"/>
      <c r="W587" s="209"/>
      <c r="X587" s="9">
        <f t="shared" ref="X587:X591" si="519">SUM(T587:W587)</f>
        <v>0</v>
      </c>
      <c r="Y587" s="104">
        <f t="shared" si="511"/>
        <v>23</v>
      </c>
      <c r="Z587" s="56">
        <v>46087</v>
      </c>
    </row>
    <row r="588" spans="1:28" x14ac:dyDescent="0.15">
      <c r="A588" s="47" t="s">
        <v>51</v>
      </c>
      <c r="B588" s="16"/>
      <c r="C588" s="29"/>
      <c r="D588" s="17"/>
      <c r="E588" s="20"/>
      <c r="F588" s="45">
        <f t="shared" si="514"/>
        <v>0</v>
      </c>
      <c r="G588" s="16">
        <v>1</v>
      </c>
      <c r="H588" s="29"/>
      <c r="I588" s="17">
        <v>1</v>
      </c>
      <c r="J588" s="20"/>
      <c r="K588" s="45">
        <f t="shared" si="515"/>
        <v>2</v>
      </c>
      <c r="L588" s="104">
        <f t="shared" si="503"/>
        <v>2</v>
      </c>
      <c r="M588" s="56">
        <v>46091</v>
      </c>
      <c r="N588" s="11" t="s">
        <v>999</v>
      </c>
      <c r="O588" s="16"/>
      <c r="P588" s="29"/>
      <c r="Q588" s="17"/>
      <c r="R588" s="32">
        <v>15</v>
      </c>
      <c r="S588" s="9">
        <f t="shared" si="518"/>
        <v>15</v>
      </c>
      <c r="T588" s="206"/>
      <c r="U588" s="207"/>
      <c r="V588" s="208"/>
      <c r="W588" s="209"/>
      <c r="X588" s="9">
        <f t="shared" si="519"/>
        <v>0</v>
      </c>
      <c r="Y588" s="104">
        <f t="shared" si="511"/>
        <v>15</v>
      </c>
      <c r="Z588" s="56">
        <v>46088</v>
      </c>
    </row>
    <row r="589" spans="1:28" x14ac:dyDescent="0.15">
      <c r="A589" s="47" t="s">
        <v>51</v>
      </c>
      <c r="B589" s="16"/>
      <c r="C589" s="29">
        <v>1</v>
      </c>
      <c r="D589" s="17"/>
      <c r="E589" s="20"/>
      <c r="F589" s="45">
        <f t="shared" si="514"/>
        <v>1</v>
      </c>
      <c r="G589" s="16"/>
      <c r="H589" s="29"/>
      <c r="I589" s="17"/>
      <c r="J589" s="20"/>
      <c r="K589" s="45">
        <f t="shared" si="515"/>
        <v>0</v>
      </c>
      <c r="L589" s="104">
        <f t="shared" si="503"/>
        <v>1</v>
      </c>
      <c r="M589" s="56">
        <v>46092</v>
      </c>
      <c r="N589" s="33" t="s">
        <v>1000</v>
      </c>
      <c r="O589" s="16"/>
      <c r="P589" s="29"/>
      <c r="Q589" s="17"/>
      <c r="R589" s="32"/>
      <c r="S589" s="9">
        <f t="shared" si="518"/>
        <v>0</v>
      </c>
      <c r="T589" s="16">
        <v>3</v>
      </c>
      <c r="U589" s="29">
        <v>3</v>
      </c>
      <c r="V589" s="17">
        <v>3</v>
      </c>
      <c r="W589" s="32"/>
      <c r="X589" s="9">
        <f t="shared" si="519"/>
        <v>9</v>
      </c>
      <c r="Y589" s="104">
        <f t="shared" si="511"/>
        <v>9</v>
      </c>
      <c r="Z589" s="56">
        <v>46088</v>
      </c>
    </row>
    <row r="590" spans="1:28" x14ac:dyDescent="0.15">
      <c r="A590" s="33" t="s">
        <v>1019</v>
      </c>
      <c r="B590" s="16"/>
      <c r="C590" s="29"/>
      <c r="D590" s="17"/>
      <c r="E590" s="20">
        <v>1</v>
      </c>
      <c r="F590" s="45">
        <f t="shared" si="514"/>
        <v>1</v>
      </c>
      <c r="G590" s="16"/>
      <c r="H590" s="29"/>
      <c r="I590" s="17"/>
      <c r="J590" s="20"/>
      <c r="K590" s="45">
        <f t="shared" si="515"/>
        <v>0</v>
      </c>
      <c r="L590" s="104">
        <f t="shared" si="503"/>
        <v>1</v>
      </c>
      <c r="M590" s="56">
        <v>46094</v>
      </c>
      <c r="N590" s="33" t="s">
        <v>1001</v>
      </c>
      <c r="O590" s="16">
        <v>3</v>
      </c>
      <c r="P590" s="29"/>
      <c r="Q590" s="17">
        <v>4</v>
      </c>
      <c r="R590" s="32"/>
      <c r="S590" s="9">
        <f t="shared" si="518"/>
        <v>7</v>
      </c>
      <c r="T590" s="16"/>
      <c r="U590" s="29"/>
      <c r="V590" s="17"/>
      <c r="W590" s="32">
        <v>1</v>
      </c>
      <c r="X590" s="9">
        <f t="shared" si="519"/>
        <v>1</v>
      </c>
      <c r="Y590" s="104">
        <f t="shared" si="511"/>
        <v>8</v>
      </c>
      <c r="Z590" s="56">
        <v>46091</v>
      </c>
    </row>
    <row r="591" spans="1:28" x14ac:dyDescent="0.15">
      <c r="A591" s="47" t="s">
        <v>51</v>
      </c>
      <c r="B591" s="16"/>
      <c r="C591" s="29"/>
      <c r="D591" s="17"/>
      <c r="E591" s="20"/>
      <c r="F591" s="45">
        <f t="shared" si="514"/>
        <v>0</v>
      </c>
      <c r="G591" s="16"/>
      <c r="H591" s="29"/>
      <c r="I591" s="17"/>
      <c r="J591" s="20">
        <v>1</v>
      </c>
      <c r="K591" s="45">
        <f t="shared" si="515"/>
        <v>1</v>
      </c>
      <c r="L591" s="104">
        <f t="shared" si="503"/>
        <v>1</v>
      </c>
      <c r="M591" s="58">
        <v>46093</v>
      </c>
      <c r="N591" s="11" t="s">
        <v>1003</v>
      </c>
      <c r="O591" s="16">
        <v>10</v>
      </c>
      <c r="P591" s="29">
        <v>10</v>
      </c>
      <c r="Q591" s="17">
        <v>10</v>
      </c>
      <c r="R591" s="32">
        <v>10</v>
      </c>
      <c r="S591" s="9">
        <f t="shared" si="518"/>
        <v>40</v>
      </c>
      <c r="T591" s="206"/>
      <c r="U591" s="207"/>
      <c r="V591" s="208"/>
      <c r="W591" s="209"/>
      <c r="X591" s="9">
        <f t="shared" si="519"/>
        <v>0</v>
      </c>
      <c r="Y591" s="104">
        <f t="shared" si="511"/>
        <v>40</v>
      </c>
      <c r="Z591" s="56">
        <v>46105</v>
      </c>
    </row>
    <row r="592" spans="1:28" x14ac:dyDescent="0.15">
      <c r="A592" s="47" t="s">
        <v>51</v>
      </c>
      <c r="B592" s="16">
        <v>1</v>
      </c>
      <c r="C592" s="29"/>
      <c r="D592" s="17"/>
      <c r="E592" s="20"/>
      <c r="F592" s="45">
        <f t="shared" si="514"/>
        <v>1</v>
      </c>
      <c r="G592" s="16">
        <v>1</v>
      </c>
      <c r="H592" s="29"/>
      <c r="I592" s="17"/>
      <c r="J592" s="20">
        <v>1</v>
      </c>
      <c r="K592" s="45">
        <f t="shared" si="515"/>
        <v>2</v>
      </c>
      <c r="L592" s="104">
        <f t="shared" si="503"/>
        <v>3</v>
      </c>
      <c r="M592" s="58">
        <v>46097</v>
      </c>
      <c r="N592" s="11" t="s">
        <v>1010</v>
      </c>
      <c r="O592" s="16">
        <v>4</v>
      </c>
      <c r="P592" s="29">
        <v>8</v>
      </c>
      <c r="Q592" s="17">
        <v>3</v>
      </c>
      <c r="R592" s="32">
        <v>2</v>
      </c>
      <c r="S592" s="9">
        <f>SUM(O592:R592)</f>
        <v>17</v>
      </c>
      <c r="T592" s="206"/>
      <c r="U592" s="207"/>
      <c r="V592" s="208"/>
      <c r="W592" s="209"/>
      <c r="X592" s="9">
        <f>SUM(T592:W592)</f>
        <v>0</v>
      </c>
      <c r="Y592" s="104">
        <f t="shared" si="511"/>
        <v>17</v>
      </c>
      <c r="Z592" s="56">
        <v>46094</v>
      </c>
    </row>
    <row r="593" spans="1:27" x14ac:dyDescent="0.15">
      <c r="A593" s="33" t="s">
        <v>1043</v>
      </c>
      <c r="B593" s="16"/>
      <c r="C593" s="29"/>
      <c r="D593" s="17"/>
      <c r="E593" s="20"/>
      <c r="F593" s="45">
        <f t="shared" si="514"/>
        <v>0</v>
      </c>
      <c r="G593" s="16">
        <v>1</v>
      </c>
      <c r="H593" s="29"/>
      <c r="I593" s="17"/>
      <c r="J593" s="20"/>
      <c r="K593" s="45">
        <f t="shared" si="515"/>
        <v>1</v>
      </c>
      <c r="L593" s="104">
        <f t="shared" si="503"/>
        <v>1</v>
      </c>
      <c r="M593" s="56">
        <v>46104</v>
      </c>
      <c r="N593" s="11" t="s">
        <v>1014</v>
      </c>
      <c r="O593" s="16">
        <v>25</v>
      </c>
      <c r="P593" s="29">
        <v>10</v>
      </c>
      <c r="Q593" s="17">
        <v>5</v>
      </c>
      <c r="R593" s="32"/>
      <c r="S593" s="9">
        <f>SUM(O593:R593)</f>
        <v>40</v>
      </c>
      <c r="T593" s="206"/>
      <c r="U593" s="207"/>
      <c r="V593" s="208"/>
      <c r="W593" s="209"/>
      <c r="X593" s="9">
        <f>SUM(T593:W593)</f>
        <v>0</v>
      </c>
      <c r="Y593" s="104">
        <f t="shared" si="511"/>
        <v>40</v>
      </c>
      <c r="Z593" s="56">
        <v>46093</v>
      </c>
    </row>
    <row r="594" spans="1:27" x14ac:dyDescent="0.15">
      <c r="A594" s="33" t="s">
        <v>51</v>
      </c>
      <c r="B594" s="16"/>
      <c r="C594" s="29"/>
      <c r="D594" s="17"/>
      <c r="E594" s="20"/>
      <c r="F594" s="45">
        <f t="shared" si="514"/>
        <v>0</v>
      </c>
      <c r="G594" s="16">
        <v>1</v>
      </c>
      <c r="H594" s="29"/>
      <c r="I594" s="17"/>
      <c r="J594" s="20"/>
      <c r="K594" s="45">
        <f t="shared" si="515"/>
        <v>1</v>
      </c>
      <c r="L594" s="104">
        <f t="shared" si="503"/>
        <v>1</v>
      </c>
      <c r="M594" s="58">
        <v>46100</v>
      </c>
      <c r="N594" s="11" t="s">
        <v>1016</v>
      </c>
      <c r="O594" s="16"/>
      <c r="P594" s="29"/>
      <c r="Q594" s="17">
        <v>3</v>
      </c>
      <c r="R594" s="32"/>
      <c r="S594" s="9">
        <f t="shared" ref="S594:S605" si="520">SUM(O594:R594)</f>
        <v>3</v>
      </c>
      <c r="T594" s="16"/>
      <c r="U594" s="29"/>
      <c r="V594" s="17">
        <v>5</v>
      </c>
      <c r="W594" s="32"/>
      <c r="X594" s="9">
        <f t="shared" ref="X594:X605" si="521">SUM(T594:W594)</f>
        <v>5</v>
      </c>
      <c r="Y594" s="104">
        <f t="shared" si="511"/>
        <v>8</v>
      </c>
      <c r="Z594" s="56">
        <v>46094</v>
      </c>
      <c r="AA594" s="35"/>
    </row>
    <row r="595" spans="1:27" x14ac:dyDescent="0.15">
      <c r="A595" s="47" t="s">
        <v>119</v>
      </c>
      <c r="B595" s="16"/>
      <c r="C595" s="29"/>
      <c r="D595" s="17"/>
      <c r="E595" s="20"/>
      <c r="F595" s="45">
        <f t="shared" si="514"/>
        <v>0</v>
      </c>
      <c r="G595" s="16">
        <v>-3</v>
      </c>
      <c r="H595" s="29"/>
      <c r="I595" s="17"/>
      <c r="J595" s="20"/>
      <c r="K595" s="45">
        <f t="shared" si="515"/>
        <v>-3</v>
      </c>
      <c r="L595" s="104">
        <f t="shared" si="503"/>
        <v>-3</v>
      </c>
      <c r="M595" s="56">
        <v>46102</v>
      </c>
      <c r="N595" s="11" t="s">
        <v>1014</v>
      </c>
      <c r="O595" s="16">
        <v>15</v>
      </c>
      <c r="P595" s="29">
        <v>15</v>
      </c>
      <c r="Q595" s="17">
        <v>10</v>
      </c>
      <c r="R595" s="32">
        <v>10</v>
      </c>
      <c r="S595" s="9">
        <f t="shared" ref="S595" si="522">SUM(O595:R595)</f>
        <v>50</v>
      </c>
      <c r="T595" s="206"/>
      <c r="U595" s="207"/>
      <c r="V595" s="208"/>
      <c r="W595" s="209"/>
      <c r="X595" s="9">
        <f t="shared" ref="X595" si="523">SUM(T595:W595)</f>
        <v>0</v>
      </c>
      <c r="Y595" s="104">
        <f t="shared" ref="Y595" si="524">S595+X595</f>
        <v>50</v>
      </c>
      <c r="Z595" s="56">
        <v>46094</v>
      </c>
    </row>
    <row r="596" spans="1:27" x14ac:dyDescent="0.15">
      <c r="A596" s="11" t="s">
        <v>1050</v>
      </c>
      <c r="B596" s="16"/>
      <c r="C596" s="29"/>
      <c r="D596" s="17">
        <v>1</v>
      </c>
      <c r="E596" s="20"/>
      <c r="F596" s="45">
        <f t="shared" si="514"/>
        <v>1</v>
      </c>
      <c r="G596" s="16"/>
      <c r="H596" s="29"/>
      <c r="I596" s="17"/>
      <c r="J596" s="20"/>
      <c r="K596" s="45">
        <f t="shared" si="515"/>
        <v>0</v>
      </c>
      <c r="L596" s="104">
        <f t="shared" si="503"/>
        <v>1</v>
      </c>
      <c r="M596" s="56">
        <v>46108</v>
      </c>
      <c r="N596" s="11" t="s">
        <v>1024</v>
      </c>
      <c r="O596" s="16">
        <v>5</v>
      </c>
      <c r="P596" s="29"/>
      <c r="Q596" s="17">
        <v>10</v>
      </c>
      <c r="R596" s="32"/>
      <c r="S596" s="9">
        <f t="shared" ref="S596:S600" si="525">SUM(O596:R596)</f>
        <v>15</v>
      </c>
      <c r="T596" s="16"/>
      <c r="U596" s="29">
        <v>3</v>
      </c>
      <c r="V596" s="17"/>
      <c r="W596" s="32">
        <v>15</v>
      </c>
      <c r="X596" s="9">
        <f t="shared" ref="X596:X600" si="526">SUM(T596:W596)</f>
        <v>18</v>
      </c>
      <c r="Y596" s="104">
        <f t="shared" ref="Y596:Y602" si="527">S596+X596</f>
        <v>33</v>
      </c>
      <c r="Z596" s="56">
        <v>46095</v>
      </c>
    </row>
    <row r="597" spans="1:27" x14ac:dyDescent="0.15">
      <c r="A597" s="47" t="s">
        <v>51</v>
      </c>
      <c r="B597" s="16">
        <v>1</v>
      </c>
      <c r="C597" s="29">
        <v>1</v>
      </c>
      <c r="D597" s="17">
        <v>1</v>
      </c>
      <c r="E597" s="20"/>
      <c r="F597" s="45">
        <f t="shared" si="514"/>
        <v>3</v>
      </c>
      <c r="G597" s="16">
        <v>1</v>
      </c>
      <c r="H597" s="29"/>
      <c r="I597" s="17"/>
      <c r="J597" s="20"/>
      <c r="K597" s="45">
        <f t="shared" si="515"/>
        <v>1</v>
      </c>
      <c r="L597" s="104">
        <f t="shared" si="503"/>
        <v>4</v>
      </c>
      <c r="M597" s="56">
        <v>46104</v>
      </c>
      <c r="N597" s="11" t="s">
        <v>1029</v>
      </c>
      <c r="O597" s="16"/>
      <c r="P597" s="29"/>
      <c r="Q597" s="17"/>
      <c r="R597" s="32">
        <v>15</v>
      </c>
      <c r="S597" s="9">
        <f t="shared" si="525"/>
        <v>15</v>
      </c>
      <c r="T597" s="16"/>
      <c r="U597" s="29">
        <v>10</v>
      </c>
      <c r="V597" s="17"/>
      <c r="W597" s="32"/>
      <c r="X597" s="9">
        <f t="shared" si="526"/>
        <v>10</v>
      </c>
      <c r="Y597" s="104">
        <f t="shared" si="527"/>
        <v>25</v>
      </c>
      <c r="Z597" s="56">
        <v>46095</v>
      </c>
    </row>
    <row r="598" spans="1:27" x14ac:dyDescent="0.15">
      <c r="A598" s="47" t="s">
        <v>1055</v>
      </c>
      <c r="B598" s="16">
        <v>-3</v>
      </c>
      <c r="C598" s="29"/>
      <c r="D598" s="17"/>
      <c r="E598" s="20"/>
      <c r="F598" s="45">
        <f t="shared" si="514"/>
        <v>-3</v>
      </c>
      <c r="G598" s="16"/>
      <c r="H598" s="29"/>
      <c r="I598" s="17"/>
      <c r="J598" s="20"/>
      <c r="K598" s="45">
        <f t="shared" si="515"/>
        <v>0</v>
      </c>
      <c r="L598" s="104">
        <f t="shared" si="503"/>
        <v>-3</v>
      </c>
      <c r="M598" s="56">
        <v>46107</v>
      </c>
      <c r="N598" s="11" t="s">
        <v>1030</v>
      </c>
      <c r="O598" s="16"/>
      <c r="P598" s="29"/>
      <c r="Q598" s="17"/>
      <c r="R598" s="32"/>
      <c r="S598" s="9">
        <f t="shared" si="525"/>
        <v>0</v>
      </c>
      <c r="T598" s="16"/>
      <c r="U598" s="29">
        <v>3</v>
      </c>
      <c r="V598" s="17"/>
      <c r="W598" s="32"/>
      <c r="X598" s="9">
        <f t="shared" si="526"/>
        <v>3</v>
      </c>
      <c r="Y598" s="104">
        <f t="shared" si="527"/>
        <v>3</v>
      </c>
      <c r="Z598" s="56">
        <v>46101</v>
      </c>
    </row>
    <row r="599" spans="1:27" x14ac:dyDescent="0.15">
      <c r="A599" s="33" t="s">
        <v>1057</v>
      </c>
      <c r="B599" s="16"/>
      <c r="C599" s="29"/>
      <c r="D599" s="17"/>
      <c r="E599" s="20"/>
      <c r="F599" s="45">
        <f t="shared" si="514"/>
        <v>0</v>
      </c>
      <c r="G599" s="16"/>
      <c r="H599" s="29"/>
      <c r="I599" s="17"/>
      <c r="J599" s="20">
        <v>1</v>
      </c>
      <c r="K599" s="45">
        <f t="shared" si="515"/>
        <v>1</v>
      </c>
      <c r="L599" s="104">
        <f t="shared" si="503"/>
        <v>1</v>
      </c>
      <c r="M599" s="56">
        <v>46108</v>
      </c>
      <c r="N599" s="289" t="s">
        <v>861</v>
      </c>
      <c r="O599" s="255"/>
      <c r="P599" s="256"/>
      <c r="Q599" s="257"/>
      <c r="R599" s="269"/>
      <c r="S599" s="270">
        <f t="shared" si="525"/>
        <v>0</v>
      </c>
      <c r="T599" s="255"/>
      <c r="U599" s="256"/>
      <c r="V599" s="257"/>
      <c r="W599" s="269">
        <v>2</v>
      </c>
      <c r="X599" s="270">
        <f t="shared" si="526"/>
        <v>2</v>
      </c>
      <c r="Y599" s="260">
        <f t="shared" si="527"/>
        <v>2</v>
      </c>
      <c r="Z599" s="261">
        <v>46099</v>
      </c>
    </row>
    <row r="600" spans="1:27" x14ac:dyDescent="0.15">
      <c r="A600" s="47" t="s">
        <v>1059</v>
      </c>
      <c r="B600" s="16"/>
      <c r="C600" s="29"/>
      <c r="D600" s="17"/>
      <c r="E600" s="20"/>
      <c r="F600" s="45">
        <f t="shared" si="514"/>
        <v>0</v>
      </c>
      <c r="G600" s="16"/>
      <c r="H600" s="29"/>
      <c r="I600" s="17">
        <v>-1</v>
      </c>
      <c r="J600" s="20"/>
      <c r="K600" s="45">
        <f t="shared" si="515"/>
        <v>-1</v>
      </c>
      <c r="L600" s="104">
        <f t="shared" si="503"/>
        <v>-1</v>
      </c>
      <c r="M600" s="58">
        <v>46105</v>
      </c>
      <c r="N600" s="11" t="s">
        <v>861</v>
      </c>
      <c r="O600" s="16"/>
      <c r="P600" s="29"/>
      <c r="Q600" s="17"/>
      <c r="R600" s="32"/>
      <c r="S600" s="9">
        <f t="shared" si="525"/>
        <v>0</v>
      </c>
      <c r="T600" s="16">
        <v>3</v>
      </c>
      <c r="U600" s="29"/>
      <c r="V600" s="17"/>
      <c r="W600" s="32"/>
      <c r="X600" s="9">
        <f t="shared" si="526"/>
        <v>3</v>
      </c>
      <c r="Y600" s="104">
        <f t="shared" si="527"/>
        <v>3</v>
      </c>
      <c r="Z600" s="56">
        <v>46102</v>
      </c>
    </row>
    <row r="601" spans="1:27" x14ac:dyDescent="0.15">
      <c r="A601" s="47" t="s">
        <v>1062</v>
      </c>
      <c r="B601" s="16">
        <v>-1</v>
      </c>
      <c r="C601" s="29"/>
      <c r="D601" s="17">
        <v>1</v>
      </c>
      <c r="E601" s="20"/>
      <c r="F601" s="45">
        <f t="shared" si="514"/>
        <v>0</v>
      </c>
      <c r="G601" s="16"/>
      <c r="H601" s="29"/>
      <c r="I601" s="17"/>
      <c r="J601" s="20"/>
      <c r="K601" s="45">
        <f t="shared" si="515"/>
        <v>0</v>
      </c>
      <c r="L601" s="104">
        <f t="shared" si="503"/>
        <v>0</v>
      </c>
      <c r="M601" s="58">
        <v>46108</v>
      </c>
      <c r="N601" s="11" t="s">
        <v>900</v>
      </c>
      <c r="O601" s="16"/>
      <c r="P601" s="29"/>
      <c r="Q601" s="17"/>
      <c r="R601" s="32"/>
      <c r="S601" s="9">
        <f t="shared" ref="S601" si="528">SUM(O601:R601)</f>
        <v>0</v>
      </c>
      <c r="T601" s="16"/>
      <c r="U601" s="29"/>
      <c r="V601" s="17"/>
      <c r="W601" s="32"/>
      <c r="X601" s="9">
        <f t="shared" ref="X601" si="529">SUM(T601:W601)</f>
        <v>0</v>
      </c>
      <c r="Y601" s="104">
        <f t="shared" si="527"/>
        <v>0</v>
      </c>
      <c r="Z601" s="157" t="s">
        <v>124</v>
      </c>
    </row>
    <row r="602" spans="1:27" x14ac:dyDescent="0.15">
      <c r="A602" s="47" t="s">
        <v>51</v>
      </c>
      <c r="B602" s="16"/>
      <c r="C602" s="29">
        <v>1</v>
      </c>
      <c r="D602" s="17">
        <v>1</v>
      </c>
      <c r="E602" s="20"/>
      <c r="F602" s="45">
        <f t="shared" si="514"/>
        <v>2</v>
      </c>
      <c r="G602" s="16"/>
      <c r="H602" s="29"/>
      <c r="I602" s="17"/>
      <c r="J602" s="20"/>
      <c r="K602" s="45">
        <f t="shared" si="515"/>
        <v>0</v>
      </c>
      <c r="L602" s="104">
        <f t="shared" si="503"/>
        <v>2</v>
      </c>
      <c r="M602" s="58">
        <v>46111</v>
      </c>
      <c r="N602" s="11" t="s">
        <v>919</v>
      </c>
      <c r="O602" s="16"/>
      <c r="P602" s="29"/>
      <c r="Q602" s="17"/>
      <c r="R602" s="32"/>
      <c r="S602" s="9">
        <f t="shared" ref="S602" si="530">SUM(O602:R602)</f>
        <v>0</v>
      </c>
      <c r="T602" s="16"/>
      <c r="U602" s="29"/>
      <c r="V602" s="17"/>
      <c r="W602" s="32"/>
      <c r="X602" s="9">
        <f t="shared" ref="X602" si="531">SUM(T602:W602)</f>
        <v>0</v>
      </c>
      <c r="Y602" s="104">
        <f t="shared" si="527"/>
        <v>0</v>
      </c>
      <c r="Z602" s="157" t="s">
        <v>920</v>
      </c>
    </row>
    <row r="603" spans="1:27" x14ac:dyDescent="0.15">
      <c r="A603" s="47" t="s">
        <v>51</v>
      </c>
      <c r="B603" s="16"/>
      <c r="C603" s="29"/>
      <c r="D603" s="17"/>
      <c r="E603" s="20"/>
      <c r="F603" s="45">
        <f t="shared" si="514"/>
        <v>0</v>
      </c>
      <c r="G603" s="16">
        <v>1</v>
      </c>
      <c r="H603" s="29"/>
      <c r="I603" s="17"/>
      <c r="J603" s="20"/>
      <c r="K603" s="45">
        <f t="shared" si="515"/>
        <v>1</v>
      </c>
      <c r="L603" s="104">
        <f t="shared" si="503"/>
        <v>1</v>
      </c>
      <c r="M603" s="58">
        <v>46112</v>
      </c>
      <c r="N603" s="11" t="s">
        <v>866</v>
      </c>
      <c r="O603" s="16"/>
      <c r="P603" s="29"/>
      <c r="Q603" s="17"/>
      <c r="R603" s="32"/>
      <c r="S603" s="9">
        <f t="shared" ref="S603" si="532">SUM(O603:R603)</f>
        <v>0</v>
      </c>
      <c r="T603" s="16"/>
      <c r="U603" s="29"/>
      <c r="V603" s="17"/>
      <c r="W603" s="32"/>
      <c r="X603" s="9">
        <f t="shared" ref="X603" si="533">SUM(T603:W603)</f>
        <v>0</v>
      </c>
      <c r="Y603" s="104">
        <f t="shared" ref="Y603" si="534">S603+X603</f>
        <v>0</v>
      </c>
      <c r="Z603" s="157" t="s">
        <v>865</v>
      </c>
    </row>
    <row r="604" spans="1:27" ht="14.25" thickBot="1" x14ac:dyDescent="0.2">
      <c r="A604" s="128" t="s">
        <v>1065</v>
      </c>
      <c r="B604" s="37"/>
      <c r="C604" s="38">
        <v>1</v>
      </c>
      <c r="D604" s="39"/>
      <c r="E604" s="40"/>
      <c r="F604" s="46">
        <f t="shared" ref="F604" si="535">SUM(B604:E604)</f>
        <v>1</v>
      </c>
      <c r="G604" s="37"/>
      <c r="H604" s="38"/>
      <c r="I604" s="39"/>
      <c r="J604" s="40"/>
      <c r="K604" s="46">
        <f t="shared" ref="K604" si="536">SUM(G604:J604)</f>
        <v>0</v>
      </c>
      <c r="L604" s="101">
        <f t="shared" ref="L604" si="537">F604+K604</f>
        <v>1</v>
      </c>
      <c r="M604" s="56">
        <v>46115</v>
      </c>
      <c r="N604" s="128" t="s">
        <v>753</v>
      </c>
      <c r="O604" s="37"/>
      <c r="P604" s="38"/>
      <c r="Q604" s="39"/>
      <c r="R604" s="129"/>
      <c r="S604" s="10">
        <f t="shared" ref="S604" si="538">SUM(O604:R604)</f>
        <v>0</v>
      </c>
      <c r="T604" s="123"/>
      <c r="U604" s="124"/>
      <c r="V604" s="125"/>
      <c r="W604" s="126"/>
      <c r="X604" s="10">
        <f t="shared" ref="X604" si="539">SUM(T604:W604)</f>
        <v>0</v>
      </c>
      <c r="Y604" s="101">
        <f t="shared" ref="Y604" si="540">S604+X604</f>
        <v>0</v>
      </c>
      <c r="Z604" s="35" t="s">
        <v>754</v>
      </c>
    </row>
    <row r="605" spans="1:27" ht="14.25" thickBot="1" x14ac:dyDescent="0.2">
      <c r="A605" s="49" t="s">
        <v>8</v>
      </c>
      <c r="B605" s="22">
        <f>SUM(B580:B604)</f>
        <v>0</v>
      </c>
      <c r="C605" s="30">
        <f>SUM(C580:C604)</f>
        <v>6</v>
      </c>
      <c r="D605" s="23">
        <f>SUM(D580:D604)</f>
        <v>4</v>
      </c>
      <c r="E605" s="24">
        <f>SUM(E580:E604)</f>
        <v>3</v>
      </c>
      <c r="F605" s="48">
        <f>SUM(B605:E605)</f>
        <v>13</v>
      </c>
      <c r="G605" s="22">
        <f>SUM(G580:G604)</f>
        <v>5</v>
      </c>
      <c r="H605" s="30">
        <f>SUM(H580:H604)</f>
        <v>0</v>
      </c>
      <c r="I605" s="23">
        <f>SUM(I580:I604)</f>
        <v>2</v>
      </c>
      <c r="J605" s="24">
        <f>SUM(J580:J604)</f>
        <v>5</v>
      </c>
      <c r="K605" s="48">
        <f>SUM(G605:J605)</f>
        <v>12</v>
      </c>
      <c r="L605" s="122">
        <f t="shared" si="503"/>
        <v>25</v>
      </c>
      <c r="N605" s="49" t="s">
        <v>8</v>
      </c>
      <c r="O605" s="22">
        <f>SUM(O580:O604)</f>
        <v>92</v>
      </c>
      <c r="P605" s="30">
        <f>SUM(P580:P604)</f>
        <v>104</v>
      </c>
      <c r="Q605" s="23">
        <f>SUM(Q580:Q604)</f>
        <v>75</v>
      </c>
      <c r="R605" s="24">
        <f>SUM(R580:R604)</f>
        <v>96</v>
      </c>
      <c r="S605" s="48">
        <f t="shared" si="520"/>
        <v>367</v>
      </c>
      <c r="T605" s="22">
        <f>SUM(T580:T604)</f>
        <v>13</v>
      </c>
      <c r="U605" s="30">
        <f>SUM(U580:U604)</f>
        <v>24</v>
      </c>
      <c r="V605" s="23">
        <f>SUM(V580:V604)</f>
        <v>19</v>
      </c>
      <c r="W605" s="24">
        <f>SUM(W580:W604)</f>
        <v>23</v>
      </c>
      <c r="X605" s="48">
        <f t="shared" si="521"/>
        <v>79</v>
      </c>
      <c r="Y605" s="122">
        <f t="shared" si="511"/>
        <v>446</v>
      </c>
    </row>
    <row r="606" spans="1:27" ht="14.25" thickBot="1" x14ac:dyDescent="0.2">
      <c r="A606" s="14" t="s">
        <v>9</v>
      </c>
      <c r="B606" s="25">
        <f t="shared" ref="B606:K606" si="541">B579-B605</f>
        <v>7</v>
      </c>
      <c r="C606" s="31">
        <f t="shared" si="541"/>
        <v>5</v>
      </c>
      <c r="D606" s="26">
        <f t="shared" si="541"/>
        <v>5</v>
      </c>
      <c r="E606" s="27">
        <f t="shared" si="541"/>
        <v>4</v>
      </c>
      <c r="F606" s="83">
        <f t="shared" si="541"/>
        <v>21</v>
      </c>
      <c r="G606" s="25">
        <f t="shared" si="541"/>
        <v>3</v>
      </c>
      <c r="H606" s="31">
        <f t="shared" si="541"/>
        <v>7</v>
      </c>
      <c r="I606" s="26">
        <f t="shared" si="541"/>
        <v>5</v>
      </c>
      <c r="J606" s="27">
        <f t="shared" si="541"/>
        <v>3</v>
      </c>
      <c r="K606" s="83">
        <f t="shared" si="541"/>
        <v>18</v>
      </c>
      <c r="L606" s="102">
        <f t="shared" si="503"/>
        <v>39</v>
      </c>
      <c r="N606" s="13" t="s">
        <v>9</v>
      </c>
      <c r="O606" s="25">
        <f t="shared" ref="O606:X606" si="542">O579-O605</f>
        <v>-4</v>
      </c>
      <c r="P606" s="31">
        <f t="shared" si="542"/>
        <v>45</v>
      </c>
      <c r="Q606" s="26">
        <f t="shared" si="542"/>
        <v>88</v>
      </c>
      <c r="R606" s="27">
        <f t="shared" si="542"/>
        <v>177</v>
      </c>
      <c r="S606" s="36">
        <f t="shared" si="542"/>
        <v>306</v>
      </c>
      <c r="T606" s="25">
        <f t="shared" si="542"/>
        <v>61</v>
      </c>
      <c r="U606" s="31">
        <f t="shared" si="542"/>
        <v>53</v>
      </c>
      <c r="V606" s="26">
        <f t="shared" si="542"/>
        <v>40</v>
      </c>
      <c r="W606" s="27">
        <f t="shared" si="542"/>
        <v>39</v>
      </c>
      <c r="X606" s="36">
        <f t="shared" si="542"/>
        <v>193</v>
      </c>
      <c r="Y606" s="102">
        <f t="shared" si="511"/>
        <v>499</v>
      </c>
      <c r="Z606" s="116" t="s">
        <v>1017</v>
      </c>
    </row>
    <row r="607" spans="1:27" x14ac:dyDescent="0.15">
      <c r="N607" s="241" t="s">
        <v>1025</v>
      </c>
      <c r="O607" s="50">
        <f>O605+O569</f>
        <v>555</v>
      </c>
      <c r="P607" s="50">
        <f t="shared" ref="P607:Y607" si="543">P605+P569</f>
        <v>984</v>
      </c>
      <c r="Q607" s="50">
        <f t="shared" si="543"/>
        <v>772</v>
      </c>
      <c r="R607" s="50">
        <f t="shared" si="543"/>
        <v>924</v>
      </c>
      <c r="S607" s="50">
        <f t="shared" si="543"/>
        <v>3235</v>
      </c>
      <c r="T607" s="50">
        <f t="shared" si="543"/>
        <v>158</v>
      </c>
      <c r="U607" s="50">
        <f t="shared" si="543"/>
        <v>270</v>
      </c>
      <c r="V607" s="50">
        <f t="shared" si="543"/>
        <v>217</v>
      </c>
      <c r="W607" s="50">
        <f t="shared" si="543"/>
        <v>243</v>
      </c>
      <c r="X607" s="50">
        <f t="shared" si="543"/>
        <v>888</v>
      </c>
      <c r="Y607" s="50">
        <f t="shared" si="543"/>
        <v>4123</v>
      </c>
    </row>
    <row r="608" spans="1:27" x14ac:dyDescent="0.15">
      <c r="N608" s="241" t="s">
        <v>597</v>
      </c>
      <c r="O608" s="149">
        <f>O607/$S$607*100</f>
        <v>17.156105100463677</v>
      </c>
      <c r="P608" s="149">
        <f t="shared" ref="P608:S608" si="544">P607/$S$607*100</f>
        <v>30.417310664605875</v>
      </c>
      <c r="Q608" s="149">
        <f t="shared" si="544"/>
        <v>23.863987635239567</v>
      </c>
      <c r="R608" s="149">
        <f t="shared" si="544"/>
        <v>28.562596599690881</v>
      </c>
      <c r="S608" s="149">
        <f t="shared" si="544"/>
        <v>100</v>
      </c>
      <c r="T608" s="116"/>
      <c r="U608" s="116"/>
      <c r="V608" s="149"/>
      <c r="W608" s="116"/>
      <c r="X608" s="149"/>
    </row>
    <row r="609" spans="1:28" ht="19.5" thickBot="1" x14ac:dyDescent="0.25">
      <c r="A609" s="2" t="s">
        <v>18</v>
      </c>
      <c r="B609" s="2"/>
      <c r="C609" s="1"/>
      <c r="D609" s="1"/>
      <c r="E609" s="1"/>
      <c r="F609" s="84"/>
      <c r="G609" s="2"/>
      <c r="H609" s="1" t="s">
        <v>157</v>
      </c>
      <c r="I609" s="1"/>
      <c r="J609" s="1"/>
      <c r="K609" s="84" t="s">
        <v>13</v>
      </c>
      <c r="L609" s="84"/>
      <c r="N609" s="2" t="s">
        <v>19</v>
      </c>
      <c r="O609" s="71"/>
      <c r="P609" s="71"/>
      <c r="Q609" s="71"/>
      <c r="R609" s="71"/>
      <c r="S609" s="84"/>
      <c r="T609" s="1" t="s">
        <v>157</v>
      </c>
      <c r="U609" s="71"/>
      <c r="V609" s="71"/>
      <c r="W609" s="71"/>
      <c r="X609" s="84" t="s">
        <v>13</v>
      </c>
    </row>
    <row r="610" spans="1:28" ht="14.25" thickBot="1" x14ac:dyDescent="0.2">
      <c r="A610" s="5" t="s">
        <v>0</v>
      </c>
      <c r="B610" s="322" t="s">
        <v>32</v>
      </c>
      <c r="C610" s="323"/>
      <c r="D610" s="323"/>
      <c r="E610" s="323"/>
      <c r="F610" s="324"/>
      <c r="G610" s="325" t="s">
        <v>31</v>
      </c>
      <c r="H610" s="326"/>
      <c r="I610" s="326"/>
      <c r="J610" s="326"/>
      <c r="K610" s="327"/>
      <c r="L610" s="320" t="s">
        <v>30</v>
      </c>
      <c r="N610" s="5" t="s">
        <v>0</v>
      </c>
      <c r="O610" s="322" t="s">
        <v>200</v>
      </c>
      <c r="P610" s="323"/>
      <c r="Q610" s="323"/>
      <c r="R610" s="323"/>
      <c r="S610" s="324"/>
      <c r="T610" s="325" t="s">
        <v>201</v>
      </c>
      <c r="U610" s="326"/>
      <c r="V610" s="326"/>
      <c r="W610" s="326"/>
      <c r="X610" s="327"/>
      <c r="Y610" s="320" t="s">
        <v>30</v>
      </c>
    </row>
    <row r="611" spans="1:28" ht="14.25" thickBot="1" x14ac:dyDescent="0.2">
      <c r="A611" s="5" t="s">
        <v>1</v>
      </c>
      <c r="B611" s="3" t="s">
        <v>22</v>
      </c>
      <c r="C611" s="28" t="s">
        <v>23</v>
      </c>
      <c r="D611" s="4" t="s">
        <v>24</v>
      </c>
      <c r="E611" s="15" t="s">
        <v>25</v>
      </c>
      <c r="F611" s="19" t="s">
        <v>2</v>
      </c>
      <c r="G611" s="3" t="s">
        <v>22</v>
      </c>
      <c r="H611" s="28" t="s">
        <v>23</v>
      </c>
      <c r="I611" s="4" t="s">
        <v>24</v>
      </c>
      <c r="J611" s="15" t="s">
        <v>25</v>
      </c>
      <c r="K611" s="19" t="s">
        <v>2</v>
      </c>
      <c r="L611" s="321"/>
      <c r="N611" s="5" t="s">
        <v>1</v>
      </c>
      <c r="O611" s="3" t="s">
        <v>22</v>
      </c>
      <c r="P611" s="28" t="s">
        <v>23</v>
      </c>
      <c r="Q611" s="4" t="s">
        <v>24</v>
      </c>
      <c r="R611" s="15" t="s">
        <v>25</v>
      </c>
      <c r="S611" s="19" t="s">
        <v>2</v>
      </c>
      <c r="T611" s="3" t="s">
        <v>22</v>
      </c>
      <c r="U611" s="28" t="s">
        <v>23</v>
      </c>
      <c r="V611" s="4" t="s">
        <v>24</v>
      </c>
      <c r="W611" s="15" t="s">
        <v>25</v>
      </c>
      <c r="X611" s="19" t="s">
        <v>2</v>
      </c>
      <c r="Y611" s="321"/>
    </row>
    <row r="612" spans="1:28" x14ac:dyDescent="0.15">
      <c r="A612" s="78" t="s">
        <v>10</v>
      </c>
      <c r="B612" s="79">
        <f>B606</f>
        <v>7</v>
      </c>
      <c r="C612" s="80">
        <f>C606</f>
        <v>5</v>
      </c>
      <c r="D612" s="80">
        <f>D606</f>
        <v>5</v>
      </c>
      <c r="E612" s="81">
        <f>E606</f>
        <v>4</v>
      </c>
      <c r="F612" s="82">
        <f>SUM(B612:E612)</f>
        <v>21</v>
      </c>
      <c r="G612" s="79">
        <f>G606</f>
        <v>3</v>
      </c>
      <c r="H612" s="80">
        <f>H606</f>
        <v>7</v>
      </c>
      <c r="I612" s="80">
        <f>I606</f>
        <v>5</v>
      </c>
      <c r="J612" s="81">
        <f>J606</f>
        <v>3</v>
      </c>
      <c r="K612" s="82">
        <f>SUM(G612:J612)</f>
        <v>18</v>
      </c>
      <c r="L612" s="98">
        <f t="shared" ref="L612:L644" si="545">F612+K612</f>
        <v>39</v>
      </c>
      <c r="N612" s="78" t="s">
        <v>10</v>
      </c>
      <c r="O612" s="79">
        <f>O606</f>
        <v>-4</v>
      </c>
      <c r="P612" s="80">
        <f>P606</f>
        <v>45</v>
      </c>
      <c r="Q612" s="80">
        <f>Q606</f>
        <v>88</v>
      </c>
      <c r="R612" s="81">
        <f>R606</f>
        <v>177</v>
      </c>
      <c r="S612" s="82">
        <f>SUM(O612:R612)</f>
        <v>306</v>
      </c>
      <c r="T612" s="79">
        <f>T606</f>
        <v>61</v>
      </c>
      <c r="U612" s="80">
        <f>U606</f>
        <v>53</v>
      </c>
      <c r="V612" s="80">
        <f>V606</f>
        <v>40</v>
      </c>
      <c r="W612" s="81">
        <f>W606</f>
        <v>39</v>
      </c>
      <c r="X612" s="82">
        <f>SUM(T612:W612)</f>
        <v>193</v>
      </c>
      <c r="Y612" s="98">
        <f>S612+X612</f>
        <v>499</v>
      </c>
    </row>
    <row r="613" spans="1:28" x14ac:dyDescent="0.15">
      <c r="A613" s="47" t="s">
        <v>66</v>
      </c>
      <c r="B613" s="51"/>
      <c r="C613" s="52"/>
      <c r="D613" s="53"/>
      <c r="E613" s="54">
        <v>1</v>
      </c>
      <c r="F613" s="61">
        <f>SUM(B613:E613)</f>
        <v>1</v>
      </c>
      <c r="G613" s="51"/>
      <c r="H613" s="52"/>
      <c r="I613" s="53"/>
      <c r="J613" s="54">
        <v>1</v>
      </c>
      <c r="K613" s="61">
        <f>SUM(G613:J613)</f>
        <v>1</v>
      </c>
      <c r="L613" s="99">
        <f t="shared" si="545"/>
        <v>2</v>
      </c>
      <c r="M613" s="58">
        <v>46119</v>
      </c>
      <c r="N613" s="12" t="s">
        <v>735</v>
      </c>
      <c r="O613" s="16">
        <v>88</v>
      </c>
      <c r="P613" s="29">
        <v>164</v>
      </c>
      <c r="Q613" s="17"/>
      <c r="R613" s="20"/>
      <c r="S613" s="45">
        <f t="shared" ref="S613:S616" si="546">SUM(O613:R613)</f>
        <v>252</v>
      </c>
      <c r="T613" s="16">
        <v>20</v>
      </c>
      <c r="U613" s="29">
        <v>30</v>
      </c>
      <c r="V613" s="17">
        <v>40</v>
      </c>
      <c r="W613" s="20">
        <v>60</v>
      </c>
      <c r="X613" s="45">
        <f t="shared" ref="X613:X616" si="547">SUM(T613:W613)</f>
        <v>150</v>
      </c>
      <c r="Y613" s="100">
        <f t="shared" ref="Y613:Y616" si="548">S613+X613</f>
        <v>402</v>
      </c>
      <c r="Z613" s="56" t="s">
        <v>1034</v>
      </c>
    </row>
    <row r="614" spans="1:28" x14ac:dyDescent="0.15">
      <c r="A614" s="12" t="s">
        <v>4</v>
      </c>
      <c r="B614" s="6"/>
      <c r="C614" s="18">
        <v>3</v>
      </c>
      <c r="D614" s="7"/>
      <c r="E614" s="8"/>
      <c r="F614" s="9">
        <f>SUM(B614:E614)</f>
        <v>3</v>
      </c>
      <c r="G614" s="6"/>
      <c r="H614" s="18"/>
      <c r="I614" s="7"/>
      <c r="J614" s="8"/>
      <c r="K614" s="9">
        <f>SUM(G614:J614)</f>
        <v>0</v>
      </c>
      <c r="L614" s="100">
        <f t="shared" si="545"/>
        <v>3</v>
      </c>
      <c r="M614" s="56">
        <v>46125</v>
      </c>
      <c r="N614" s="12" t="s">
        <v>47</v>
      </c>
      <c r="O614" s="16"/>
      <c r="P614" s="29"/>
      <c r="Q614" s="17"/>
      <c r="R614" s="20"/>
      <c r="S614" s="45">
        <f t="shared" si="546"/>
        <v>0</v>
      </c>
      <c r="T614" s="16">
        <v>4</v>
      </c>
      <c r="U614" s="29">
        <v>6</v>
      </c>
      <c r="V614" s="17">
        <v>4</v>
      </c>
      <c r="W614" s="20">
        <v>4</v>
      </c>
      <c r="X614" s="45">
        <f t="shared" si="547"/>
        <v>18</v>
      </c>
      <c r="Y614" s="100">
        <f t="shared" si="548"/>
        <v>18</v>
      </c>
      <c r="Z614" s="157"/>
    </row>
    <row r="615" spans="1:28" x14ac:dyDescent="0.15">
      <c r="A615" s="283" t="s">
        <v>5</v>
      </c>
      <c r="B615" s="284"/>
      <c r="C615" s="285"/>
      <c r="D615" s="286"/>
      <c r="E615" s="287"/>
      <c r="F615" s="270">
        <f>SUM(B615:E615)</f>
        <v>0</v>
      </c>
      <c r="G615" s="284">
        <v>3</v>
      </c>
      <c r="H615" s="285"/>
      <c r="I615" s="286"/>
      <c r="J615" s="287"/>
      <c r="K615" s="270">
        <f>SUM(G615:J615)</f>
        <v>3</v>
      </c>
      <c r="L615" s="288">
        <f t="shared" si="545"/>
        <v>3</v>
      </c>
      <c r="M615" s="261">
        <v>46126</v>
      </c>
      <c r="N615" s="12" t="s">
        <v>392</v>
      </c>
      <c r="O615" s="16">
        <v>3</v>
      </c>
      <c r="P615" s="29">
        <v>7</v>
      </c>
      <c r="Q615" s="17">
        <v>2</v>
      </c>
      <c r="R615" s="20">
        <v>4</v>
      </c>
      <c r="S615" s="45">
        <f t="shared" si="546"/>
        <v>16</v>
      </c>
      <c r="T615" s="16"/>
      <c r="U615" s="29"/>
      <c r="V615" s="17"/>
      <c r="W615" s="20"/>
      <c r="X615" s="45">
        <f t="shared" si="547"/>
        <v>0</v>
      </c>
      <c r="Y615" s="100">
        <f t="shared" si="548"/>
        <v>16</v>
      </c>
      <c r="Z615" s="56">
        <v>46130</v>
      </c>
      <c r="AA615" s="35"/>
    </row>
    <row r="616" spans="1:28" ht="14.25" thickBot="1" x14ac:dyDescent="0.2">
      <c r="A616" s="12" t="s">
        <v>360</v>
      </c>
      <c r="B616" s="6">
        <v>3</v>
      </c>
      <c r="C616" s="18">
        <v>7</v>
      </c>
      <c r="D616" s="7">
        <v>2</v>
      </c>
      <c r="E616" s="8">
        <v>4</v>
      </c>
      <c r="F616" s="10">
        <f>SUM(B616:E616)</f>
        <v>16</v>
      </c>
      <c r="G616" s="6"/>
      <c r="H616" s="18"/>
      <c r="I616" s="7"/>
      <c r="J616" s="8"/>
      <c r="K616" s="10">
        <f>SUM(G616:J616)</f>
        <v>0</v>
      </c>
      <c r="L616" s="101">
        <f t="shared" si="545"/>
        <v>16</v>
      </c>
      <c r="M616" s="58">
        <v>46129</v>
      </c>
      <c r="N616" s="12" t="s">
        <v>802</v>
      </c>
      <c r="O616" s="16"/>
      <c r="P616" s="29"/>
      <c r="Q616" s="17">
        <v>20</v>
      </c>
      <c r="R616" s="20">
        <v>35</v>
      </c>
      <c r="S616" s="45">
        <f t="shared" si="546"/>
        <v>55</v>
      </c>
      <c r="T616" s="16"/>
      <c r="U616" s="29"/>
      <c r="V616" s="17"/>
      <c r="W616" s="20"/>
      <c r="X616" s="45">
        <f t="shared" si="547"/>
        <v>0</v>
      </c>
      <c r="Y616" s="100">
        <f t="shared" si="548"/>
        <v>55</v>
      </c>
      <c r="Z616" s="56" t="s">
        <v>1107</v>
      </c>
      <c r="AA616" s="35"/>
    </row>
    <row r="617" spans="1:28" ht="14.25" thickBot="1" x14ac:dyDescent="0.2">
      <c r="A617" s="14" t="s">
        <v>7</v>
      </c>
      <c r="B617" s="62">
        <f t="shared" ref="B617:K617" si="549">SUM(B612:B616)</f>
        <v>10</v>
      </c>
      <c r="C617" s="63">
        <f t="shared" si="549"/>
        <v>15</v>
      </c>
      <c r="D617" s="64">
        <f t="shared" si="549"/>
        <v>7</v>
      </c>
      <c r="E617" s="65">
        <f t="shared" si="549"/>
        <v>9</v>
      </c>
      <c r="F617" s="66">
        <f t="shared" si="549"/>
        <v>41</v>
      </c>
      <c r="G617" s="62">
        <f t="shared" si="549"/>
        <v>6</v>
      </c>
      <c r="H617" s="63">
        <f t="shared" si="549"/>
        <v>7</v>
      </c>
      <c r="I617" s="64">
        <f t="shared" si="549"/>
        <v>5</v>
      </c>
      <c r="J617" s="65">
        <f t="shared" si="549"/>
        <v>4</v>
      </c>
      <c r="K617" s="66">
        <f t="shared" si="549"/>
        <v>22</v>
      </c>
      <c r="L617" s="102">
        <f t="shared" si="545"/>
        <v>63</v>
      </c>
      <c r="N617" s="13" t="s">
        <v>7</v>
      </c>
      <c r="O617" s="25">
        <f t="shared" ref="O617:X617" si="550">SUM(O612:O616)</f>
        <v>87</v>
      </c>
      <c r="P617" s="31">
        <f t="shared" si="550"/>
        <v>216</v>
      </c>
      <c r="Q617" s="26">
        <f t="shared" si="550"/>
        <v>110</v>
      </c>
      <c r="R617" s="67">
        <f t="shared" si="550"/>
        <v>216</v>
      </c>
      <c r="S617" s="68">
        <f t="shared" si="550"/>
        <v>629</v>
      </c>
      <c r="T617" s="25">
        <f t="shared" si="550"/>
        <v>85</v>
      </c>
      <c r="U617" s="31">
        <f t="shared" si="550"/>
        <v>89</v>
      </c>
      <c r="V617" s="26">
        <f t="shared" si="550"/>
        <v>84</v>
      </c>
      <c r="W617" s="67">
        <f t="shared" si="550"/>
        <v>103</v>
      </c>
      <c r="X617" s="68">
        <f t="shared" si="550"/>
        <v>361</v>
      </c>
      <c r="Y617" s="102">
        <f t="shared" ref="Y617:Y644" si="551">S617+X617</f>
        <v>990</v>
      </c>
    </row>
    <row r="618" spans="1:28" x14ac:dyDescent="0.15">
      <c r="A618" s="158" t="s">
        <v>1078</v>
      </c>
      <c r="B618" s="41"/>
      <c r="C618" s="42">
        <v>1</v>
      </c>
      <c r="D618" s="43"/>
      <c r="E618" s="44">
        <v>1</v>
      </c>
      <c r="F618" s="70">
        <f t="shared" ref="F618:F643" si="552">SUM(B618:E618)</f>
        <v>2</v>
      </c>
      <c r="G618" s="41"/>
      <c r="H618" s="42"/>
      <c r="I618" s="43"/>
      <c r="J618" s="44"/>
      <c r="K618" s="70">
        <f t="shared" ref="K618:K643" si="553">SUM(G618:J618)</f>
        <v>0</v>
      </c>
      <c r="L618" s="103">
        <f t="shared" si="545"/>
        <v>2</v>
      </c>
      <c r="M618" s="56">
        <v>46118</v>
      </c>
      <c r="N618" s="33" t="s">
        <v>1036</v>
      </c>
      <c r="O618" s="16">
        <v>10</v>
      </c>
      <c r="P618" s="29"/>
      <c r="Q618" s="17">
        <v>5</v>
      </c>
      <c r="R618" s="32">
        <v>30</v>
      </c>
      <c r="S618" s="9">
        <f t="shared" ref="S618:S623" si="554">SUM(O618:R618)</f>
        <v>45</v>
      </c>
      <c r="T618" s="16"/>
      <c r="U618" s="29"/>
      <c r="V618" s="17">
        <v>25</v>
      </c>
      <c r="W618" s="32">
        <v>5</v>
      </c>
      <c r="X618" s="9">
        <f t="shared" ref="X618:X623" si="555">SUM(T618:W618)</f>
        <v>30</v>
      </c>
      <c r="Y618" s="103">
        <f t="shared" si="551"/>
        <v>75</v>
      </c>
      <c r="Z618" s="56">
        <v>46100</v>
      </c>
    </row>
    <row r="619" spans="1:28" x14ac:dyDescent="0.15">
      <c r="A619" s="47" t="s">
        <v>51</v>
      </c>
      <c r="B619" s="16"/>
      <c r="C619" s="29">
        <v>1</v>
      </c>
      <c r="D619" s="17"/>
      <c r="E619" s="20"/>
      <c r="F619" s="45">
        <f t="shared" si="552"/>
        <v>1</v>
      </c>
      <c r="G619" s="16"/>
      <c r="H619" s="29"/>
      <c r="I619" s="17"/>
      <c r="J619" s="20"/>
      <c r="K619" s="45">
        <f t="shared" si="553"/>
        <v>0</v>
      </c>
      <c r="L619" s="104">
        <f t="shared" si="545"/>
        <v>1</v>
      </c>
      <c r="M619" s="56">
        <v>46115</v>
      </c>
      <c r="N619" s="33" t="s">
        <v>1045</v>
      </c>
      <c r="O619" s="16"/>
      <c r="P619" s="29">
        <v>20</v>
      </c>
      <c r="Q619" s="17">
        <v>5</v>
      </c>
      <c r="R619" s="32"/>
      <c r="S619" s="9">
        <f t="shared" si="554"/>
        <v>25</v>
      </c>
      <c r="T619" s="16"/>
      <c r="U619" s="29"/>
      <c r="V619" s="17"/>
      <c r="W619" s="32">
        <v>10</v>
      </c>
      <c r="X619" s="9">
        <f t="shared" si="555"/>
        <v>10</v>
      </c>
      <c r="Y619" s="104">
        <f t="shared" si="551"/>
        <v>35</v>
      </c>
      <c r="Z619" s="56">
        <v>46101</v>
      </c>
    </row>
    <row r="620" spans="1:28" x14ac:dyDescent="0.15">
      <c r="A620" s="47" t="s">
        <v>51</v>
      </c>
      <c r="B620" s="16"/>
      <c r="C620" s="29">
        <v>1</v>
      </c>
      <c r="D620" s="17">
        <v>1</v>
      </c>
      <c r="E620" s="20"/>
      <c r="F620" s="45">
        <f t="shared" si="552"/>
        <v>2</v>
      </c>
      <c r="G620" s="16"/>
      <c r="H620" s="29"/>
      <c r="I620" s="17">
        <v>1</v>
      </c>
      <c r="J620" s="20"/>
      <c r="K620" s="45">
        <f t="shared" si="553"/>
        <v>1</v>
      </c>
      <c r="L620" s="104">
        <f t="shared" si="545"/>
        <v>3</v>
      </c>
      <c r="M620" s="58">
        <v>46118</v>
      </c>
      <c r="N620" s="11" t="s">
        <v>1049</v>
      </c>
      <c r="O620" s="16"/>
      <c r="P620" s="29">
        <v>10</v>
      </c>
      <c r="Q620" s="17">
        <v>10</v>
      </c>
      <c r="R620" s="32">
        <v>10</v>
      </c>
      <c r="S620" s="9">
        <f t="shared" si="554"/>
        <v>30</v>
      </c>
      <c r="T620" s="16"/>
      <c r="U620" s="29"/>
      <c r="V620" s="17"/>
      <c r="W620" s="32"/>
      <c r="X620" s="9">
        <f t="shared" si="555"/>
        <v>0</v>
      </c>
      <c r="Y620" s="104">
        <f t="shared" si="551"/>
        <v>30</v>
      </c>
      <c r="Z620" s="56">
        <v>46120</v>
      </c>
    </row>
    <row r="621" spans="1:28" x14ac:dyDescent="0.15">
      <c r="A621" s="47" t="s">
        <v>1091</v>
      </c>
      <c r="B621" s="16"/>
      <c r="C621" s="29">
        <v>-1</v>
      </c>
      <c r="D621" s="17">
        <v>1</v>
      </c>
      <c r="E621" s="20"/>
      <c r="F621" s="45">
        <f t="shared" si="552"/>
        <v>0</v>
      </c>
      <c r="G621" s="16"/>
      <c r="H621" s="29"/>
      <c r="I621" s="17"/>
      <c r="J621" s="20"/>
      <c r="K621" s="45">
        <f t="shared" si="553"/>
        <v>0</v>
      </c>
      <c r="L621" s="104">
        <f t="shared" si="545"/>
        <v>0</v>
      </c>
      <c r="M621" s="58">
        <v>46121</v>
      </c>
      <c r="N621" s="33" t="s">
        <v>1056</v>
      </c>
      <c r="O621" s="16">
        <v>3</v>
      </c>
      <c r="P621" s="29"/>
      <c r="Q621" s="17"/>
      <c r="R621" s="32"/>
      <c r="S621" s="9">
        <f t="shared" si="554"/>
        <v>3</v>
      </c>
      <c r="T621" s="16"/>
      <c r="U621" s="29"/>
      <c r="V621" s="17"/>
      <c r="W621" s="32"/>
      <c r="X621" s="9">
        <f t="shared" si="555"/>
        <v>0</v>
      </c>
      <c r="Y621" s="104">
        <f t="shared" si="551"/>
        <v>3</v>
      </c>
      <c r="Z621" s="56">
        <v>46107</v>
      </c>
    </row>
    <row r="622" spans="1:28" x14ac:dyDescent="0.15">
      <c r="A622" s="11" t="s">
        <v>45</v>
      </c>
      <c r="B622" s="16"/>
      <c r="C622" s="29">
        <v>1</v>
      </c>
      <c r="D622" s="17"/>
      <c r="E622" s="20"/>
      <c r="F622" s="45">
        <f t="shared" si="552"/>
        <v>1</v>
      </c>
      <c r="G622" s="16"/>
      <c r="H622" s="29"/>
      <c r="I622" s="17"/>
      <c r="J622" s="20"/>
      <c r="K622" s="45">
        <f t="shared" si="553"/>
        <v>0</v>
      </c>
      <c r="L622" s="104">
        <f t="shared" si="545"/>
        <v>1</v>
      </c>
      <c r="M622" s="58">
        <v>46122</v>
      </c>
      <c r="N622" s="11" t="s">
        <v>1076</v>
      </c>
      <c r="O622" s="16"/>
      <c r="P622" s="29"/>
      <c r="Q622" s="17">
        <v>6</v>
      </c>
      <c r="R622" s="32">
        <v>6</v>
      </c>
      <c r="S622" s="9">
        <f t="shared" si="554"/>
        <v>12</v>
      </c>
      <c r="T622" s="16"/>
      <c r="U622" s="29">
        <v>15</v>
      </c>
      <c r="V622" s="17"/>
      <c r="W622" s="32"/>
      <c r="X622" s="9">
        <f t="shared" si="555"/>
        <v>15</v>
      </c>
      <c r="Y622" s="104">
        <f t="shared" si="551"/>
        <v>27</v>
      </c>
      <c r="Z622" s="56">
        <v>46134</v>
      </c>
    </row>
    <row r="623" spans="1:28" x14ac:dyDescent="0.15">
      <c r="A623" s="33" t="s">
        <v>1096</v>
      </c>
      <c r="B623" s="16"/>
      <c r="C623" s="29">
        <v>1</v>
      </c>
      <c r="D623" s="17"/>
      <c r="E623" s="20"/>
      <c r="F623" s="45">
        <f t="shared" si="552"/>
        <v>1</v>
      </c>
      <c r="G623" s="16">
        <v>1</v>
      </c>
      <c r="H623" s="29"/>
      <c r="I623" s="17"/>
      <c r="J623" s="20"/>
      <c r="K623" s="45">
        <f t="shared" si="553"/>
        <v>1</v>
      </c>
      <c r="L623" s="104">
        <f t="shared" si="545"/>
        <v>2</v>
      </c>
      <c r="M623" s="56">
        <v>46127</v>
      </c>
      <c r="N623" s="11" t="s">
        <v>1081</v>
      </c>
      <c r="O623" s="16"/>
      <c r="P623" s="29"/>
      <c r="Q623" s="17"/>
      <c r="R623" s="32">
        <v>1</v>
      </c>
      <c r="S623" s="9">
        <f t="shared" si="554"/>
        <v>1</v>
      </c>
      <c r="T623" s="16"/>
      <c r="U623" s="29"/>
      <c r="V623" s="17"/>
      <c r="W623" s="32"/>
      <c r="X623" s="9">
        <f t="shared" si="555"/>
        <v>0</v>
      </c>
      <c r="Y623" s="104">
        <f t="shared" si="551"/>
        <v>1</v>
      </c>
      <c r="Z623" s="56">
        <v>46120</v>
      </c>
    </row>
    <row r="624" spans="1:28" x14ac:dyDescent="0.15">
      <c r="A624" s="33" t="s">
        <v>826</v>
      </c>
      <c r="B624" s="16"/>
      <c r="C624" s="29"/>
      <c r="D624" s="17"/>
      <c r="E624" s="20"/>
      <c r="F624" s="45">
        <f t="shared" si="552"/>
        <v>0</v>
      </c>
      <c r="G624" s="16"/>
      <c r="H624" s="29">
        <v>1</v>
      </c>
      <c r="I624" s="17"/>
      <c r="J624" s="20"/>
      <c r="K624" s="45">
        <f t="shared" si="553"/>
        <v>1</v>
      </c>
      <c r="L624" s="104">
        <f t="shared" si="545"/>
        <v>1</v>
      </c>
      <c r="M624" s="56">
        <v>46128</v>
      </c>
      <c r="N624" s="11" t="s">
        <v>1083</v>
      </c>
      <c r="O624" s="16">
        <v>30</v>
      </c>
      <c r="P624" s="29">
        <v>60</v>
      </c>
      <c r="Q624" s="17">
        <v>50</v>
      </c>
      <c r="R624" s="32">
        <v>60</v>
      </c>
      <c r="S624" s="9">
        <f>SUM(O624:R624)</f>
        <v>200</v>
      </c>
      <c r="T624" s="16"/>
      <c r="U624" s="29"/>
      <c r="V624" s="17"/>
      <c r="W624" s="32"/>
      <c r="X624" s="9">
        <f>SUM(T624:W624)</f>
        <v>0</v>
      </c>
      <c r="Y624" s="104">
        <f t="shared" si="551"/>
        <v>200</v>
      </c>
      <c r="Z624" s="56">
        <v>46136</v>
      </c>
      <c r="AA624" s="35"/>
      <c r="AB624" s="35"/>
    </row>
    <row r="625" spans="1:28" x14ac:dyDescent="0.15">
      <c r="A625" s="33" t="s">
        <v>1105</v>
      </c>
      <c r="B625" s="16"/>
      <c r="C625" s="29"/>
      <c r="D625" s="17"/>
      <c r="E625" s="20">
        <v>1</v>
      </c>
      <c r="F625" s="45">
        <f t="shared" si="552"/>
        <v>1</v>
      </c>
      <c r="G625" s="16"/>
      <c r="H625" s="29"/>
      <c r="I625" s="17"/>
      <c r="J625" s="20"/>
      <c r="K625" s="45">
        <f t="shared" si="553"/>
        <v>0</v>
      </c>
      <c r="L625" s="104">
        <f t="shared" si="545"/>
        <v>1</v>
      </c>
      <c r="M625" s="56">
        <v>46129</v>
      </c>
      <c r="N625" s="11" t="s">
        <v>1084</v>
      </c>
      <c r="O625" s="16"/>
      <c r="P625" s="29"/>
      <c r="Q625" s="17"/>
      <c r="R625" s="32"/>
      <c r="S625" s="9">
        <f t="shared" ref="S625:S629" si="556">SUM(O625:R625)</f>
        <v>0</v>
      </c>
      <c r="T625" s="16"/>
      <c r="U625" s="29"/>
      <c r="V625" s="17">
        <v>2</v>
      </c>
      <c r="W625" s="32"/>
      <c r="X625" s="9">
        <f t="shared" ref="X625:X629" si="557">SUM(T625:W625)</f>
        <v>2</v>
      </c>
      <c r="Y625" s="104">
        <f t="shared" si="551"/>
        <v>2</v>
      </c>
      <c r="Z625" s="56">
        <v>46134</v>
      </c>
      <c r="AA625" s="35"/>
      <c r="AB625" s="35"/>
    </row>
    <row r="626" spans="1:28" x14ac:dyDescent="0.15">
      <c r="A626" s="47" t="s">
        <v>51</v>
      </c>
      <c r="B626" s="16"/>
      <c r="C626" s="29"/>
      <c r="D626" s="17"/>
      <c r="E626" s="20"/>
      <c r="F626" s="45">
        <f t="shared" si="552"/>
        <v>0</v>
      </c>
      <c r="G626" s="16"/>
      <c r="H626" s="29"/>
      <c r="I626" s="17"/>
      <c r="J626" s="20">
        <v>1</v>
      </c>
      <c r="K626" s="45">
        <f t="shared" si="553"/>
        <v>1</v>
      </c>
      <c r="L626" s="104">
        <f t="shared" si="545"/>
        <v>1</v>
      </c>
      <c r="M626" s="58">
        <v>46128</v>
      </c>
      <c r="N626" s="11" t="s">
        <v>1087</v>
      </c>
      <c r="O626" s="16"/>
      <c r="P626" s="29">
        <v>2</v>
      </c>
      <c r="Q626" s="17"/>
      <c r="R626" s="32"/>
      <c r="S626" s="9">
        <f t="shared" si="556"/>
        <v>2</v>
      </c>
      <c r="T626" s="16"/>
      <c r="U626" s="29"/>
      <c r="V626" s="17"/>
      <c r="W626" s="32"/>
      <c r="X626" s="9">
        <f t="shared" si="557"/>
        <v>0</v>
      </c>
      <c r="Y626" s="104">
        <f t="shared" si="551"/>
        <v>2</v>
      </c>
      <c r="Z626" s="56">
        <v>46121</v>
      </c>
      <c r="AA626" s="35"/>
      <c r="AB626" s="35"/>
    </row>
    <row r="627" spans="1:28" x14ac:dyDescent="0.15">
      <c r="A627" s="33" t="s">
        <v>1113</v>
      </c>
      <c r="B627" s="16">
        <v>3</v>
      </c>
      <c r="C627" s="29">
        <v>7</v>
      </c>
      <c r="D627" s="17">
        <v>2</v>
      </c>
      <c r="E627" s="20">
        <v>4</v>
      </c>
      <c r="F627" s="45">
        <f t="shared" si="552"/>
        <v>16</v>
      </c>
      <c r="G627" s="16"/>
      <c r="H627" s="29"/>
      <c r="I627" s="17"/>
      <c r="J627" s="20"/>
      <c r="K627" s="45">
        <f t="shared" si="553"/>
        <v>0</v>
      </c>
      <c r="L627" s="104">
        <f t="shared" si="545"/>
        <v>16</v>
      </c>
      <c r="M627" s="58">
        <v>46130</v>
      </c>
      <c r="N627" s="33" t="s">
        <v>1093</v>
      </c>
      <c r="O627" s="16"/>
      <c r="P627" s="29">
        <v>3</v>
      </c>
      <c r="Q627" s="17"/>
      <c r="R627" s="32"/>
      <c r="S627" s="9">
        <f t="shared" si="556"/>
        <v>3</v>
      </c>
      <c r="T627" s="16"/>
      <c r="U627" s="29"/>
      <c r="V627" s="17"/>
      <c r="W627" s="32"/>
      <c r="X627" s="9">
        <f t="shared" si="557"/>
        <v>0</v>
      </c>
      <c r="Y627" s="104">
        <f t="shared" si="551"/>
        <v>3</v>
      </c>
      <c r="Z627" s="56">
        <v>46125</v>
      </c>
      <c r="AA627" s="35"/>
      <c r="AB627" s="35"/>
    </row>
    <row r="628" spans="1:28" x14ac:dyDescent="0.15">
      <c r="A628" s="47" t="s">
        <v>51</v>
      </c>
      <c r="B628" s="16">
        <v>1</v>
      </c>
      <c r="C628" s="29">
        <v>1</v>
      </c>
      <c r="D628" s="17"/>
      <c r="E628" s="20"/>
      <c r="F628" s="45">
        <f t="shared" si="552"/>
        <v>2</v>
      </c>
      <c r="G628" s="16"/>
      <c r="H628" s="29"/>
      <c r="I628" s="17"/>
      <c r="J628" s="20"/>
      <c r="K628" s="45">
        <f t="shared" si="553"/>
        <v>0</v>
      </c>
      <c r="L628" s="104">
        <f t="shared" si="545"/>
        <v>2</v>
      </c>
      <c r="M628" s="58">
        <v>46132</v>
      </c>
      <c r="N628" s="11" t="s">
        <v>1094</v>
      </c>
      <c r="O628" s="16"/>
      <c r="P628" s="29"/>
      <c r="Q628" s="17"/>
      <c r="R628" s="32"/>
      <c r="S628" s="9">
        <f t="shared" si="556"/>
        <v>0</v>
      </c>
      <c r="T628" s="16"/>
      <c r="U628" s="29"/>
      <c r="V628" s="17">
        <v>3</v>
      </c>
      <c r="W628" s="32"/>
      <c r="X628" s="9">
        <f t="shared" si="557"/>
        <v>3</v>
      </c>
      <c r="Y628" s="104">
        <f t="shared" si="551"/>
        <v>3</v>
      </c>
      <c r="Z628" s="56">
        <v>46132</v>
      </c>
      <c r="AA628" s="35"/>
      <c r="AB628" s="35"/>
    </row>
    <row r="629" spans="1:28" x14ac:dyDescent="0.15">
      <c r="A629" s="47" t="s">
        <v>51</v>
      </c>
      <c r="B629" s="16"/>
      <c r="C629" s="29"/>
      <c r="D629" s="17"/>
      <c r="E629" s="20">
        <v>1</v>
      </c>
      <c r="F629" s="45">
        <f t="shared" si="552"/>
        <v>1</v>
      </c>
      <c r="G629" s="16"/>
      <c r="H629" s="29"/>
      <c r="I629" s="17"/>
      <c r="J629" s="20"/>
      <c r="K629" s="45">
        <f t="shared" si="553"/>
        <v>0</v>
      </c>
      <c r="L629" s="104">
        <f t="shared" si="545"/>
        <v>1</v>
      </c>
      <c r="M629" s="58">
        <v>46133</v>
      </c>
      <c r="N629" s="309" t="s">
        <v>861</v>
      </c>
      <c r="O629" s="255"/>
      <c r="P629" s="256"/>
      <c r="Q629" s="257"/>
      <c r="R629" s="269"/>
      <c r="S629" s="270">
        <f t="shared" si="556"/>
        <v>0</v>
      </c>
      <c r="T629" s="255">
        <v>3</v>
      </c>
      <c r="U629" s="256"/>
      <c r="V629" s="257"/>
      <c r="W629" s="269"/>
      <c r="X629" s="270">
        <f t="shared" si="557"/>
        <v>3</v>
      </c>
      <c r="Y629" s="260">
        <f t="shared" si="551"/>
        <v>3</v>
      </c>
      <c r="Z629" s="261">
        <v>46126</v>
      </c>
    </row>
    <row r="630" spans="1:28" x14ac:dyDescent="0.15">
      <c r="A630" s="47" t="s">
        <v>1119</v>
      </c>
      <c r="B630" s="16">
        <v>-1</v>
      </c>
      <c r="C630" s="29">
        <v>-2</v>
      </c>
      <c r="D630" s="17"/>
      <c r="E630" s="20">
        <v>-1</v>
      </c>
      <c r="F630" s="45">
        <f t="shared" si="552"/>
        <v>-4</v>
      </c>
      <c r="G630" s="16">
        <v>-1</v>
      </c>
      <c r="H630" s="29">
        <v>-2</v>
      </c>
      <c r="I630" s="17"/>
      <c r="J630" s="20">
        <v>-1</v>
      </c>
      <c r="K630" s="45">
        <f t="shared" si="553"/>
        <v>-4</v>
      </c>
      <c r="L630" s="104">
        <f t="shared" si="545"/>
        <v>-8</v>
      </c>
      <c r="M630" s="58">
        <v>46128</v>
      </c>
      <c r="N630" s="11" t="s">
        <v>1102</v>
      </c>
      <c r="O630" s="16">
        <v>4</v>
      </c>
      <c r="P630" s="29">
        <v>12</v>
      </c>
      <c r="Q630" s="17">
        <v>16</v>
      </c>
      <c r="R630" s="32">
        <v>21</v>
      </c>
      <c r="S630" s="9">
        <f>SUM(O630:R630)</f>
        <v>53</v>
      </c>
      <c r="T630" s="16">
        <v>4</v>
      </c>
      <c r="U630" s="29">
        <v>12</v>
      </c>
      <c r="V630" s="17">
        <v>10</v>
      </c>
      <c r="W630" s="32">
        <v>9</v>
      </c>
      <c r="X630" s="9">
        <f>SUM(T630:W630)</f>
        <v>35</v>
      </c>
      <c r="Y630" s="104">
        <f t="shared" si="551"/>
        <v>88</v>
      </c>
      <c r="Z630" s="56">
        <v>46136</v>
      </c>
    </row>
    <row r="631" spans="1:28" x14ac:dyDescent="0.15">
      <c r="A631" s="47" t="s">
        <v>51</v>
      </c>
      <c r="B631" s="16"/>
      <c r="C631" s="29"/>
      <c r="D631" s="17"/>
      <c r="E631" s="20"/>
      <c r="F631" s="45">
        <f t="shared" si="552"/>
        <v>0</v>
      </c>
      <c r="G631" s="16"/>
      <c r="H631" s="29">
        <v>1</v>
      </c>
      <c r="I631" s="17"/>
      <c r="J631" s="20"/>
      <c r="K631" s="45">
        <f t="shared" si="553"/>
        <v>1</v>
      </c>
      <c r="L631" s="104">
        <f t="shared" si="545"/>
        <v>1</v>
      </c>
      <c r="M631" s="58">
        <v>46134</v>
      </c>
      <c r="N631" s="309" t="s">
        <v>861</v>
      </c>
      <c r="O631" s="255"/>
      <c r="P631" s="256"/>
      <c r="Q631" s="257"/>
      <c r="R631" s="269">
        <v>3</v>
      </c>
      <c r="S631" s="270">
        <f>SUM(O631:R631)</f>
        <v>3</v>
      </c>
      <c r="T631" s="255"/>
      <c r="U631" s="256"/>
      <c r="V631" s="257"/>
      <c r="W631" s="269"/>
      <c r="X631" s="270">
        <f>SUM(T631:W631)</f>
        <v>0</v>
      </c>
      <c r="Y631" s="260">
        <f t="shared" si="551"/>
        <v>3</v>
      </c>
      <c r="Z631" s="261">
        <v>46136</v>
      </c>
    </row>
    <row r="632" spans="1:28" x14ac:dyDescent="0.15">
      <c r="A632" s="47" t="s">
        <v>51</v>
      </c>
      <c r="B632" s="16"/>
      <c r="C632" s="29"/>
      <c r="D632" s="17"/>
      <c r="E632" s="20">
        <v>2</v>
      </c>
      <c r="F632" s="45">
        <f t="shared" si="552"/>
        <v>2</v>
      </c>
      <c r="G632" s="16"/>
      <c r="H632" s="29"/>
      <c r="I632" s="17"/>
      <c r="J632" s="20"/>
      <c r="K632" s="45">
        <f t="shared" si="553"/>
        <v>0</v>
      </c>
      <c r="L632" s="104">
        <f t="shared" si="545"/>
        <v>2</v>
      </c>
      <c r="M632" s="58">
        <v>46135</v>
      </c>
      <c r="N632" s="11" t="s">
        <v>1127</v>
      </c>
      <c r="O632" s="16"/>
      <c r="P632" s="29"/>
      <c r="Q632" s="17"/>
      <c r="R632" s="32"/>
      <c r="S632" s="9">
        <f t="shared" ref="S632:S643" si="558">SUM(O632:R632)</f>
        <v>0</v>
      </c>
      <c r="T632" s="16"/>
      <c r="U632" s="29"/>
      <c r="V632" s="17">
        <v>4</v>
      </c>
      <c r="W632" s="32"/>
      <c r="X632" s="9">
        <f t="shared" ref="X632:X643" si="559">SUM(T632:W632)</f>
        <v>4</v>
      </c>
      <c r="Y632" s="104">
        <f t="shared" si="551"/>
        <v>4</v>
      </c>
      <c r="Z632" s="56">
        <v>46142</v>
      </c>
    </row>
    <row r="633" spans="1:28" x14ac:dyDescent="0.15">
      <c r="A633" s="47" t="s">
        <v>119</v>
      </c>
      <c r="B633" s="16"/>
      <c r="C633" s="29"/>
      <c r="D633" s="17"/>
      <c r="E633" s="20">
        <v>-3</v>
      </c>
      <c r="F633" s="45">
        <f t="shared" si="552"/>
        <v>-3</v>
      </c>
      <c r="G633" s="16"/>
      <c r="H633" s="29"/>
      <c r="I633" s="17"/>
      <c r="J633" s="20"/>
      <c r="K633" s="45">
        <f t="shared" si="553"/>
        <v>0</v>
      </c>
      <c r="L633" s="104">
        <f t="shared" si="545"/>
        <v>-3</v>
      </c>
      <c r="M633" s="56">
        <v>46136</v>
      </c>
      <c r="N633" s="33" t="s">
        <v>1138</v>
      </c>
      <c r="O633" s="16"/>
      <c r="P633" s="29"/>
      <c r="Q633" s="17">
        <v>3</v>
      </c>
      <c r="R633" s="32">
        <v>3</v>
      </c>
      <c r="S633" s="9">
        <f t="shared" ref="S633" si="560">SUM(O633:R633)</f>
        <v>6</v>
      </c>
      <c r="T633" s="16"/>
      <c r="U633" s="29"/>
      <c r="V633" s="17"/>
      <c r="W633" s="32"/>
      <c r="X633" s="9">
        <f t="shared" ref="X633" si="561">SUM(T633:W633)</f>
        <v>0</v>
      </c>
      <c r="Y633" s="104">
        <f t="shared" ref="Y633" si="562">S633+X633</f>
        <v>6</v>
      </c>
      <c r="Z633" s="56">
        <v>46144</v>
      </c>
    </row>
    <row r="634" spans="1:28" x14ac:dyDescent="0.15">
      <c r="A634" s="47" t="s">
        <v>51</v>
      </c>
      <c r="B634" s="16">
        <v>1</v>
      </c>
      <c r="C634" s="29">
        <v>1</v>
      </c>
      <c r="D634" s="17"/>
      <c r="E634" s="20">
        <v>1</v>
      </c>
      <c r="F634" s="45">
        <f t="shared" si="552"/>
        <v>3</v>
      </c>
      <c r="G634" s="16"/>
      <c r="H634" s="29"/>
      <c r="I634" s="17"/>
      <c r="J634" s="20"/>
      <c r="K634" s="45">
        <f t="shared" si="553"/>
        <v>0</v>
      </c>
      <c r="L634" s="104">
        <f t="shared" si="545"/>
        <v>3</v>
      </c>
      <c r="M634" s="56">
        <v>46139</v>
      </c>
      <c r="N634" s="72"/>
      <c r="O634" s="16"/>
      <c r="P634" s="29"/>
      <c r="Q634" s="17"/>
      <c r="R634" s="32"/>
      <c r="S634" s="9">
        <f t="shared" ref="S634" si="563">SUM(O634:R634)</f>
        <v>0</v>
      </c>
      <c r="T634" s="16"/>
      <c r="U634" s="29"/>
      <c r="V634" s="17"/>
      <c r="W634" s="32"/>
      <c r="X634" s="9">
        <f t="shared" ref="X634" si="564">SUM(T634:W634)</f>
        <v>0</v>
      </c>
      <c r="Y634" s="104">
        <f t="shared" ref="Y634" si="565">S634+X634</f>
        <v>0</v>
      </c>
    </row>
    <row r="635" spans="1:28" x14ac:dyDescent="0.15">
      <c r="A635" s="47" t="s">
        <v>119</v>
      </c>
      <c r="B635" s="16"/>
      <c r="C635" s="29"/>
      <c r="D635" s="17">
        <v>-3</v>
      </c>
      <c r="E635" s="20">
        <v>-3</v>
      </c>
      <c r="F635" s="45">
        <f t="shared" si="552"/>
        <v>-6</v>
      </c>
      <c r="G635" s="16"/>
      <c r="H635" s="29"/>
      <c r="I635" s="17"/>
      <c r="J635" s="20"/>
      <c r="K635" s="45">
        <f t="shared" si="553"/>
        <v>0</v>
      </c>
      <c r="L635" s="104">
        <f t="shared" si="545"/>
        <v>-6</v>
      </c>
      <c r="M635" s="56">
        <v>46144</v>
      </c>
      <c r="N635" s="137" t="s">
        <v>856</v>
      </c>
      <c r="O635" s="166"/>
      <c r="P635" s="167"/>
      <c r="Q635" s="160"/>
      <c r="R635" s="168"/>
      <c r="S635" s="165">
        <f t="shared" si="558"/>
        <v>0</v>
      </c>
      <c r="T635" s="166"/>
      <c r="U635" s="167"/>
      <c r="V635" s="160"/>
      <c r="W635" s="168"/>
      <c r="X635" s="165">
        <f t="shared" si="559"/>
        <v>0</v>
      </c>
      <c r="Y635" s="169">
        <f t="shared" ref="Y635:Y636" si="566">S635+X635</f>
        <v>0</v>
      </c>
      <c r="Z635" s="157"/>
    </row>
    <row r="636" spans="1:28" x14ac:dyDescent="0.15">
      <c r="A636" s="33" t="s">
        <v>1145</v>
      </c>
      <c r="B636" s="16"/>
      <c r="C636" s="29"/>
      <c r="D636" s="17">
        <v>1</v>
      </c>
      <c r="E636" s="20"/>
      <c r="F636" s="45">
        <f t="shared" si="552"/>
        <v>1</v>
      </c>
      <c r="G636" s="16"/>
      <c r="H636" s="29"/>
      <c r="I636" s="17"/>
      <c r="J636" s="20"/>
      <c r="K636" s="45">
        <f t="shared" si="553"/>
        <v>0</v>
      </c>
      <c r="L636" s="104">
        <f t="shared" si="545"/>
        <v>1</v>
      </c>
      <c r="M636" s="56">
        <v>46150</v>
      </c>
      <c r="N636" s="33" t="s">
        <v>857</v>
      </c>
      <c r="O636" s="16"/>
      <c r="P636" s="29"/>
      <c r="Q636" s="17"/>
      <c r="R636" s="20"/>
      <c r="S636" s="9">
        <f t="shared" si="558"/>
        <v>0</v>
      </c>
      <c r="T636" s="16"/>
      <c r="U636" s="29"/>
      <c r="V636" s="17"/>
      <c r="W636" s="20"/>
      <c r="X636" s="9">
        <f t="shared" si="559"/>
        <v>0</v>
      </c>
      <c r="Y636" s="104">
        <f t="shared" si="566"/>
        <v>0</v>
      </c>
      <c r="Z636" s="35" t="s">
        <v>912</v>
      </c>
    </row>
    <row r="637" spans="1:28" x14ac:dyDescent="0.15">
      <c r="A637" s="47" t="s">
        <v>51</v>
      </c>
      <c r="B637" s="16">
        <v>1</v>
      </c>
      <c r="C637" s="29">
        <v>2</v>
      </c>
      <c r="D637" s="17">
        <v>1</v>
      </c>
      <c r="E637" s="20"/>
      <c r="F637" s="45">
        <f t="shared" si="552"/>
        <v>4</v>
      </c>
      <c r="G637" s="16"/>
      <c r="H637" s="29">
        <v>1</v>
      </c>
      <c r="I637" s="17"/>
      <c r="J637" s="20"/>
      <c r="K637" s="45">
        <f t="shared" si="553"/>
        <v>1</v>
      </c>
      <c r="L637" s="104">
        <f t="shared" si="545"/>
        <v>5</v>
      </c>
      <c r="M637" s="58">
        <v>46149</v>
      </c>
      <c r="N637" s="72" t="s">
        <v>810</v>
      </c>
      <c r="O637" s="166"/>
      <c r="P637" s="167"/>
      <c r="Q637" s="160"/>
      <c r="R637" s="168"/>
      <c r="S637" s="165">
        <f t="shared" ref="S637:S638" si="567">SUM(O637:R637)</f>
        <v>0</v>
      </c>
      <c r="T637" s="166"/>
      <c r="U637" s="167"/>
      <c r="V637" s="160"/>
      <c r="W637" s="168"/>
      <c r="X637" s="165">
        <f t="shared" ref="X637:X638" si="568">SUM(T637:W637)</f>
        <v>0</v>
      </c>
      <c r="Y637" s="169">
        <f t="shared" ref="Y637:Y638" si="569">S637+X637</f>
        <v>0</v>
      </c>
      <c r="Z637" s="157"/>
    </row>
    <row r="638" spans="1:28" x14ac:dyDescent="0.15">
      <c r="A638" s="33" t="s">
        <v>1149</v>
      </c>
      <c r="B638" s="16"/>
      <c r="C638" s="29"/>
      <c r="D638" s="17"/>
      <c r="E638" s="20">
        <v>1</v>
      </c>
      <c r="F638" s="45">
        <f t="shared" si="552"/>
        <v>1</v>
      </c>
      <c r="G638" s="16"/>
      <c r="H638" s="29"/>
      <c r="I638" s="17">
        <v>1</v>
      </c>
      <c r="J638" s="20"/>
      <c r="K638" s="45">
        <f t="shared" si="553"/>
        <v>1</v>
      </c>
      <c r="L638" s="104">
        <f t="shared" si="545"/>
        <v>2</v>
      </c>
      <c r="M638" s="56">
        <v>46153</v>
      </c>
      <c r="N638" s="11" t="s">
        <v>809</v>
      </c>
      <c r="O638" s="16"/>
      <c r="P638" s="29"/>
      <c r="Q638" s="17"/>
      <c r="R638" s="32"/>
      <c r="S638" s="9">
        <f t="shared" si="567"/>
        <v>0</v>
      </c>
      <c r="T638" s="16"/>
      <c r="U638" s="29"/>
      <c r="V638" s="17"/>
      <c r="W638" s="32"/>
      <c r="X638" s="9">
        <f t="shared" si="568"/>
        <v>0</v>
      </c>
      <c r="Y638" s="104">
        <f t="shared" si="569"/>
        <v>0</v>
      </c>
      <c r="Z638" s="56">
        <v>45718</v>
      </c>
    </row>
    <row r="639" spans="1:28" x14ac:dyDescent="0.15">
      <c r="A639" s="47" t="s">
        <v>51</v>
      </c>
      <c r="B639" s="16"/>
      <c r="C639" s="29">
        <v>1</v>
      </c>
      <c r="D639" s="17"/>
      <c r="E639" s="20"/>
      <c r="F639" s="45">
        <f t="shared" si="552"/>
        <v>1</v>
      </c>
      <c r="G639" s="16"/>
      <c r="H639" s="29"/>
      <c r="I639" s="17"/>
      <c r="J639" s="20"/>
      <c r="K639" s="45">
        <f t="shared" si="553"/>
        <v>0</v>
      </c>
      <c r="L639" s="104">
        <f t="shared" si="545"/>
        <v>1</v>
      </c>
      <c r="M639" s="58">
        <v>46160</v>
      </c>
      <c r="N639" s="137" t="s">
        <v>752</v>
      </c>
      <c r="O639" s="171"/>
      <c r="P639" s="172"/>
      <c r="Q639" s="173"/>
      <c r="R639" s="174"/>
      <c r="S639" s="175">
        <f t="shared" ref="S639:S640" si="570">SUM(O639:R639)</f>
        <v>0</v>
      </c>
      <c r="T639" s="201"/>
      <c r="U639" s="202"/>
      <c r="V639" s="203"/>
      <c r="W639" s="204"/>
      <c r="X639" s="175">
        <f t="shared" ref="X639:X640" si="571">SUM(T639:W639)</f>
        <v>0</v>
      </c>
      <c r="Y639" s="205">
        <f t="shared" ref="Y639:Y640" si="572">S639+X639</f>
        <v>0</v>
      </c>
      <c r="Z639" s="224"/>
    </row>
    <row r="640" spans="1:28" x14ac:dyDescent="0.15">
      <c r="A640" s="47"/>
      <c r="B640" s="16"/>
      <c r="C640" s="29"/>
      <c r="D640" s="17"/>
      <c r="E640" s="20"/>
      <c r="F640" s="45">
        <f t="shared" si="552"/>
        <v>0</v>
      </c>
      <c r="G640" s="16"/>
      <c r="H640" s="29"/>
      <c r="I640" s="17"/>
      <c r="J640" s="20"/>
      <c r="K640" s="45">
        <f t="shared" si="553"/>
        <v>0</v>
      </c>
      <c r="L640" s="104">
        <f t="shared" si="545"/>
        <v>0</v>
      </c>
      <c r="N640" s="11" t="s">
        <v>751</v>
      </c>
      <c r="O640" s="16"/>
      <c r="P640" s="29"/>
      <c r="Q640" s="17"/>
      <c r="R640" s="32"/>
      <c r="S640" s="9">
        <f t="shared" si="570"/>
        <v>0</v>
      </c>
      <c r="T640" s="206"/>
      <c r="U640" s="207"/>
      <c r="V640" s="208"/>
      <c r="W640" s="209"/>
      <c r="X640" s="9">
        <f t="shared" si="571"/>
        <v>0</v>
      </c>
      <c r="Y640" s="104">
        <f t="shared" si="572"/>
        <v>0</v>
      </c>
      <c r="Z640" s="157" t="s">
        <v>814</v>
      </c>
    </row>
    <row r="641" spans="1:27" x14ac:dyDescent="0.15">
      <c r="A641" s="47"/>
      <c r="B641" s="16"/>
      <c r="C641" s="29"/>
      <c r="D641" s="17"/>
      <c r="E641" s="20"/>
      <c r="F641" s="45">
        <f t="shared" si="552"/>
        <v>0</v>
      </c>
      <c r="G641" s="16"/>
      <c r="H641" s="29"/>
      <c r="I641" s="17"/>
      <c r="J641" s="20"/>
      <c r="K641" s="45">
        <f t="shared" si="553"/>
        <v>0</v>
      </c>
      <c r="L641" s="104">
        <f t="shared" si="545"/>
        <v>0</v>
      </c>
      <c r="N641" s="72" t="s">
        <v>818</v>
      </c>
      <c r="O641" s="166"/>
      <c r="P641" s="167"/>
      <c r="Q641" s="160"/>
      <c r="R641" s="168"/>
      <c r="S641" s="165">
        <f t="shared" ref="S641:S642" si="573">SUM(O641:R641)</f>
        <v>0</v>
      </c>
      <c r="T641" s="166"/>
      <c r="U641" s="167"/>
      <c r="V641" s="160"/>
      <c r="W641" s="168"/>
      <c r="X641" s="165">
        <f t="shared" ref="X641:X642" si="574">SUM(T641:W641)</f>
        <v>0</v>
      </c>
      <c r="Y641" s="169">
        <f t="shared" ref="Y641:Y642" si="575">S641+X641</f>
        <v>0</v>
      </c>
      <c r="Z641" s="224"/>
    </row>
    <row r="642" spans="1:27" ht="14.25" thickBot="1" x14ac:dyDescent="0.2">
      <c r="A642" s="47"/>
      <c r="B642" s="37"/>
      <c r="C642" s="38"/>
      <c r="D642" s="39"/>
      <c r="E642" s="40"/>
      <c r="F642" s="45">
        <f t="shared" si="552"/>
        <v>0</v>
      </c>
      <c r="G642" s="37"/>
      <c r="H642" s="38"/>
      <c r="I642" s="39"/>
      <c r="J642" s="40"/>
      <c r="K642" s="45">
        <f t="shared" si="553"/>
        <v>0</v>
      </c>
      <c r="L642" s="104">
        <f t="shared" si="545"/>
        <v>0</v>
      </c>
      <c r="N642" s="128" t="s">
        <v>819</v>
      </c>
      <c r="O642" s="37"/>
      <c r="P642" s="38"/>
      <c r="Q642" s="39"/>
      <c r="R642" s="129"/>
      <c r="S642" s="10">
        <f t="shared" si="573"/>
        <v>0</v>
      </c>
      <c r="T642" s="37"/>
      <c r="U642" s="38"/>
      <c r="V642" s="39"/>
      <c r="W642" s="129"/>
      <c r="X642" s="10">
        <f t="shared" si="574"/>
        <v>0</v>
      </c>
      <c r="Y642" s="101">
        <f t="shared" si="575"/>
        <v>0</v>
      </c>
      <c r="Z642" s="56" t="s">
        <v>814</v>
      </c>
    </row>
    <row r="643" spans="1:27" ht="14.25" thickBot="1" x14ac:dyDescent="0.2">
      <c r="A643" s="13" t="s">
        <v>8</v>
      </c>
      <c r="B643" s="22">
        <f>SUM(B618:B642)</f>
        <v>5</v>
      </c>
      <c r="C643" s="30">
        <f>SUM(C618:C642)</f>
        <v>14</v>
      </c>
      <c r="D643" s="23">
        <f>SUM(D618:D642)</f>
        <v>3</v>
      </c>
      <c r="E643" s="24">
        <f>SUM(E618:E642)</f>
        <v>4</v>
      </c>
      <c r="F643" s="21">
        <f t="shared" si="552"/>
        <v>26</v>
      </c>
      <c r="G643" s="22">
        <f>SUM(G618:G642)</f>
        <v>0</v>
      </c>
      <c r="H643" s="30">
        <f>SUM(H618:H642)</f>
        <v>1</v>
      </c>
      <c r="I643" s="23">
        <f>SUM(I618:I642)</f>
        <v>2</v>
      </c>
      <c r="J643" s="24">
        <f>SUM(J618:J642)</f>
        <v>0</v>
      </c>
      <c r="K643" s="21">
        <f t="shared" si="553"/>
        <v>3</v>
      </c>
      <c r="L643" s="105">
        <f t="shared" si="545"/>
        <v>29</v>
      </c>
      <c r="N643" s="49" t="s">
        <v>8</v>
      </c>
      <c r="O643" s="22">
        <f>SUM(O618:O642)</f>
        <v>47</v>
      </c>
      <c r="P643" s="30">
        <f>SUM(P618:P642)</f>
        <v>107</v>
      </c>
      <c r="Q643" s="23">
        <f>SUM(Q618:Q642)</f>
        <v>95</v>
      </c>
      <c r="R643" s="24">
        <f>SUM(R618:R642)</f>
        <v>134</v>
      </c>
      <c r="S643" s="48">
        <f t="shared" si="558"/>
        <v>383</v>
      </c>
      <c r="T643" s="22">
        <f>SUM(T618:T642)</f>
        <v>7</v>
      </c>
      <c r="U643" s="30">
        <f>SUM(U618:U642)</f>
        <v>27</v>
      </c>
      <c r="V643" s="23">
        <f>SUM(V618:V642)</f>
        <v>44</v>
      </c>
      <c r="W643" s="24">
        <f>SUM(W618:W642)</f>
        <v>24</v>
      </c>
      <c r="X643" s="48">
        <f t="shared" si="559"/>
        <v>102</v>
      </c>
      <c r="Y643" s="122">
        <f t="shared" si="551"/>
        <v>485</v>
      </c>
    </row>
    <row r="644" spans="1:27" ht="14.25" thickBot="1" x14ac:dyDescent="0.2">
      <c r="A644" s="14" t="s">
        <v>9</v>
      </c>
      <c r="B644" s="25">
        <f t="shared" ref="B644:K644" si="576">B617-B643</f>
        <v>5</v>
      </c>
      <c r="C644" s="31">
        <f t="shared" si="576"/>
        <v>1</v>
      </c>
      <c r="D644" s="26">
        <f t="shared" si="576"/>
        <v>4</v>
      </c>
      <c r="E644" s="27">
        <f t="shared" si="576"/>
        <v>5</v>
      </c>
      <c r="F644" s="83">
        <f t="shared" si="576"/>
        <v>15</v>
      </c>
      <c r="G644" s="25">
        <f t="shared" si="576"/>
        <v>6</v>
      </c>
      <c r="H644" s="31">
        <f t="shared" si="576"/>
        <v>6</v>
      </c>
      <c r="I644" s="26">
        <f t="shared" si="576"/>
        <v>3</v>
      </c>
      <c r="J644" s="27">
        <f t="shared" si="576"/>
        <v>4</v>
      </c>
      <c r="K644" s="83">
        <f t="shared" si="576"/>
        <v>19</v>
      </c>
      <c r="L644" s="102">
        <f t="shared" si="545"/>
        <v>34</v>
      </c>
      <c r="N644" s="13" t="s">
        <v>9</v>
      </c>
      <c r="O644" s="25">
        <f t="shared" ref="O644:X644" si="577">O617-O643</f>
        <v>40</v>
      </c>
      <c r="P644" s="31">
        <f t="shared" si="577"/>
        <v>109</v>
      </c>
      <c r="Q644" s="26">
        <f t="shared" si="577"/>
        <v>15</v>
      </c>
      <c r="R644" s="27">
        <f t="shared" si="577"/>
        <v>82</v>
      </c>
      <c r="S644" s="36">
        <f t="shared" si="577"/>
        <v>246</v>
      </c>
      <c r="T644" s="25">
        <f t="shared" si="577"/>
        <v>78</v>
      </c>
      <c r="U644" s="31">
        <f t="shared" si="577"/>
        <v>62</v>
      </c>
      <c r="V644" s="26">
        <f t="shared" si="577"/>
        <v>40</v>
      </c>
      <c r="W644" s="27">
        <f t="shared" si="577"/>
        <v>79</v>
      </c>
      <c r="X644" s="36">
        <f t="shared" si="577"/>
        <v>259</v>
      </c>
      <c r="Y644" s="102">
        <f t="shared" si="551"/>
        <v>505</v>
      </c>
      <c r="Z644" s="116" t="s">
        <v>1017</v>
      </c>
    </row>
    <row r="645" spans="1:27" x14ac:dyDescent="0.15">
      <c r="N645" s="189" t="s">
        <v>313</v>
      </c>
      <c r="O645" s="71">
        <f>O644/$S$644*100</f>
        <v>16.260162601626014</v>
      </c>
      <c r="P645" s="71">
        <f t="shared" ref="P645:S645" si="578">P644/$S$644*100</f>
        <v>44.308943089430898</v>
      </c>
      <c r="Q645" s="71">
        <f t="shared" si="578"/>
        <v>6.0975609756097562</v>
      </c>
      <c r="R645" s="71">
        <f t="shared" si="578"/>
        <v>33.333333333333329</v>
      </c>
      <c r="S645" s="71">
        <f t="shared" si="578"/>
        <v>100</v>
      </c>
      <c r="T645" s="71">
        <f>T644/$X$644*100</f>
        <v>30.115830115830118</v>
      </c>
      <c r="U645" s="71">
        <f t="shared" ref="U645:X645" si="579">U644/$X$644*100</f>
        <v>23.938223938223938</v>
      </c>
      <c r="V645" s="71">
        <f t="shared" si="579"/>
        <v>15.444015444015443</v>
      </c>
      <c r="W645" s="71">
        <f t="shared" si="579"/>
        <v>30.501930501930502</v>
      </c>
      <c r="X645" s="71">
        <f t="shared" si="579"/>
        <v>100</v>
      </c>
    </row>
    <row r="646" spans="1:27" x14ac:dyDescent="0.15">
      <c r="N646" s="241" t="s">
        <v>597</v>
      </c>
      <c r="O646" s="116">
        <v>15.6</v>
      </c>
      <c r="P646" s="116">
        <v>29.6</v>
      </c>
      <c r="Q646" s="116">
        <v>23.8</v>
      </c>
      <c r="R646" s="149">
        <v>31</v>
      </c>
      <c r="S646" s="149">
        <f>SUM(O646:R646)</f>
        <v>100</v>
      </c>
      <c r="T646" s="116">
        <v>18.8</v>
      </c>
      <c r="U646" s="116">
        <v>29.6</v>
      </c>
      <c r="V646" s="149">
        <v>24</v>
      </c>
      <c r="W646" s="116">
        <v>27.6</v>
      </c>
      <c r="X646" s="149">
        <v>100</v>
      </c>
    </row>
    <row r="647" spans="1:27" ht="19.5" thickBot="1" x14ac:dyDescent="0.25">
      <c r="A647" s="2" t="s">
        <v>18</v>
      </c>
      <c r="B647" s="2"/>
      <c r="C647" s="1"/>
      <c r="D647" s="1"/>
      <c r="E647" s="1"/>
      <c r="F647" s="84"/>
      <c r="G647" s="2"/>
      <c r="H647" s="1" t="s">
        <v>157</v>
      </c>
      <c r="I647" s="1"/>
      <c r="J647" s="1"/>
      <c r="K647" s="84" t="s">
        <v>13</v>
      </c>
      <c r="L647" s="84"/>
      <c r="N647" s="2" t="s">
        <v>19</v>
      </c>
      <c r="O647" s="71"/>
      <c r="P647" s="71"/>
      <c r="Q647" s="71"/>
      <c r="R647" s="71"/>
      <c r="S647" s="84"/>
      <c r="T647" s="1" t="s">
        <v>157</v>
      </c>
      <c r="U647" s="71"/>
      <c r="V647" s="71"/>
      <c r="W647" s="71"/>
      <c r="X647" s="84" t="s">
        <v>13</v>
      </c>
    </row>
    <row r="648" spans="1:27" ht="14.25" thickBot="1" x14ac:dyDescent="0.2">
      <c r="A648" s="5" t="s">
        <v>0</v>
      </c>
      <c r="B648" s="322" t="s">
        <v>32</v>
      </c>
      <c r="C648" s="323"/>
      <c r="D648" s="323"/>
      <c r="E648" s="323"/>
      <c r="F648" s="324"/>
      <c r="G648" s="325" t="s">
        <v>31</v>
      </c>
      <c r="H648" s="326"/>
      <c r="I648" s="326"/>
      <c r="J648" s="326"/>
      <c r="K648" s="327"/>
      <c r="L648" s="320" t="s">
        <v>30</v>
      </c>
      <c r="N648" s="5" t="s">
        <v>0</v>
      </c>
      <c r="O648" s="322" t="s">
        <v>200</v>
      </c>
      <c r="P648" s="323"/>
      <c r="Q648" s="323"/>
      <c r="R648" s="323"/>
      <c r="S648" s="324"/>
      <c r="T648" s="325" t="s">
        <v>201</v>
      </c>
      <c r="U648" s="326"/>
      <c r="V648" s="326"/>
      <c r="W648" s="326"/>
      <c r="X648" s="327"/>
      <c r="Y648" s="320" t="s">
        <v>30</v>
      </c>
    </row>
    <row r="649" spans="1:27" ht="14.25" thickBot="1" x14ac:dyDescent="0.2">
      <c r="A649" s="5" t="s">
        <v>1</v>
      </c>
      <c r="B649" s="3" t="s">
        <v>22</v>
      </c>
      <c r="C649" s="28" t="s">
        <v>23</v>
      </c>
      <c r="D649" s="4" t="s">
        <v>24</v>
      </c>
      <c r="E649" s="15" t="s">
        <v>25</v>
      </c>
      <c r="F649" s="19" t="s">
        <v>2</v>
      </c>
      <c r="G649" s="3" t="s">
        <v>22</v>
      </c>
      <c r="H649" s="28" t="s">
        <v>23</v>
      </c>
      <c r="I649" s="4" t="s">
        <v>24</v>
      </c>
      <c r="J649" s="15" t="s">
        <v>25</v>
      </c>
      <c r="K649" s="19" t="s">
        <v>2</v>
      </c>
      <c r="L649" s="321"/>
      <c r="N649" s="5" t="s">
        <v>1</v>
      </c>
      <c r="O649" s="3" t="s">
        <v>22</v>
      </c>
      <c r="P649" s="28" t="s">
        <v>23</v>
      </c>
      <c r="Q649" s="4" t="s">
        <v>24</v>
      </c>
      <c r="R649" s="15" t="s">
        <v>25</v>
      </c>
      <c r="S649" s="19" t="s">
        <v>2</v>
      </c>
      <c r="T649" s="3" t="s">
        <v>22</v>
      </c>
      <c r="U649" s="28" t="s">
        <v>23</v>
      </c>
      <c r="V649" s="4" t="s">
        <v>24</v>
      </c>
      <c r="W649" s="15" t="s">
        <v>25</v>
      </c>
      <c r="X649" s="19" t="s">
        <v>2</v>
      </c>
      <c r="Y649" s="321"/>
    </row>
    <row r="650" spans="1:27" x14ac:dyDescent="0.15">
      <c r="A650" s="78" t="s">
        <v>10</v>
      </c>
      <c r="B650" s="79">
        <f>B644</f>
        <v>5</v>
      </c>
      <c r="C650" s="80">
        <f>C644</f>
        <v>1</v>
      </c>
      <c r="D650" s="80">
        <f>D644</f>
        <v>4</v>
      </c>
      <c r="E650" s="81">
        <f>E644</f>
        <v>5</v>
      </c>
      <c r="F650" s="82">
        <f>SUM(B650:E650)</f>
        <v>15</v>
      </c>
      <c r="G650" s="79">
        <f>G644</f>
        <v>6</v>
      </c>
      <c r="H650" s="80">
        <f>H644</f>
        <v>6</v>
      </c>
      <c r="I650" s="80">
        <f>I644</f>
        <v>3</v>
      </c>
      <c r="J650" s="81">
        <f>J644</f>
        <v>4</v>
      </c>
      <c r="K650" s="82">
        <f>SUM(G650:J650)</f>
        <v>19</v>
      </c>
      <c r="L650" s="98">
        <f t="shared" ref="L650:L682" si="580">F650+K650</f>
        <v>34</v>
      </c>
      <c r="N650" s="78" t="s">
        <v>10</v>
      </c>
      <c r="O650" s="79">
        <f>O644</f>
        <v>40</v>
      </c>
      <c r="P650" s="80">
        <f>P644</f>
        <v>109</v>
      </c>
      <c r="Q650" s="80">
        <f>Q644</f>
        <v>15</v>
      </c>
      <c r="R650" s="81">
        <f>R644</f>
        <v>82</v>
      </c>
      <c r="S650" s="82">
        <f>SUM(O650:R650)</f>
        <v>246</v>
      </c>
      <c r="T650" s="79">
        <f>T644</f>
        <v>78</v>
      </c>
      <c r="U650" s="80">
        <f>U644</f>
        <v>62</v>
      </c>
      <c r="V650" s="80">
        <f>V644</f>
        <v>40</v>
      </c>
      <c r="W650" s="81">
        <f>W644</f>
        <v>79</v>
      </c>
      <c r="X650" s="82">
        <f>SUM(T650:W650)</f>
        <v>259</v>
      </c>
      <c r="Y650" s="98">
        <f>S650+X650</f>
        <v>505</v>
      </c>
    </row>
    <row r="651" spans="1:27" x14ac:dyDescent="0.15">
      <c r="A651" s="254" t="s">
        <v>3</v>
      </c>
      <c r="B651" s="262"/>
      <c r="C651" s="263">
        <v>3</v>
      </c>
      <c r="D651" s="264"/>
      <c r="E651" s="265"/>
      <c r="F651" s="266">
        <f>SUM(B651:E651)</f>
        <v>3</v>
      </c>
      <c r="G651" s="262"/>
      <c r="H651" s="263"/>
      <c r="I651" s="264">
        <v>3</v>
      </c>
      <c r="J651" s="265"/>
      <c r="K651" s="266">
        <f>SUM(G651:J651)</f>
        <v>3</v>
      </c>
      <c r="L651" s="267">
        <f t="shared" si="580"/>
        <v>6</v>
      </c>
      <c r="M651" s="261">
        <v>46153</v>
      </c>
      <c r="N651" s="12" t="s">
        <v>735</v>
      </c>
      <c r="O651" s="16">
        <v>18</v>
      </c>
      <c r="P651" s="29">
        <v>47</v>
      </c>
      <c r="Q651" s="17">
        <v>0</v>
      </c>
      <c r="R651" s="20">
        <v>0</v>
      </c>
      <c r="S651" s="45">
        <f t="shared" ref="S651:S653" si="581">SUM(O651:R651)</f>
        <v>65</v>
      </c>
      <c r="T651" s="16"/>
      <c r="U651" s="29"/>
      <c r="V651" s="17"/>
      <c r="W651" s="20"/>
      <c r="X651" s="45">
        <f t="shared" ref="X651:X653" si="582">SUM(T651:W651)</f>
        <v>0</v>
      </c>
      <c r="Y651" s="100">
        <f t="shared" ref="Y651:Y653" si="583">S651+X651</f>
        <v>65</v>
      </c>
      <c r="Z651" s="56" t="s">
        <v>1142</v>
      </c>
    </row>
    <row r="652" spans="1:27" x14ac:dyDescent="0.15">
      <c r="A652" s="283" t="s">
        <v>4</v>
      </c>
      <c r="B652" s="284"/>
      <c r="C652" s="285"/>
      <c r="D652" s="286">
        <v>3</v>
      </c>
      <c r="E652" s="287"/>
      <c r="F652" s="270">
        <f>SUM(B652:E652)</f>
        <v>3</v>
      </c>
      <c r="G652" s="284"/>
      <c r="H652" s="285"/>
      <c r="I652" s="286"/>
      <c r="J652" s="287"/>
      <c r="K652" s="270">
        <f>SUM(G652:J652)</f>
        <v>0</v>
      </c>
      <c r="L652" s="288">
        <f t="shared" si="580"/>
        <v>3</v>
      </c>
      <c r="M652" s="261">
        <v>46155</v>
      </c>
      <c r="N652" s="12" t="s">
        <v>840</v>
      </c>
      <c r="O652" s="16">
        <v>0</v>
      </c>
      <c r="P652" s="29">
        <v>0</v>
      </c>
      <c r="Q652" s="17">
        <v>50</v>
      </c>
      <c r="R652" s="20">
        <v>70</v>
      </c>
      <c r="S652" s="45">
        <f t="shared" si="581"/>
        <v>120</v>
      </c>
      <c r="T652" s="16">
        <v>0</v>
      </c>
      <c r="U652" s="29">
        <v>0</v>
      </c>
      <c r="V652" s="17">
        <v>0</v>
      </c>
      <c r="W652" s="20">
        <v>0</v>
      </c>
      <c r="X652" s="45">
        <f t="shared" si="582"/>
        <v>0</v>
      </c>
      <c r="Y652" s="100">
        <f t="shared" si="583"/>
        <v>120</v>
      </c>
      <c r="Z652" s="56" t="s">
        <v>1140</v>
      </c>
      <c r="AA652" s="157" t="s">
        <v>847</v>
      </c>
    </row>
    <row r="653" spans="1:27" x14ac:dyDescent="0.15">
      <c r="A653" s="12" t="s">
        <v>268</v>
      </c>
      <c r="B653" s="6">
        <v>10</v>
      </c>
      <c r="C653" s="18">
        <v>7</v>
      </c>
      <c r="D653" s="7">
        <v>2</v>
      </c>
      <c r="E653" s="8">
        <v>10</v>
      </c>
      <c r="F653" s="9">
        <f>SUM(B653:E653)</f>
        <v>29</v>
      </c>
      <c r="G653" s="6">
        <v>1</v>
      </c>
      <c r="H653" s="18"/>
      <c r="I653" s="7">
        <v>2</v>
      </c>
      <c r="J653" s="8"/>
      <c r="K653" s="9">
        <f>SUM(G653:J653)</f>
        <v>3</v>
      </c>
      <c r="L653" s="100">
        <f t="shared" si="580"/>
        <v>32</v>
      </c>
      <c r="M653" s="58">
        <v>46155</v>
      </c>
      <c r="N653" s="12" t="s">
        <v>841</v>
      </c>
      <c r="O653" s="16">
        <v>0</v>
      </c>
      <c r="P653" s="29">
        <v>0</v>
      </c>
      <c r="Q653" s="17">
        <v>60</v>
      </c>
      <c r="R653" s="20">
        <v>80</v>
      </c>
      <c r="S653" s="45">
        <f t="shared" si="581"/>
        <v>140</v>
      </c>
      <c r="T653" s="16">
        <v>0</v>
      </c>
      <c r="U653" s="29">
        <v>0</v>
      </c>
      <c r="V653" s="17">
        <v>0</v>
      </c>
      <c r="W653" s="20">
        <v>0</v>
      </c>
      <c r="X653" s="45">
        <f t="shared" si="582"/>
        <v>0</v>
      </c>
      <c r="Y653" s="100">
        <f t="shared" si="583"/>
        <v>140</v>
      </c>
      <c r="Z653" s="56" t="s">
        <v>1141</v>
      </c>
      <c r="AA653" s="157" t="s">
        <v>847</v>
      </c>
    </row>
    <row r="654" spans="1:27" ht="14.25" thickBot="1" x14ac:dyDescent="0.2">
      <c r="A654" s="283" t="s">
        <v>6</v>
      </c>
      <c r="B654" s="284"/>
      <c r="C654" s="285">
        <v>3</v>
      </c>
      <c r="D654" s="286"/>
      <c r="E654" s="287"/>
      <c r="F654" s="300">
        <f>SUM(B654:E654)</f>
        <v>3</v>
      </c>
      <c r="G654" s="284"/>
      <c r="H654" s="285">
        <v>5</v>
      </c>
      <c r="I654" s="286"/>
      <c r="J654" s="287">
        <v>3</v>
      </c>
      <c r="K654" s="300">
        <f>SUM(G654:J654)</f>
        <v>8</v>
      </c>
      <c r="L654" s="301">
        <f t="shared" si="580"/>
        <v>11</v>
      </c>
      <c r="M654" s="261">
        <v>46161</v>
      </c>
      <c r="N654" s="12" t="s">
        <v>876</v>
      </c>
      <c r="O654" s="16"/>
      <c r="P654" s="29"/>
      <c r="Q654" s="17">
        <v>-2</v>
      </c>
      <c r="R654" s="20">
        <v>-5</v>
      </c>
      <c r="S654" s="45">
        <f t="shared" ref="S654" si="584">SUM(O654:R654)</f>
        <v>-7</v>
      </c>
      <c r="T654" s="16"/>
      <c r="U654" s="29"/>
      <c r="V654" s="17"/>
      <c r="W654" s="20"/>
      <c r="X654" s="45">
        <f t="shared" ref="X654" si="585">SUM(T654:W654)</f>
        <v>0</v>
      </c>
      <c r="Y654" s="100">
        <f t="shared" ref="Y654:Y682" si="586">S654+X654</f>
        <v>-7</v>
      </c>
      <c r="Z654" s="157"/>
      <c r="AA654" s="35"/>
    </row>
    <row r="655" spans="1:27" ht="14.25" thickBot="1" x14ac:dyDescent="0.2">
      <c r="A655" s="14" t="s">
        <v>7</v>
      </c>
      <c r="B655" s="62">
        <f t="shared" ref="B655:K655" si="587">SUM(B650:B654)</f>
        <v>15</v>
      </c>
      <c r="C655" s="63">
        <f t="shared" si="587"/>
        <v>14</v>
      </c>
      <c r="D655" s="64">
        <f t="shared" si="587"/>
        <v>9</v>
      </c>
      <c r="E655" s="65">
        <f t="shared" si="587"/>
        <v>15</v>
      </c>
      <c r="F655" s="66">
        <f t="shared" si="587"/>
        <v>53</v>
      </c>
      <c r="G655" s="62">
        <f t="shared" si="587"/>
        <v>7</v>
      </c>
      <c r="H655" s="63">
        <f t="shared" si="587"/>
        <v>11</v>
      </c>
      <c r="I655" s="64">
        <f t="shared" si="587"/>
        <v>8</v>
      </c>
      <c r="J655" s="65">
        <f t="shared" si="587"/>
        <v>7</v>
      </c>
      <c r="K655" s="66">
        <f t="shared" si="587"/>
        <v>33</v>
      </c>
      <c r="L655" s="102">
        <f t="shared" si="580"/>
        <v>86</v>
      </c>
      <c r="N655" s="13" t="s">
        <v>7</v>
      </c>
      <c r="O655" s="25">
        <f t="shared" ref="O655:X655" si="588">SUM(O650:O654)</f>
        <v>58</v>
      </c>
      <c r="P655" s="31">
        <f t="shared" si="588"/>
        <v>156</v>
      </c>
      <c r="Q655" s="26">
        <f t="shared" si="588"/>
        <v>123</v>
      </c>
      <c r="R655" s="67">
        <f t="shared" si="588"/>
        <v>227</v>
      </c>
      <c r="S655" s="68">
        <f t="shared" si="588"/>
        <v>564</v>
      </c>
      <c r="T655" s="25">
        <f t="shared" si="588"/>
        <v>78</v>
      </c>
      <c r="U655" s="31">
        <f t="shared" si="588"/>
        <v>62</v>
      </c>
      <c r="V655" s="26">
        <f t="shared" si="588"/>
        <v>40</v>
      </c>
      <c r="W655" s="67">
        <f t="shared" si="588"/>
        <v>79</v>
      </c>
      <c r="X655" s="68">
        <f t="shared" si="588"/>
        <v>259</v>
      </c>
      <c r="Y655" s="102">
        <f t="shared" si="586"/>
        <v>823</v>
      </c>
    </row>
    <row r="656" spans="1:27" x14ac:dyDescent="0.15">
      <c r="A656" s="33" t="s">
        <v>1158</v>
      </c>
      <c r="B656" s="41"/>
      <c r="C656" s="42"/>
      <c r="D656" s="43"/>
      <c r="E656" s="44"/>
      <c r="F656" s="70">
        <f t="shared" ref="F656:F681" si="589">SUM(B656:E656)</f>
        <v>0</v>
      </c>
      <c r="G656" s="41"/>
      <c r="H656" s="42">
        <v>1</v>
      </c>
      <c r="I656" s="43"/>
      <c r="J656" s="44"/>
      <c r="K656" s="70">
        <f t="shared" ref="K656:K681" si="590">SUM(G656:J656)</f>
        <v>1</v>
      </c>
      <c r="L656" s="103">
        <f t="shared" si="580"/>
        <v>1</v>
      </c>
      <c r="M656" s="56">
        <v>46155</v>
      </c>
      <c r="N656" s="11" t="s">
        <v>1196</v>
      </c>
      <c r="O656" s="16">
        <v>12</v>
      </c>
      <c r="P656" s="29">
        <v>15</v>
      </c>
      <c r="Q656" s="17"/>
      <c r="R656" s="32">
        <v>20</v>
      </c>
      <c r="S656" s="9">
        <f t="shared" ref="S656:S661" si="591">SUM(O656:R656)</f>
        <v>47</v>
      </c>
      <c r="T656" s="16">
        <v>2</v>
      </c>
      <c r="U656" s="29">
        <v>2</v>
      </c>
      <c r="V656" s="17"/>
      <c r="W656" s="32"/>
      <c r="X656" s="9">
        <f t="shared" ref="X656:X661" si="592">SUM(T656:W656)</f>
        <v>4</v>
      </c>
      <c r="Y656" s="103">
        <f t="shared" si="586"/>
        <v>51</v>
      </c>
      <c r="Z656" s="56">
        <v>46146</v>
      </c>
    </row>
    <row r="657" spans="1:27" x14ac:dyDescent="0.15">
      <c r="A657" s="47" t="s">
        <v>51</v>
      </c>
      <c r="B657" s="16"/>
      <c r="C657" s="29"/>
      <c r="D657" s="17">
        <v>1</v>
      </c>
      <c r="E657" s="20"/>
      <c r="F657" s="45">
        <f t="shared" si="589"/>
        <v>1</v>
      </c>
      <c r="G657" s="16"/>
      <c r="H657" s="29"/>
      <c r="I657" s="17">
        <v>1</v>
      </c>
      <c r="J657" s="20"/>
      <c r="K657" s="45">
        <f t="shared" si="590"/>
        <v>1</v>
      </c>
      <c r="L657" s="104">
        <f t="shared" si="580"/>
        <v>2</v>
      </c>
      <c r="M657" s="56">
        <v>46153</v>
      </c>
      <c r="N657" s="11" t="s">
        <v>1197</v>
      </c>
      <c r="O657" s="16"/>
      <c r="P657" s="29">
        <v>5</v>
      </c>
      <c r="Q657" s="17">
        <v>5</v>
      </c>
      <c r="R657" s="32">
        <v>4</v>
      </c>
      <c r="S657" s="9">
        <f t="shared" si="591"/>
        <v>14</v>
      </c>
      <c r="T657" s="16">
        <v>3</v>
      </c>
      <c r="U657" s="29">
        <v>3</v>
      </c>
      <c r="V657" s="17">
        <v>2</v>
      </c>
      <c r="W657" s="32"/>
      <c r="X657" s="9">
        <f t="shared" si="592"/>
        <v>8</v>
      </c>
      <c r="Y657" s="104">
        <f t="shared" si="586"/>
        <v>22</v>
      </c>
      <c r="Z657" s="56">
        <v>46160</v>
      </c>
      <c r="AA657" s="35"/>
    </row>
    <row r="658" spans="1:27" x14ac:dyDescent="0.15">
      <c r="A658" s="33" t="s">
        <v>1166</v>
      </c>
      <c r="B658" s="16"/>
      <c r="C658" s="29">
        <v>1</v>
      </c>
      <c r="D658" s="17">
        <v>1</v>
      </c>
      <c r="E658" s="20"/>
      <c r="F658" s="45">
        <f t="shared" si="589"/>
        <v>2</v>
      </c>
      <c r="G658" s="16"/>
      <c r="H658" s="29"/>
      <c r="I658" s="17">
        <v>1</v>
      </c>
      <c r="J658" s="20">
        <v>1</v>
      </c>
      <c r="K658" s="45">
        <f t="shared" si="590"/>
        <v>2</v>
      </c>
      <c r="L658" s="104">
        <f t="shared" si="580"/>
        <v>4</v>
      </c>
      <c r="M658" s="56">
        <v>46156</v>
      </c>
      <c r="N658" s="11" t="s">
        <v>1147</v>
      </c>
      <c r="O658" s="16"/>
      <c r="P658" s="29">
        <v>8</v>
      </c>
      <c r="Q658" s="17">
        <v>12</v>
      </c>
      <c r="R658" s="32">
        <v>4</v>
      </c>
      <c r="S658" s="9">
        <f t="shared" si="591"/>
        <v>24</v>
      </c>
      <c r="T658" s="16"/>
      <c r="U658" s="29"/>
      <c r="V658" s="17"/>
      <c r="W658" s="32"/>
      <c r="X658" s="9">
        <f t="shared" si="592"/>
        <v>0</v>
      </c>
      <c r="Y658" s="104">
        <f t="shared" si="586"/>
        <v>24</v>
      </c>
      <c r="Z658" s="56">
        <v>46150</v>
      </c>
      <c r="AA658" s="35"/>
    </row>
    <row r="659" spans="1:27" x14ac:dyDescent="0.15">
      <c r="A659" s="33" t="s">
        <v>1176</v>
      </c>
      <c r="B659" s="16"/>
      <c r="C659" s="29"/>
      <c r="D659" s="17">
        <v>2</v>
      </c>
      <c r="E659" s="20"/>
      <c r="F659" s="45">
        <f t="shared" si="589"/>
        <v>2</v>
      </c>
      <c r="G659" s="16"/>
      <c r="H659" s="29"/>
      <c r="I659" s="17"/>
      <c r="J659" s="20">
        <v>1</v>
      </c>
      <c r="K659" s="45">
        <f t="shared" si="590"/>
        <v>1</v>
      </c>
      <c r="L659" s="104">
        <f t="shared" si="580"/>
        <v>3</v>
      </c>
      <c r="M659" s="56">
        <v>46157</v>
      </c>
      <c r="N659" s="11" t="s">
        <v>1148</v>
      </c>
      <c r="O659" s="16"/>
      <c r="P659" s="29"/>
      <c r="Q659" s="17"/>
      <c r="R659" s="32">
        <v>3</v>
      </c>
      <c r="S659" s="9">
        <f t="shared" si="591"/>
        <v>3</v>
      </c>
      <c r="T659" s="16"/>
      <c r="U659" s="29"/>
      <c r="V659" s="17"/>
      <c r="W659" s="32"/>
      <c r="X659" s="9">
        <f t="shared" si="592"/>
        <v>0</v>
      </c>
      <c r="Y659" s="104">
        <f t="shared" si="586"/>
        <v>3</v>
      </c>
      <c r="Z659" s="56">
        <v>46151</v>
      </c>
    </row>
    <row r="660" spans="1:27" x14ac:dyDescent="0.15">
      <c r="A660" s="47" t="s">
        <v>51</v>
      </c>
      <c r="B660" s="16">
        <v>1</v>
      </c>
      <c r="C660" s="29"/>
      <c r="D660" s="17"/>
      <c r="E660" s="20"/>
      <c r="F660" s="45">
        <f t="shared" si="589"/>
        <v>1</v>
      </c>
      <c r="G660" s="16"/>
      <c r="H660" s="29">
        <v>1</v>
      </c>
      <c r="I660" s="17"/>
      <c r="J660" s="20"/>
      <c r="K660" s="45">
        <f t="shared" si="590"/>
        <v>1</v>
      </c>
      <c r="L660" s="104">
        <f t="shared" si="580"/>
        <v>2</v>
      </c>
      <c r="M660" s="58">
        <v>46155</v>
      </c>
      <c r="N660" s="268" t="s">
        <v>1156</v>
      </c>
      <c r="O660" s="255"/>
      <c r="P660" s="256">
        <v>3</v>
      </c>
      <c r="Q660" s="257"/>
      <c r="R660" s="269"/>
      <c r="S660" s="270">
        <f t="shared" si="591"/>
        <v>3</v>
      </c>
      <c r="T660" s="255"/>
      <c r="U660" s="256"/>
      <c r="V660" s="257">
        <v>3</v>
      </c>
      <c r="W660" s="269"/>
      <c r="X660" s="270">
        <f t="shared" si="592"/>
        <v>3</v>
      </c>
      <c r="Y660" s="260">
        <f t="shared" si="586"/>
        <v>6</v>
      </c>
      <c r="Z660" s="261">
        <v>46153</v>
      </c>
    </row>
    <row r="661" spans="1:27" x14ac:dyDescent="0.15">
      <c r="A661" s="47" t="s">
        <v>1182</v>
      </c>
      <c r="B661" s="16">
        <v>5</v>
      </c>
      <c r="C661" s="29">
        <v>7</v>
      </c>
      <c r="D661" s="17"/>
      <c r="E661" s="20">
        <v>10</v>
      </c>
      <c r="F661" s="45">
        <f t="shared" si="589"/>
        <v>22</v>
      </c>
      <c r="G661" s="16"/>
      <c r="H661" s="29"/>
      <c r="I661" s="17"/>
      <c r="J661" s="20"/>
      <c r="K661" s="45">
        <f t="shared" si="590"/>
        <v>0</v>
      </c>
      <c r="L661" s="104">
        <f t="shared" si="580"/>
        <v>22</v>
      </c>
      <c r="M661" s="58">
        <v>46158</v>
      </c>
      <c r="N661" s="11" t="s">
        <v>1162</v>
      </c>
      <c r="O661" s="16"/>
      <c r="P661" s="29"/>
      <c r="Q661" s="17"/>
      <c r="R661" s="32">
        <v>4</v>
      </c>
      <c r="S661" s="9">
        <f t="shared" si="591"/>
        <v>4</v>
      </c>
      <c r="T661" s="16">
        <v>2</v>
      </c>
      <c r="U661" s="29"/>
      <c r="V661" s="17">
        <v>4</v>
      </c>
      <c r="W661" s="32">
        <v>2</v>
      </c>
      <c r="X661" s="9">
        <f t="shared" si="592"/>
        <v>8</v>
      </c>
      <c r="Y661" s="104">
        <f t="shared" si="586"/>
        <v>12</v>
      </c>
      <c r="Z661" s="56">
        <v>46154</v>
      </c>
    </row>
    <row r="662" spans="1:27" x14ac:dyDescent="0.15">
      <c r="A662" s="33" t="s">
        <v>1185</v>
      </c>
      <c r="B662" s="16"/>
      <c r="C662" s="29">
        <v>1</v>
      </c>
      <c r="D662" s="17"/>
      <c r="E662" s="20"/>
      <c r="F662" s="45">
        <f t="shared" si="589"/>
        <v>1</v>
      </c>
      <c r="G662" s="16"/>
      <c r="H662" s="29">
        <v>1</v>
      </c>
      <c r="I662" s="17"/>
      <c r="J662" s="20"/>
      <c r="K662" s="45">
        <f t="shared" si="590"/>
        <v>1</v>
      </c>
      <c r="L662" s="104">
        <f t="shared" si="580"/>
        <v>2</v>
      </c>
      <c r="M662" s="56">
        <v>46162</v>
      </c>
      <c r="N662" s="11" t="s">
        <v>1163</v>
      </c>
      <c r="O662" s="16">
        <v>10</v>
      </c>
      <c r="P662" s="29">
        <v>10</v>
      </c>
      <c r="Q662" s="17"/>
      <c r="R662" s="32">
        <v>10</v>
      </c>
      <c r="S662" s="9">
        <f>SUM(O662:R662)</f>
        <v>30</v>
      </c>
      <c r="T662" s="16"/>
      <c r="U662" s="29"/>
      <c r="V662" s="17"/>
      <c r="W662" s="32"/>
      <c r="X662" s="9">
        <f>SUM(T662:W662)</f>
        <v>0</v>
      </c>
      <c r="Y662" s="104">
        <f t="shared" si="586"/>
        <v>30</v>
      </c>
      <c r="Z662" s="56">
        <v>46169</v>
      </c>
    </row>
    <row r="663" spans="1:27" x14ac:dyDescent="0.15">
      <c r="A663" s="47" t="s">
        <v>51</v>
      </c>
      <c r="B663" s="16"/>
      <c r="C663" s="29"/>
      <c r="D663" s="17"/>
      <c r="E663" s="20"/>
      <c r="F663" s="45">
        <f t="shared" si="589"/>
        <v>0</v>
      </c>
      <c r="G663" s="16"/>
      <c r="H663" s="29">
        <v>1</v>
      </c>
      <c r="I663" s="17"/>
      <c r="J663" s="20"/>
      <c r="K663" s="45">
        <f t="shared" si="590"/>
        <v>1</v>
      </c>
      <c r="L663" s="104">
        <f t="shared" si="580"/>
        <v>1</v>
      </c>
      <c r="M663" s="58">
        <v>46160</v>
      </c>
      <c r="N663" s="268" t="s">
        <v>861</v>
      </c>
      <c r="O663" s="255"/>
      <c r="P663" s="256"/>
      <c r="Q663" s="257">
        <v>3</v>
      </c>
      <c r="R663" s="269"/>
      <c r="S663" s="270">
        <f t="shared" ref="S663:S668" si="593">SUM(O663:R663)</f>
        <v>3</v>
      </c>
      <c r="T663" s="255"/>
      <c r="U663" s="256"/>
      <c r="V663" s="257"/>
      <c r="W663" s="269"/>
      <c r="X663" s="270">
        <f t="shared" ref="X663:X668" si="594">SUM(T663:W663)</f>
        <v>0</v>
      </c>
      <c r="Y663" s="260">
        <f t="shared" si="586"/>
        <v>3</v>
      </c>
      <c r="Z663" s="261">
        <v>46155</v>
      </c>
    </row>
    <row r="664" spans="1:27" x14ac:dyDescent="0.15">
      <c r="A664" s="33" t="s">
        <v>1189</v>
      </c>
      <c r="B664" s="16">
        <v>2</v>
      </c>
      <c r="C664" s="29"/>
      <c r="D664" s="17"/>
      <c r="E664" s="20"/>
      <c r="F664" s="45">
        <f t="shared" si="589"/>
        <v>2</v>
      </c>
      <c r="G664" s="16"/>
      <c r="H664" s="29"/>
      <c r="I664" s="17"/>
      <c r="J664" s="20"/>
      <c r="K664" s="45">
        <f t="shared" si="590"/>
        <v>0</v>
      </c>
      <c r="L664" s="104">
        <f t="shared" si="580"/>
        <v>2</v>
      </c>
      <c r="M664" s="56">
        <v>46163</v>
      </c>
      <c r="N664" s="33" t="s">
        <v>1183</v>
      </c>
      <c r="O664" s="16">
        <v>-5</v>
      </c>
      <c r="P664" s="29">
        <v>-7</v>
      </c>
      <c r="Q664" s="17"/>
      <c r="R664" s="32">
        <v>-10</v>
      </c>
      <c r="S664" s="9">
        <f t="shared" si="593"/>
        <v>-22</v>
      </c>
      <c r="T664" s="16"/>
      <c r="U664" s="29"/>
      <c r="V664" s="17"/>
      <c r="W664" s="32"/>
      <c r="X664" s="9">
        <f t="shared" si="594"/>
        <v>0</v>
      </c>
      <c r="Y664" s="104">
        <f t="shared" si="586"/>
        <v>-22</v>
      </c>
      <c r="Z664" s="58">
        <v>46158</v>
      </c>
    </row>
    <row r="665" spans="1:27" x14ac:dyDescent="0.15">
      <c r="A665" s="33" t="s">
        <v>1191</v>
      </c>
      <c r="B665" s="16"/>
      <c r="C665" s="29"/>
      <c r="D665" s="17">
        <v>-1</v>
      </c>
      <c r="E665" s="20">
        <v>-2</v>
      </c>
      <c r="F665" s="45">
        <f t="shared" si="589"/>
        <v>-3</v>
      </c>
      <c r="G665" s="16">
        <v>-1</v>
      </c>
      <c r="H665" s="29">
        <v>-3</v>
      </c>
      <c r="I665" s="17">
        <v>-1</v>
      </c>
      <c r="J665" s="20">
        <v>-2</v>
      </c>
      <c r="K665" s="45">
        <f t="shared" si="590"/>
        <v>-7</v>
      </c>
      <c r="L665" s="104">
        <f t="shared" si="580"/>
        <v>-10</v>
      </c>
      <c r="M665" s="58">
        <v>46157</v>
      </c>
      <c r="N665" s="268" t="s">
        <v>861</v>
      </c>
      <c r="O665" s="255"/>
      <c r="P665" s="256">
        <v>3</v>
      </c>
      <c r="Q665" s="257"/>
      <c r="R665" s="269"/>
      <c r="S665" s="270">
        <f t="shared" ref="S665:S667" si="595">SUM(O665:R665)</f>
        <v>3</v>
      </c>
      <c r="T665" s="255"/>
      <c r="U665" s="256">
        <v>5</v>
      </c>
      <c r="V665" s="257"/>
      <c r="W665" s="269">
        <v>3</v>
      </c>
      <c r="X665" s="270">
        <f t="shared" ref="X665:X667" si="596">SUM(T665:W665)</f>
        <v>8</v>
      </c>
      <c r="Y665" s="260">
        <f t="shared" ref="Y665:Y667" si="597">S665+X665</f>
        <v>11</v>
      </c>
      <c r="Z665" s="261">
        <v>46161</v>
      </c>
    </row>
    <row r="666" spans="1:27" x14ac:dyDescent="0.15">
      <c r="A666" s="47" t="s">
        <v>1193</v>
      </c>
      <c r="B666" s="16"/>
      <c r="C666" s="29"/>
      <c r="D666" s="17"/>
      <c r="E666" s="20">
        <v>1</v>
      </c>
      <c r="F666" s="45">
        <f t="shared" si="589"/>
        <v>1</v>
      </c>
      <c r="G666" s="16"/>
      <c r="H666" s="29"/>
      <c r="I666" s="17"/>
      <c r="J666" s="20"/>
      <c r="K666" s="45">
        <f t="shared" si="590"/>
        <v>0</v>
      </c>
      <c r="L666" s="104">
        <f t="shared" si="580"/>
        <v>1</v>
      </c>
      <c r="M666" s="58">
        <v>46162</v>
      </c>
      <c r="N666" s="72"/>
      <c r="O666" s="16"/>
      <c r="P666" s="29"/>
      <c r="Q666" s="17"/>
      <c r="R666" s="32"/>
      <c r="S666" s="9">
        <f t="shared" ref="S666" si="598">SUM(O666:R666)</f>
        <v>0</v>
      </c>
      <c r="T666" s="16"/>
      <c r="U666" s="29"/>
      <c r="V666" s="17"/>
      <c r="W666" s="32"/>
      <c r="X666" s="9">
        <f t="shared" ref="X666" si="599">SUM(T666:W666)</f>
        <v>0</v>
      </c>
      <c r="Y666" s="104">
        <f t="shared" ref="Y666" si="600">S666+X666</f>
        <v>0</v>
      </c>
    </row>
    <row r="667" spans="1:27" x14ac:dyDescent="0.15">
      <c r="A667" s="33" t="s">
        <v>1194</v>
      </c>
      <c r="B667" s="16"/>
      <c r="C667" s="29"/>
      <c r="D667" s="17"/>
      <c r="E667" s="20">
        <v>1</v>
      </c>
      <c r="F667" s="45">
        <f t="shared" si="589"/>
        <v>1</v>
      </c>
      <c r="G667" s="16"/>
      <c r="H667" s="29">
        <v>1</v>
      </c>
      <c r="I667" s="17"/>
      <c r="J667" s="20"/>
      <c r="K667" s="45">
        <f t="shared" si="590"/>
        <v>1</v>
      </c>
      <c r="L667" s="104">
        <f t="shared" si="580"/>
        <v>2</v>
      </c>
      <c r="M667" s="56">
        <v>46165</v>
      </c>
      <c r="N667" s="72"/>
      <c r="O667" s="16"/>
      <c r="P667" s="29"/>
      <c r="Q667" s="17"/>
      <c r="R667" s="32"/>
      <c r="S667" s="9">
        <f t="shared" si="595"/>
        <v>0</v>
      </c>
      <c r="T667" s="16"/>
      <c r="U667" s="29"/>
      <c r="V667" s="17"/>
      <c r="W667" s="32"/>
      <c r="X667" s="9">
        <f t="shared" si="596"/>
        <v>0</v>
      </c>
      <c r="Y667" s="104">
        <f t="shared" si="597"/>
        <v>0</v>
      </c>
    </row>
    <row r="668" spans="1:27" x14ac:dyDescent="0.15">
      <c r="A668" s="47" t="s">
        <v>51</v>
      </c>
      <c r="B668" s="16"/>
      <c r="C668" s="29"/>
      <c r="D668" s="17"/>
      <c r="E668" s="20">
        <v>1</v>
      </c>
      <c r="F668" s="45">
        <f t="shared" si="589"/>
        <v>1</v>
      </c>
      <c r="G668" s="16"/>
      <c r="H668" s="29"/>
      <c r="I668" s="17"/>
      <c r="J668" s="20"/>
      <c r="K668" s="45">
        <f t="shared" si="590"/>
        <v>0</v>
      </c>
      <c r="L668" s="104">
        <f t="shared" si="580"/>
        <v>1</v>
      </c>
      <c r="M668" s="58">
        <v>46164</v>
      </c>
      <c r="N668" s="72"/>
      <c r="O668" s="16"/>
      <c r="P668" s="29"/>
      <c r="Q668" s="17"/>
      <c r="R668" s="32"/>
      <c r="S668" s="9">
        <f t="shared" si="593"/>
        <v>0</v>
      </c>
      <c r="T668" s="16"/>
      <c r="U668" s="29"/>
      <c r="V668" s="17"/>
      <c r="W668" s="32"/>
      <c r="X668" s="9">
        <f t="shared" si="594"/>
        <v>0</v>
      </c>
      <c r="Y668" s="104">
        <f t="shared" ref="Y668" si="601">S668+X668</f>
        <v>0</v>
      </c>
    </row>
    <row r="669" spans="1:27" x14ac:dyDescent="0.15">
      <c r="A669" s="33" t="s">
        <v>1212</v>
      </c>
      <c r="B669" s="16"/>
      <c r="C669" s="29"/>
      <c r="D669" s="17">
        <v>1</v>
      </c>
      <c r="E669" s="20"/>
      <c r="F669" s="45">
        <f t="shared" si="589"/>
        <v>1</v>
      </c>
      <c r="G669" s="16"/>
      <c r="H669" s="29"/>
      <c r="I669" s="17"/>
      <c r="J669" s="20"/>
      <c r="K669" s="45">
        <f t="shared" si="590"/>
        <v>0</v>
      </c>
      <c r="L669" s="104">
        <f t="shared" si="580"/>
        <v>1</v>
      </c>
      <c r="M669" s="56">
        <v>46171</v>
      </c>
      <c r="N669" s="72"/>
      <c r="O669" s="16"/>
      <c r="P669" s="29"/>
      <c r="Q669" s="17"/>
      <c r="R669" s="32"/>
      <c r="S669" s="9">
        <f>SUM(O669:R669)</f>
        <v>0</v>
      </c>
      <c r="T669" s="16"/>
      <c r="U669" s="29"/>
      <c r="V669" s="17"/>
      <c r="W669" s="32"/>
      <c r="X669" s="9">
        <f>SUM(T669:W669)</f>
        <v>0</v>
      </c>
      <c r="Y669" s="104">
        <f t="shared" si="586"/>
        <v>0</v>
      </c>
    </row>
    <row r="670" spans="1:27" x14ac:dyDescent="0.15">
      <c r="A670" s="33" t="s">
        <v>1215</v>
      </c>
      <c r="B670" s="16"/>
      <c r="C670" s="29"/>
      <c r="D670" s="17">
        <v>1</v>
      </c>
      <c r="E670" s="20"/>
      <c r="F670" s="45">
        <f t="shared" si="589"/>
        <v>1</v>
      </c>
      <c r="G670" s="16"/>
      <c r="H670" s="29"/>
      <c r="I670" s="17"/>
      <c r="J670" s="20"/>
      <c r="K670" s="45">
        <f t="shared" si="590"/>
        <v>0</v>
      </c>
      <c r="L670" s="104">
        <f t="shared" si="580"/>
        <v>1</v>
      </c>
      <c r="M670" s="56">
        <v>46172</v>
      </c>
      <c r="N670" s="72"/>
      <c r="O670" s="16"/>
      <c r="P670" s="29"/>
      <c r="Q670" s="17"/>
      <c r="R670" s="32"/>
      <c r="S670" s="9">
        <f t="shared" ref="S670:S681" si="602">SUM(O670:R670)</f>
        <v>0</v>
      </c>
      <c r="T670" s="16"/>
      <c r="U670" s="29"/>
      <c r="V670" s="17"/>
      <c r="W670" s="32"/>
      <c r="X670" s="9">
        <f t="shared" ref="X670:X681" si="603">SUM(T670:W670)</f>
        <v>0</v>
      </c>
      <c r="Y670" s="104">
        <f t="shared" si="586"/>
        <v>0</v>
      </c>
    </row>
    <row r="671" spans="1:27" x14ac:dyDescent="0.15">
      <c r="A671" s="47" t="s">
        <v>51</v>
      </c>
      <c r="B671" s="16"/>
      <c r="C671" s="29"/>
      <c r="D671" s="17"/>
      <c r="E671" s="20"/>
      <c r="F671" s="45">
        <f t="shared" si="589"/>
        <v>0</v>
      </c>
      <c r="G671" s="16"/>
      <c r="H671" s="29"/>
      <c r="I671" s="17">
        <v>1</v>
      </c>
      <c r="J671" s="20"/>
      <c r="K671" s="45">
        <f t="shared" si="590"/>
        <v>1</v>
      </c>
      <c r="L671" s="104">
        <f t="shared" si="580"/>
        <v>1</v>
      </c>
      <c r="M671" s="58">
        <v>46170</v>
      </c>
      <c r="N671" s="72"/>
      <c r="O671" s="16"/>
      <c r="P671" s="29"/>
      <c r="Q671" s="17"/>
      <c r="R671" s="32"/>
      <c r="S671" s="9">
        <f t="shared" si="602"/>
        <v>0</v>
      </c>
      <c r="T671" s="16"/>
      <c r="U671" s="29"/>
      <c r="V671" s="17"/>
      <c r="W671" s="32"/>
      <c r="X671" s="9">
        <f t="shared" si="603"/>
        <v>0</v>
      </c>
      <c r="Y671" s="104">
        <f t="shared" si="586"/>
        <v>0</v>
      </c>
    </row>
    <row r="672" spans="1:27" x14ac:dyDescent="0.15">
      <c r="A672" s="47" t="s">
        <v>51</v>
      </c>
      <c r="B672" s="16"/>
      <c r="C672" s="29"/>
      <c r="D672" s="17"/>
      <c r="E672" s="20">
        <v>1</v>
      </c>
      <c r="F672" s="45">
        <f t="shared" si="589"/>
        <v>1</v>
      </c>
      <c r="G672" s="16"/>
      <c r="H672" s="29"/>
      <c r="I672" s="17"/>
      <c r="J672" s="20"/>
      <c r="K672" s="45">
        <f t="shared" si="590"/>
        <v>0</v>
      </c>
      <c r="L672" s="104">
        <f t="shared" si="580"/>
        <v>1</v>
      </c>
      <c r="M672" s="56">
        <v>46171</v>
      </c>
      <c r="N672" s="72"/>
      <c r="O672" s="16"/>
      <c r="P672" s="29"/>
      <c r="Q672" s="17"/>
      <c r="R672" s="32"/>
      <c r="S672" s="9">
        <f t="shared" ref="S672:S673" si="604">SUM(O672:R672)</f>
        <v>0</v>
      </c>
      <c r="T672" s="16"/>
      <c r="U672" s="29"/>
      <c r="V672" s="17"/>
      <c r="W672" s="32"/>
      <c r="X672" s="9">
        <f t="shared" ref="X672:X673" si="605">SUM(T672:W672)</f>
        <v>0</v>
      </c>
      <c r="Y672" s="104">
        <f t="shared" ref="Y672:Y673" si="606">S672+X672</f>
        <v>0</v>
      </c>
    </row>
    <row r="673" spans="1:26" x14ac:dyDescent="0.15">
      <c r="A673" s="47"/>
      <c r="B673" s="16"/>
      <c r="C673" s="29"/>
      <c r="D673" s="17"/>
      <c r="E673" s="20"/>
      <c r="F673" s="45">
        <f t="shared" si="589"/>
        <v>0</v>
      </c>
      <c r="G673" s="16"/>
      <c r="H673" s="29"/>
      <c r="I673" s="17"/>
      <c r="J673" s="20"/>
      <c r="K673" s="45">
        <f t="shared" si="590"/>
        <v>0</v>
      </c>
      <c r="L673" s="104">
        <f t="shared" si="580"/>
        <v>0</v>
      </c>
      <c r="N673" s="72"/>
      <c r="O673" s="16"/>
      <c r="P673" s="29"/>
      <c r="Q673" s="17"/>
      <c r="R673" s="32"/>
      <c r="S673" s="9">
        <f t="shared" si="604"/>
        <v>0</v>
      </c>
      <c r="T673" s="16"/>
      <c r="U673" s="29"/>
      <c r="V673" s="17"/>
      <c r="W673" s="32"/>
      <c r="X673" s="9">
        <f t="shared" si="605"/>
        <v>0</v>
      </c>
      <c r="Y673" s="104">
        <f t="shared" si="606"/>
        <v>0</v>
      </c>
    </row>
    <row r="674" spans="1:26" x14ac:dyDescent="0.15">
      <c r="A674" s="47"/>
      <c r="B674" s="16"/>
      <c r="C674" s="29"/>
      <c r="D674" s="17"/>
      <c r="E674" s="20"/>
      <c r="F674" s="45">
        <f t="shared" ref="F674:F675" si="607">SUM(B674:E674)</f>
        <v>0</v>
      </c>
      <c r="G674" s="16"/>
      <c r="H674" s="29"/>
      <c r="I674" s="17"/>
      <c r="J674" s="20"/>
      <c r="K674" s="45">
        <f t="shared" ref="K674:K675" si="608">SUM(G674:J674)</f>
        <v>0</v>
      </c>
      <c r="L674" s="104">
        <f t="shared" ref="L674:L675" si="609">F674+K674</f>
        <v>0</v>
      </c>
      <c r="N674" s="137" t="s">
        <v>1006</v>
      </c>
      <c r="O674" s="171"/>
      <c r="P674" s="172"/>
      <c r="Q674" s="173"/>
      <c r="R674" s="174"/>
      <c r="S674" s="175">
        <f t="shared" ref="S674:S680" si="610">SUM(O674:R674)</f>
        <v>0</v>
      </c>
      <c r="T674" s="171"/>
      <c r="U674" s="172"/>
      <c r="V674" s="173"/>
      <c r="W674" s="174"/>
      <c r="X674" s="175">
        <f t="shared" ref="X674:X680" si="611">SUM(T674:W674)</f>
        <v>0</v>
      </c>
      <c r="Y674" s="205">
        <f t="shared" ref="Y674:Y680" si="612">S674+X674</f>
        <v>0</v>
      </c>
      <c r="Z674" s="157"/>
    </row>
    <row r="675" spans="1:26" x14ac:dyDescent="0.15">
      <c r="A675" s="47"/>
      <c r="B675" s="16"/>
      <c r="C675" s="29"/>
      <c r="D675" s="17"/>
      <c r="E675" s="20"/>
      <c r="F675" s="45">
        <f t="shared" si="607"/>
        <v>0</v>
      </c>
      <c r="G675" s="16"/>
      <c r="H675" s="29"/>
      <c r="I675" s="17"/>
      <c r="J675" s="20"/>
      <c r="K675" s="45">
        <f t="shared" si="608"/>
        <v>0</v>
      </c>
      <c r="L675" s="104">
        <f t="shared" si="609"/>
        <v>0</v>
      </c>
      <c r="N675" s="11" t="s">
        <v>1004</v>
      </c>
      <c r="O675" s="16"/>
      <c r="P675" s="29"/>
      <c r="Q675" s="17"/>
      <c r="R675" s="32"/>
      <c r="S675" s="9">
        <f t="shared" si="610"/>
        <v>0</v>
      </c>
      <c r="T675" s="16"/>
      <c r="U675" s="29"/>
      <c r="V675" s="17"/>
      <c r="W675" s="32"/>
      <c r="X675" s="9">
        <f t="shared" si="611"/>
        <v>0</v>
      </c>
      <c r="Y675" s="104">
        <f t="shared" si="612"/>
        <v>0</v>
      </c>
      <c r="Z675" s="157" t="s">
        <v>1007</v>
      </c>
    </row>
    <row r="676" spans="1:26" x14ac:dyDescent="0.15">
      <c r="A676" s="47"/>
      <c r="B676" s="16"/>
      <c r="C676" s="29"/>
      <c r="D676" s="17"/>
      <c r="E676" s="20"/>
      <c r="F676" s="45">
        <f t="shared" si="589"/>
        <v>0</v>
      </c>
      <c r="G676" s="16"/>
      <c r="H676" s="29"/>
      <c r="I676" s="17"/>
      <c r="J676" s="20"/>
      <c r="K676" s="45">
        <f t="shared" si="590"/>
        <v>0</v>
      </c>
      <c r="L676" s="104">
        <f t="shared" si="580"/>
        <v>0</v>
      </c>
      <c r="N676" s="137" t="s">
        <v>884</v>
      </c>
      <c r="O676" s="166"/>
      <c r="P676" s="167"/>
      <c r="Q676" s="160"/>
      <c r="R676" s="168"/>
      <c r="S676" s="165">
        <f t="shared" si="610"/>
        <v>0</v>
      </c>
      <c r="T676" s="161"/>
      <c r="U676" s="162"/>
      <c r="V676" s="163"/>
      <c r="W676" s="164"/>
      <c r="X676" s="165">
        <f t="shared" si="611"/>
        <v>0</v>
      </c>
      <c r="Y676" s="169">
        <f t="shared" si="612"/>
        <v>0</v>
      </c>
      <c r="Z676" s="157"/>
    </row>
    <row r="677" spans="1:26" x14ac:dyDescent="0.15">
      <c r="A677" s="47"/>
      <c r="B677" s="16"/>
      <c r="C677" s="29"/>
      <c r="D677" s="17"/>
      <c r="E677" s="20"/>
      <c r="F677" s="45">
        <f t="shared" si="589"/>
        <v>0</v>
      </c>
      <c r="G677" s="16"/>
      <c r="H677" s="29"/>
      <c r="I677" s="17"/>
      <c r="J677" s="20"/>
      <c r="K677" s="45">
        <f t="shared" si="590"/>
        <v>0</v>
      </c>
      <c r="L677" s="104">
        <f t="shared" si="580"/>
        <v>0</v>
      </c>
      <c r="N677" s="11" t="s">
        <v>883</v>
      </c>
      <c r="O677" s="16"/>
      <c r="P677" s="29"/>
      <c r="Q677" s="17"/>
      <c r="R677" s="32"/>
      <c r="S677" s="9">
        <f t="shared" si="610"/>
        <v>0</v>
      </c>
      <c r="T677" s="206"/>
      <c r="U677" s="207"/>
      <c r="V677" s="208"/>
      <c r="W677" s="209"/>
      <c r="X677" s="9">
        <f t="shared" si="611"/>
        <v>0</v>
      </c>
      <c r="Y677" s="104">
        <f t="shared" si="612"/>
        <v>0</v>
      </c>
      <c r="Z677" s="35" t="s">
        <v>886</v>
      </c>
    </row>
    <row r="678" spans="1:26" x14ac:dyDescent="0.15">
      <c r="A678" s="47"/>
      <c r="B678" s="16"/>
      <c r="C678" s="29"/>
      <c r="D678" s="17"/>
      <c r="E678" s="20"/>
      <c r="F678" s="45">
        <f t="shared" si="589"/>
        <v>0</v>
      </c>
      <c r="G678" s="16"/>
      <c r="H678" s="29"/>
      <c r="I678" s="17"/>
      <c r="J678" s="20"/>
      <c r="K678" s="45">
        <f t="shared" si="590"/>
        <v>0</v>
      </c>
      <c r="L678" s="104">
        <f t="shared" si="580"/>
        <v>0</v>
      </c>
      <c r="N678" s="33" t="s">
        <v>996</v>
      </c>
      <c r="O678" s="41"/>
      <c r="P678" s="42"/>
      <c r="Q678" s="43"/>
      <c r="R678" s="59"/>
      <c r="S678" s="61">
        <f t="shared" si="610"/>
        <v>0</v>
      </c>
      <c r="T678" s="41"/>
      <c r="U678" s="42"/>
      <c r="V678" s="43"/>
      <c r="W678" s="59"/>
      <c r="X678" s="61">
        <f t="shared" si="611"/>
        <v>0</v>
      </c>
      <c r="Y678" s="103">
        <f t="shared" si="612"/>
        <v>0</v>
      </c>
      <c r="Z678" s="157" t="s">
        <v>997</v>
      </c>
    </row>
    <row r="679" spans="1:26" x14ac:dyDescent="0.15">
      <c r="A679" s="47"/>
      <c r="B679" s="16"/>
      <c r="C679" s="29"/>
      <c r="D679" s="17"/>
      <c r="E679" s="20"/>
      <c r="F679" s="45">
        <f t="shared" si="589"/>
        <v>0</v>
      </c>
      <c r="G679" s="16"/>
      <c r="H679" s="29"/>
      <c r="I679" s="17"/>
      <c r="J679" s="20"/>
      <c r="K679" s="45">
        <f t="shared" si="590"/>
        <v>0</v>
      </c>
      <c r="L679" s="104">
        <f t="shared" si="580"/>
        <v>0</v>
      </c>
      <c r="N679" s="72" t="s">
        <v>907</v>
      </c>
      <c r="O679" s="161"/>
      <c r="P679" s="162"/>
      <c r="Q679" s="163"/>
      <c r="R679" s="164"/>
      <c r="S679" s="165">
        <f t="shared" si="610"/>
        <v>0</v>
      </c>
      <c r="T679" s="166"/>
      <c r="U679" s="167"/>
      <c r="V679" s="160"/>
      <c r="W679" s="179"/>
      <c r="X679" s="165">
        <f t="shared" si="611"/>
        <v>0</v>
      </c>
      <c r="Y679" s="169">
        <f t="shared" si="612"/>
        <v>0</v>
      </c>
      <c r="Z679" s="224"/>
    </row>
    <row r="680" spans="1:26" ht="14.25" thickBot="1" x14ac:dyDescent="0.2">
      <c r="A680" s="47"/>
      <c r="B680" s="37"/>
      <c r="C680" s="38"/>
      <c r="D680" s="39"/>
      <c r="E680" s="40"/>
      <c r="F680" s="45">
        <f t="shared" si="589"/>
        <v>0</v>
      </c>
      <c r="G680" s="37"/>
      <c r="H680" s="38"/>
      <c r="I680" s="39"/>
      <c r="J680" s="40"/>
      <c r="K680" s="45">
        <f t="shared" si="590"/>
        <v>0</v>
      </c>
      <c r="L680" s="104">
        <f t="shared" si="580"/>
        <v>0</v>
      </c>
      <c r="N680" s="170" t="s">
        <v>906</v>
      </c>
      <c r="O680" s="123"/>
      <c r="P680" s="124"/>
      <c r="Q680" s="125"/>
      <c r="R680" s="126"/>
      <c r="S680" s="10">
        <f t="shared" si="610"/>
        <v>0</v>
      </c>
      <c r="T680" s="117"/>
      <c r="U680" s="118"/>
      <c r="V680" s="119"/>
      <c r="W680" s="233"/>
      <c r="X680" s="10">
        <f t="shared" si="611"/>
        <v>0</v>
      </c>
      <c r="Y680" s="101">
        <f t="shared" si="612"/>
        <v>0</v>
      </c>
      <c r="Z680" s="35" t="s">
        <v>908</v>
      </c>
    </row>
    <row r="681" spans="1:26" ht="14.25" thickBot="1" x14ac:dyDescent="0.2">
      <c r="A681" s="13" t="s">
        <v>8</v>
      </c>
      <c r="B681" s="22">
        <f>SUM(B656:B680)</f>
        <v>8</v>
      </c>
      <c r="C681" s="30">
        <f>SUM(C656:C680)</f>
        <v>9</v>
      </c>
      <c r="D681" s="23">
        <f>SUM(D656:D680)</f>
        <v>5</v>
      </c>
      <c r="E681" s="24">
        <f>SUM(E656:E680)</f>
        <v>12</v>
      </c>
      <c r="F681" s="21">
        <f t="shared" si="589"/>
        <v>34</v>
      </c>
      <c r="G681" s="22">
        <f>SUM(G656:G680)</f>
        <v>-1</v>
      </c>
      <c r="H681" s="30">
        <f>SUM(H656:H680)</f>
        <v>2</v>
      </c>
      <c r="I681" s="23">
        <f>SUM(I656:I680)</f>
        <v>2</v>
      </c>
      <c r="J681" s="24">
        <f>SUM(J656:J680)</f>
        <v>0</v>
      </c>
      <c r="K681" s="21">
        <f t="shared" si="590"/>
        <v>3</v>
      </c>
      <c r="L681" s="105">
        <f t="shared" si="580"/>
        <v>37</v>
      </c>
      <c r="N681" s="49" t="s">
        <v>8</v>
      </c>
      <c r="O681" s="22">
        <f>SUM(O656:O680)</f>
        <v>17</v>
      </c>
      <c r="P681" s="30">
        <f>SUM(P656:P680)</f>
        <v>37</v>
      </c>
      <c r="Q681" s="23">
        <f>SUM(Q656:Q680)</f>
        <v>20</v>
      </c>
      <c r="R681" s="24">
        <f>SUM(R656:R680)</f>
        <v>35</v>
      </c>
      <c r="S681" s="48">
        <f t="shared" si="602"/>
        <v>109</v>
      </c>
      <c r="T681" s="22">
        <f>SUM(T656:T680)</f>
        <v>7</v>
      </c>
      <c r="U681" s="30">
        <f>SUM(U656:U680)</f>
        <v>10</v>
      </c>
      <c r="V681" s="23">
        <f>SUM(V656:V680)</f>
        <v>9</v>
      </c>
      <c r="W681" s="24">
        <f>SUM(W656:W680)</f>
        <v>5</v>
      </c>
      <c r="X681" s="48">
        <f t="shared" si="603"/>
        <v>31</v>
      </c>
      <c r="Y681" s="122">
        <f t="shared" si="586"/>
        <v>140</v>
      </c>
    </row>
    <row r="682" spans="1:26" ht="14.25" thickBot="1" x14ac:dyDescent="0.2">
      <c r="A682" s="14" t="s">
        <v>9</v>
      </c>
      <c r="B682" s="25">
        <f t="shared" ref="B682:K682" si="613">B655-B681</f>
        <v>7</v>
      </c>
      <c r="C682" s="31">
        <f t="shared" si="613"/>
        <v>5</v>
      </c>
      <c r="D682" s="26">
        <f t="shared" si="613"/>
        <v>4</v>
      </c>
      <c r="E682" s="27">
        <f t="shared" si="613"/>
        <v>3</v>
      </c>
      <c r="F682" s="83">
        <f t="shared" si="613"/>
        <v>19</v>
      </c>
      <c r="G682" s="25">
        <f t="shared" si="613"/>
        <v>8</v>
      </c>
      <c r="H682" s="31">
        <f t="shared" si="613"/>
        <v>9</v>
      </c>
      <c r="I682" s="26">
        <f t="shared" si="613"/>
        <v>6</v>
      </c>
      <c r="J682" s="27">
        <f t="shared" si="613"/>
        <v>7</v>
      </c>
      <c r="K682" s="83">
        <f t="shared" si="613"/>
        <v>30</v>
      </c>
      <c r="L682" s="102">
        <f t="shared" si="580"/>
        <v>49</v>
      </c>
      <c r="N682" s="13" t="s">
        <v>9</v>
      </c>
      <c r="O682" s="25">
        <f t="shared" ref="O682:X682" si="614">O655-O681</f>
        <v>41</v>
      </c>
      <c r="P682" s="31">
        <f t="shared" si="614"/>
        <v>119</v>
      </c>
      <c r="Q682" s="26">
        <f t="shared" si="614"/>
        <v>103</v>
      </c>
      <c r="R682" s="27">
        <f t="shared" si="614"/>
        <v>192</v>
      </c>
      <c r="S682" s="36">
        <f t="shared" si="614"/>
        <v>455</v>
      </c>
      <c r="T682" s="25">
        <f t="shared" si="614"/>
        <v>71</v>
      </c>
      <c r="U682" s="31">
        <f t="shared" si="614"/>
        <v>52</v>
      </c>
      <c r="V682" s="26">
        <f t="shared" si="614"/>
        <v>31</v>
      </c>
      <c r="W682" s="27">
        <f t="shared" si="614"/>
        <v>74</v>
      </c>
      <c r="X682" s="36">
        <f t="shared" si="614"/>
        <v>228</v>
      </c>
      <c r="Y682" s="102">
        <f t="shared" si="586"/>
        <v>683</v>
      </c>
    </row>
    <row r="685" spans="1:26" ht="19.5" thickBot="1" x14ac:dyDescent="0.25">
      <c r="A685" s="2" t="s">
        <v>18</v>
      </c>
      <c r="B685" s="2"/>
      <c r="C685" s="1"/>
      <c r="D685" s="1"/>
      <c r="E685" s="1"/>
      <c r="F685" s="84"/>
      <c r="G685" s="2"/>
      <c r="H685" s="1" t="s">
        <v>157</v>
      </c>
      <c r="I685" s="1"/>
      <c r="J685" s="1"/>
      <c r="K685" s="84" t="s">
        <v>13</v>
      </c>
      <c r="L685" s="84"/>
      <c r="N685" s="2" t="s">
        <v>19</v>
      </c>
      <c r="O685" s="71"/>
      <c r="P685" s="71"/>
      <c r="Q685" s="71"/>
      <c r="R685" s="71"/>
      <c r="S685" s="84"/>
      <c r="T685" s="1" t="s">
        <v>157</v>
      </c>
      <c r="U685" s="71"/>
      <c r="V685" s="71"/>
      <c r="W685" s="71"/>
      <c r="X685" s="84" t="s">
        <v>13</v>
      </c>
    </row>
    <row r="686" spans="1:26" ht="14.25" thickBot="1" x14ac:dyDescent="0.2">
      <c r="A686" s="5" t="s">
        <v>0</v>
      </c>
      <c r="B686" s="322" t="s">
        <v>32</v>
      </c>
      <c r="C686" s="323"/>
      <c r="D686" s="323"/>
      <c r="E686" s="323"/>
      <c r="F686" s="324"/>
      <c r="G686" s="325" t="s">
        <v>31</v>
      </c>
      <c r="H686" s="326"/>
      <c r="I686" s="326"/>
      <c r="J686" s="326"/>
      <c r="K686" s="327"/>
      <c r="L686" s="320" t="s">
        <v>30</v>
      </c>
      <c r="N686" s="5" t="s">
        <v>0</v>
      </c>
      <c r="O686" s="322" t="s">
        <v>200</v>
      </c>
      <c r="P686" s="323"/>
      <c r="Q686" s="323"/>
      <c r="R686" s="323"/>
      <c r="S686" s="324"/>
      <c r="T686" s="325" t="s">
        <v>201</v>
      </c>
      <c r="U686" s="326"/>
      <c r="V686" s="326"/>
      <c r="W686" s="326"/>
      <c r="X686" s="327"/>
      <c r="Y686" s="320" t="s">
        <v>30</v>
      </c>
    </row>
    <row r="687" spans="1:26" ht="14.25" thickBot="1" x14ac:dyDescent="0.2">
      <c r="A687" s="5" t="s">
        <v>1</v>
      </c>
      <c r="B687" s="3" t="s">
        <v>22</v>
      </c>
      <c r="C687" s="28" t="s">
        <v>23</v>
      </c>
      <c r="D687" s="4" t="s">
        <v>24</v>
      </c>
      <c r="E687" s="15" t="s">
        <v>25</v>
      </c>
      <c r="F687" s="19" t="s">
        <v>2</v>
      </c>
      <c r="G687" s="3" t="s">
        <v>22</v>
      </c>
      <c r="H687" s="28" t="s">
        <v>23</v>
      </c>
      <c r="I687" s="4" t="s">
        <v>24</v>
      </c>
      <c r="J687" s="15" t="s">
        <v>25</v>
      </c>
      <c r="K687" s="19" t="s">
        <v>2</v>
      </c>
      <c r="L687" s="321"/>
      <c r="N687" s="5" t="s">
        <v>1</v>
      </c>
      <c r="O687" s="3" t="s">
        <v>22</v>
      </c>
      <c r="P687" s="28" t="s">
        <v>23</v>
      </c>
      <c r="Q687" s="4" t="s">
        <v>24</v>
      </c>
      <c r="R687" s="15" t="s">
        <v>25</v>
      </c>
      <c r="S687" s="19" t="s">
        <v>2</v>
      </c>
      <c r="T687" s="3" t="s">
        <v>22</v>
      </c>
      <c r="U687" s="28" t="s">
        <v>23</v>
      </c>
      <c r="V687" s="4" t="s">
        <v>24</v>
      </c>
      <c r="W687" s="15" t="s">
        <v>25</v>
      </c>
      <c r="X687" s="19" t="s">
        <v>2</v>
      </c>
      <c r="Y687" s="321"/>
    </row>
    <row r="688" spans="1:26" x14ac:dyDescent="0.15">
      <c r="A688" s="78" t="s">
        <v>10</v>
      </c>
      <c r="B688" s="79">
        <f>B682</f>
        <v>7</v>
      </c>
      <c r="C688" s="80">
        <f>C682</f>
        <v>5</v>
      </c>
      <c r="D688" s="80">
        <f>D682</f>
        <v>4</v>
      </c>
      <c r="E688" s="81">
        <f>E682</f>
        <v>3</v>
      </c>
      <c r="F688" s="82">
        <f>SUM(B688:E688)</f>
        <v>19</v>
      </c>
      <c r="G688" s="79">
        <f>G682</f>
        <v>8</v>
      </c>
      <c r="H688" s="80">
        <f>H682</f>
        <v>9</v>
      </c>
      <c r="I688" s="80">
        <f>I682</f>
        <v>6</v>
      </c>
      <c r="J688" s="81">
        <f>J682</f>
        <v>7</v>
      </c>
      <c r="K688" s="82">
        <f>SUM(G688:J688)</f>
        <v>30</v>
      </c>
      <c r="L688" s="98">
        <f t="shared" ref="L688:L720" si="615">F688+K688</f>
        <v>49</v>
      </c>
      <c r="N688" s="78" t="s">
        <v>10</v>
      </c>
      <c r="O688" s="79">
        <f>O682</f>
        <v>41</v>
      </c>
      <c r="P688" s="80">
        <f>P682</f>
        <v>119</v>
      </c>
      <c r="Q688" s="80">
        <f>Q682</f>
        <v>103</v>
      </c>
      <c r="R688" s="81">
        <f>R682</f>
        <v>192</v>
      </c>
      <c r="S688" s="82">
        <f>SUM(O688:R688)</f>
        <v>455</v>
      </c>
      <c r="T688" s="79">
        <f>T682</f>
        <v>71</v>
      </c>
      <c r="U688" s="80">
        <f>U682</f>
        <v>52</v>
      </c>
      <c r="V688" s="80">
        <f>V682</f>
        <v>31</v>
      </c>
      <c r="W688" s="81">
        <f>W682</f>
        <v>74</v>
      </c>
      <c r="X688" s="82">
        <f>SUM(T688:W688)</f>
        <v>228</v>
      </c>
      <c r="Y688" s="98">
        <f>S688+X688</f>
        <v>683</v>
      </c>
    </row>
    <row r="689" spans="1:28" x14ac:dyDescent="0.15">
      <c r="A689" s="47" t="s">
        <v>66</v>
      </c>
      <c r="B689" s="51"/>
      <c r="C689" s="52">
        <v>1</v>
      </c>
      <c r="D689" s="53"/>
      <c r="E689" s="54"/>
      <c r="F689" s="61">
        <f>SUM(B689:E689)</f>
        <v>1</v>
      </c>
      <c r="G689" s="51"/>
      <c r="H689" s="52"/>
      <c r="I689" s="53"/>
      <c r="J689" s="54"/>
      <c r="K689" s="61">
        <f>SUM(G689:J689)</f>
        <v>0</v>
      </c>
      <c r="L689" s="99">
        <f t="shared" si="615"/>
        <v>1</v>
      </c>
      <c r="M689" s="58">
        <v>46181</v>
      </c>
      <c r="N689" s="12" t="s">
        <v>11</v>
      </c>
      <c r="O689" s="16"/>
      <c r="P689" s="29"/>
      <c r="Q689" s="17"/>
      <c r="R689" s="20"/>
      <c r="S689" s="45">
        <f t="shared" ref="S689:S692" si="616">SUM(O689:R689)</f>
        <v>0</v>
      </c>
      <c r="T689" s="16"/>
      <c r="U689" s="29"/>
      <c r="V689" s="17"/>
      <c r="W689" s="20"/>
      <c r="X689" s="45">
        <f t="shared" ref="X689:X692" si="617">SUM(T689:W689)</f>
        <v>0</v>
      </c>
      <c r="Y689" s="100">
        <f t="shared" ref="Y689:Y720" si="618">S689+X689</f>
        <v>0</v>
      </c>
    </row>
    <row r="690" spans="1:28" x14ac:dyDescent="0.15">
      <c r="A690" s="12" t="s">
        <v>1241</v>
      </c>
      <c r="B690" s="6"/>
      <c r="C690" s="18"/>
      <c r="D690" s="7">
        <v>1</v>
      </c>
      <c r="E690" s="8"/>
      <c r="F690" s="9">
        <f>SUM(B690:E690)</f>
        <v>1</v>
      </c>
      <c r="G690" s="6"/>
      <c r="H690" s="18"/>
      <c r="I690" s="7"/>
      <c r="J690" s="8"/>
      <c r="K690" s="9">
        <f>SUM(G690:J690)</f>
        <v>0</v>
      </c>
      <c r="L690" s="100">
        <f t="shared" si="615"/>
        <v>1</v>
      </c>
      <c r="M690" s="58">
        <v>46178</v>
      </c>
      <c r="N690" s="12" t="s">
        <v>71</v>
      </c>
      <c r="O690" s="16">
        <v>30</v>
      </c>
      <c r="P690" s="29">
        <v>50</v>
      </c>
      <c r="Q690" s="17">
        <v>50</v>
      </c>
      <c r="R690" s="20">
        <v>40</v>
      </c>
      <c r="S690" s="45">
        <f t="shared" si="616"/>
        <v>170</v>
      </c>
      <c r="T690" s="16">
        <v>20</v>
      </c>
      <c r="U690" s="29">
        <v>40</v>
      </c>
      <c r="V690" s="17">
        <v>30</v>
      </c>
      <c r="W690" s="20">
        <v>30</v>
      </c>
      <c r="X690" s="45">
        <f t="shared" si="617"/>
        <v>120</v>
      </c>
      <c r="Y690" s="100">
        <f t="shared" si="618"/>
        <v>290</v>
      </c>
      <c r="Z690" s="56" t="s">
        <v>1231</v>
      </c>
      <c r="AA690" s="227"/>
    </row>
    <row r="691" spans="1:28" x14ac:dyDescent="0.15">
      <c r="A691" s="283" t="s">
        <v>5</v>
      </c>
      <c r="B691" s="284"/>
      <c r="C691" s="285"/>
      <c r="D691" s="286"/>
      <c r="E691" s="287">
        <v>5</v>
      </c>
      <c r="F691" s="270">
        <f>SUM(B691:E691)</f>
        <v>5</v>
      </c>
      <c r="G691" s="284"/>
      <c r="H691" s="285"/>
      <c r="I691" s="286"/>
      <c r="J691" s="287"/>
      <c r="K691" s="270">
        <f>SUM(G691:J691)</f>
        <v>0</v>
      </c>
      <c r="L691" s="288">
        <f t="shared" si="615"/>
        <v>5</v>
      </c>
      <c r="M691" s="261">
        <v>46190</v>
      </c>
      <c r="N691" s="12" t="s">
        <v>465</v>
      </c>
      <c r="O691" s="16">
        <v>20</v>
      </c>
      <c r="P691" s="29">
        <v>40</v>
      </c>
      <c r="Q691" s="17">
        <v>46</v>
      </c>
      <c r="R691" s="20">
        <v>35</v>
      </c>
      <c r="S691" s="45">
        <f t="shared" si="616"/>
        <v>141</v>
      </c>
      <c r="T691" s="16">
        <v>10</v>
      </c>
      <c r="U691" s="29">
        <v>30</v>
      </c>
      <c r="V691" s="17">
        <v>20</v>
      </c>
      <c r="W691" s="20">
        <v>20</v>
      </c>
      <c r="X691" s="45">
        <f t="shared" si="617"/>
        <v>80</v>
      </c>
      <c r="Y691" s="100">
        <f t="shared" si="618"/>
        <v>221</v>
      </c>
      <c r="Z691" s="56" t="s">
        <v>1232</v>
      </c>
      <c r="AA691" s="227"/>
    </row>
    <row r="692" spans="1:28" ht="14.25" thickBot="1" x14ac:dyDescent="0.2">
      <c r="A692" s="12" t="s">
        <v>268</v>
      </c>
      <c r="B692" s="6">
        <v>2</v>
      </c>
      <c r="C692" s="18">
        <v>4</v>
      </c>
      <c r="D692" s="7">
        <v>2</v>
      </c>
      <c r="E692" s="8">
        <v>4</v>
      </c>
      <c r="F692" s="10">
        <f>SUM(B692:E692)</f>
        <v>12</v>
      </c>
      <c r="G692" s="6"/>
      <c r="H692" s="18">
        <v>2</v>
      </c>
      <c r="I692" s="7">
        <v>2</v>
      </c>
      <c r="J692" s="8">
        <v>2</v>
      </c>
      <c r="K692" s="10">
        <f>SUM(G692:J692)</f>
        <v>6</v>
      </c>
      <c r="L692" s="101">
        <f t="shared" si="615"/>
        <v>18</v>
      </c>
      <c r="M692" s="58">
        <v>46190</v>
      </c>
      <c r="N692" s="12" t="s">
        <v>1214</v>
      </c>
      <c r="O692" s="16">
        <v>3</v>
      </c>
      <c r="P692" s="29">
        <v>7</v>
      </c>
      <c r="Q692" s="17"/>
      <c r="R692" s="20">
        <v>-2</v>
      </c>
      <c r="S692" s="45">
        <f t="shared" si="616"/>
        <v>8</v>
      </c>
      <c r="T692" s="16">
        <v>1</v>
      </c>
      <c r="U692" s="29">
        <v>2</v>
      </c>
      <c r="V692" s="17">
        <v>2</v>
      </c>
      <c r="W692" s="20">
        <v>0</v>
      </c>
      <c r="X692" s="45">
        <f t="shared" si="617"/>
        <v>5</v>
      </c>
      <c r="Y692" s="100">
        <f t="shared" si="618"/>
        <v>13</v>
      </c>
      <c r="Z692" s="157" t="s">
        <v>1179</v>
      </c>
    </row>
    <row r="693" spans="1:28" ht="14.25" thickBot="1" x14ac:dyDescent="0.2">
      <c r="A693" s="14" t="s">
        <v>7</v>
      </c>
      <c r="B693" s="62">
        <f t="shared" ref="B693:K693" si="619">SUM(B688:B692)</f>
        <v>9</v>
      </c>
      <c r="C693" s="63">
        <f t="shared" si="619"/>
        <v>10</v>
      </c>
      <c r="D693" s="64">
        <f t="shared" si="619"/>
        <v>7</v>
      </c>
      <c r="E693" s="65">
        <f t="shared" si="619"/>
        <v>12</v>
      </c>
      <c r="F693" s="66">
        <f t="shared" si="619"/>
        <v>38</v>
      </c>
      <c r="G693" s="62">
        <f t="shared" si="619"/>
        <v>8</v>
      </c>
      <c r="H693" s="63">
        <f t="shared" si="619"/>
        <v>11</v>
      </c>
      <c r="I693" s="64">
        <f t="shared" si="619"/>
        <v>8</v>
      </c>
      <c r="J693" s="65">
        <f t="shared" si="619"/>
        <v>9</v>
      </c>
      <c r="K693" s="66">
        <f t="shared" si="619"/>
        <v>36</v>
      </c>
      <c r="L693" s="102">
        <f t="shared" si="615"/>
        <v>74</v>
      </c>
      <c r="N693" s="13" t="s">
        <v>7</v>
      </c>
      <c r="O693" s="25">
        <f t="shared" ref="O693:X693" si="620">SUM(O688:O692)</f>
        <v>94</v>
      </c>
      <c r="P693" s="31">
        <f t="shared" si="620"/>
        <v>216</v>
      </c>
      <c r="Q693" s="26">
        <f t="shared" si="620"/>
        <v>199</v>
      </c>
      <c r="R693" s="67">
        <f t="shared" si="620"/>
        <v>265</v>
      </c>
      <c r="S693" s="68">
        <f t="shared" si="620"/>
        <v>774</v>
      </c>
      <c r="T693" s="25">
        <f t="shared" si="620"/>
        <v>102</v>
      </c>
      <c r="U693" s="31">
        <f t="shared" si="620"/>
        <v>124</v>
      </c>
      <c r="V693" s="26">
        <f t="shared" si="620"/>
        <v>83</v>
      </c>
      <c r="W693" s="67">
        <f t="shared" si="620"/>
        <v>124</v>
      </c>
      <c r="X693" s="68">
        <f t="shared" si="620"/>
        <v>433</v>
      </c>
      <c r="Y693" s="102">
        <f t="shared" si="618"/>
        <v>1207</v>
      </c>
    </row>
    <row r="694" spans="1:28" x14ac:dyDescent="0.15">
      <c r="A694" s="47" t="s">
        <v>1230</v>
      </c>
      <c r="B694" s="41"/>
      <c r="C694" s="42">
        <v>1</v>
      </c>
      <c r="D694" s="43"/>
      <c r="E694" s="44"/>
      <c r="F694" s="70">
        <f t="shared" ref="F694:F719" si="621">SUM(B694:E694)</f>
        <v>1</v>
      </c>
      <c r="G694" s="41">
        <v>1</v>
      </c>
      <c r="H694" s="42"/>
      <c r="I694" s="43"/>
      <c r="J694" s="44"/>
      <c r="K694" s="70">
        <f t="shared" ref="K694:K719" si="622">SUM(G694:J694)</f>
        <v>1</v>
      </c>
      <c r="L694" s="103">
        <f t="shared" si="615"/>
        <v>2</v>
      </c>
      <c r="M694" s="58">
        <v>46176</v>
      </c>
      <c r="N694" s="11" t="s">
        <v>1188</v>
      </c>
      <c r="O694" s="16">
        <v>5</v>
      </c>
      <c r="P694" s="29">
        <v>5</v>
      </c>
      <c r="Q694" s="17">
        <v>10</v>
      </c>
      <c r="R694" s="32">
        <v>5</v>
      </c>
      <c r="S694" s="9">
        <f t="shared" ref="S694" si="623">SUM(O694:R694)</f>
        <v>25</v>
      </c>
      <c r="T694" s="16"/>
      <c r="U694" s="29"/>
      <c r="V694" s="17"/>
      <c r="W694" s="32"/>
      <c r="X694" s="9">
        <f t="shared" ref="X694" si="624">SUM(T694:W694)</f>
        <v>0</v>
      </c>
      <c r="Y694" s="104">
        <f t="shared" si="618"/>
        <v>25</v>
      </c>
      <c r="Z694" s="56">
        <v>46177</v>
      </c>
    </row>
    <row r="695" spans="1:28" x14ac:dyDescent="0.15">
      <c r="A695" s="47" t="s">
        <v>51</v>
      </c>
      <c r="B695" s="16"/>
      <c r="C695" s="29"/>
      <c r="D695" s="17"/>
      <c r="E695" s="20">
        <v>1</v>
      </c>
      <c r="F695" s="45">
        <f t="shared" si="621"/>
        <v>1</v>
      </c>
      <c r="G695" s="16"/>
      <c r="H695" s="29"/>
      <c r="I695" s="17"/>
      <c r="J695" s="20"/>
      <c r="K695" s="45">
        <f t="shared" si="622"/>
        <v>0</v>
      </c>
      <c r="L695" s="104">
        <f t="shared" si="615"/>
        <v>1</v>
      </c>
      <c r="M695" s="58">
        <v>46181</v>
      </c>
      <c r="N695" s="11" t="s">
        <v>1198</v>
      </c>
      <c r="O695" s="16"/>
      <c r="P695" s="29"/>
      <c r="Q695" s="17"/>
      <c r="R695" s="32"/>
      <c r="S695" s="9">
        <f t="shared" ref="S695:S699" si="625">SUM(O695:R695)</f>
        <v>0</v>
      </c>
      <c r="T695" s="16"/>
      <c r="U695" s="29"/>
      <c r="V695" s="17">
        <v>2</v>
      </c>
      <c r="W695" s="32"/>
      <c r="X695" s="9">
        <f t="shared" ref="X695:X699" si="626">SUM(T695:W695)</f>
        <v>2</v>
      </c>
      <c r="Y695" s="104">
        <f t="shared" si="618"/>
        <v>2</v>
      </c>
      <c r="Z695" s="56">
        <v>46177</v>
      </c>
      <c r="AA695" s="35"/>
      <c r="AB695" s="35"/>
    </row>
    <row r="696" spans="1:28" x14ac:dyDescent="0.15">
      <c r="A696" s="33" t="s">
        <v>1237</v>
      </c>
      <c r="B696" s="16"/>
      <c r="C696" s="29"/>
      <c r="D696" s="17"/>
      <c r="E696" s="20">
        <v>1</v>
      </c>
      <c r="F696" s="45">
        <f t="shared" si="621"/>
        <v>1</v>
      </c>
      <c r="G696" s="16"/>
      <c r="H696" s="29"/>
      <c r="I696" s="17"/>
      <c r="J696" s="20"/>
      <c r="K696" s="45">
        <f t="shared" si="622"/>
        <v>0</v>
      </c>
      <c r="L696" s="104">
        <f t="shared" si="615"/>
        <v>1</v>
      </c>
      <c r="M696" s="56">
        <v>46184</v>
      </c>
      <c r="N696" s="11" t="s">
        <v>1203</v>
      </c>
      <c r="O696" s="16">
        <v>10</v>
      </c>
      <c r="P696" s="29">
        <v>10</v>
      </c>
      <c r="Q696" s="17"/>
      <c r="R696" s="32">
        <v>5</v>
      </c>
      <c r="S696" s="9">
        <f>SUM(O696:R696)</f>
        <v>25</v>
      </c>
      <c r="T696" s="16"/>
      <c r="U696" s="29"/>
      <c r="V696" s="17"/>
      <c r="W696" s="32"/>
      <c r="X696" s="9">
        <f>SUM(T696:W696)</f>
        <v>0</v>
      </c>
      <c r="Y696" s="104">
        <f t="shared" si="618"/>
        <v>25</v>
      </c>
      <c r="Z696" s="56">
        <v>46184</v>
      </c>
    </row>
    <row r="697" spans="1:28" x14ac:dyDescent="0.15">
      <c r="A697" s="47" t="s">
        <v>51</v>
      </c>
      <c r="B697" s="16">
        <v>1</v>
      </c>
      <c r="C697" s="29"/>
      <c r="D697" s="17"/>
      <c r="E697" s="20"/>
      <c r="F697" s="45">
        <f t="shared" si="621"/>
        <v>1</v>
      </c>
      <c r="G697" s="16"/>
      <c r="H697" s="29"/>
      <c r="I697" s="17"/>
      <c r="J697" s="20"/>
      <c r="K697" s="45">
        <f t="shared" si="622"/>
        <v>0</v>
      </c>
      <c r="L697" s="104">
        <f t="shared" si="615"/>
        <v>1</v>
      </c>
      <c r="M697" s="58">
        <v>46182</v>
      </c>
      <c r="N697" s="11" t="s">
        <v>1219</v>
      </c>
      <c r="O697" s="16"/>
      <c r="P697" s="29"/>
      <c r="Q697" s="17">
        <v>10</v>
      </c>
      <c r="R697" s="32"/>
      <c r="S697" s="9">
        <f t="shared" si="625"/>
        <v>10</v>
      </c>
      <c r="T697" s="16"/>
      <c r="U697" s="29"/>
      <c r="V697" s="17"/>
      <c r="W697" s="32"/>
      <c r="X697" s="9">
        <f t="shared" si="626"/>
        <v>0</v>
      </c>
      <c r="Y697" s="104">
        <f t="shared" si="618"/>
        <v>10</v>
      </c>
      <c r="Z697" s="56">
        <v>46190</v>
      </c>
    </row>
    <row r="698" spans="1:28" x14ac:dyDescent="0.15">
      <c r="A698" s="47" t="s">
        <v>51</v>
      </c>
      <c r="B698" s="16"/>
      <c r="C698" s="29"/>
      <c r="D698" s="17"/>
      <c r="E698" s="20"/>
      <c r="F698" s="45">
        <f t="shared" si="621"/>
        <v>0</v>
      </c>
      <c r="G698" s="16"/>
      <c r="H698" s="29"/>
      <c r="I698" s="17"/>
      <c r="J698" s="20">
        <v>2</v>
      </c>
      <c r="K698" s="45">
        <f t="shared" si="622"/>
        <v>2</v>
      </c>
      <c r="L698" s="104">
        <f t="shared" si="615"/>
        <v>2</v>
      </c>
      <c r="M698" s="58">
        <v>46185</v>
      </c>
      <c r="N698" s="11" t="s">
        <v>1220</v>
      </c>
      <c r="O698" s="16">
        <v>6</v>
      </c>
      <c r="P698" s="29">
        <v>20</v>
      </c>
      <c r="Q698" s="17">
        <v>6</v>
      </c>
      <c r="R698" s="32">
        <v>2</v>
      </c>
      <c r="S698" s="9">
        <f t="shared" si="625"/>
        <v>34</v>
      </c>
      <c r="T698" s="16"/>
      <c r="U698" s="29"/>
      <c r="V698" s="17">
        <v>8</v>
      </c>
      <c r="W698" s="32">
        <v>5</v>
      </c>
      <c r="X698" s="9">
        <f t="shared" si="626"/>
        <v>13</v>
      </c>
      <c r="Y698" s="104">
        <f t="shared" si="618"/>
        <v>47</v>
      </c>
      <c r="Z698" s="56">
        <v>46181</v>
      </c>
    </row>
    <row r="699" spans="1:28" x14ac:dyDescent="0.15">
      <c r="A699" s="33" t="s">
        <v>1243</v>
      </c>
      <c r="B699" s="16"/>
      <c r="C699" s="29">
        <v>1</v>
      </c>
      <c r="D699" s="17">
        <v>1</v>
      </c>
      <c r="E699" s="20"/>
      <c r="F699" s="45">
        <f t="shared" si="621"/>
        <v>2</v>
      </c>
      <c r="G699" s="16"/>
      <c r="H699" s="29"/>
      <c r="I699" s="17"/>
      <c r="J699" s="20"/>
      <c r="K699" s="45">
        <f t="shared" si="622"/>
        <v>0</v>
      </c>
      <c r="L699" s="104">
        <f t="shared" si="615"/>
        <v>2</v>
      </c>
      <c r="M699" s="56">
        <v>46190</v>
      </c>
      <c r="N699" s="11" t="s">
        <v>1227</v>
      </c>
      <c r="O699" s="16"/>
      <c r="P699" s="29"/>
      <c r="Q699" s="17">
        <v>1</v>
      </c>
      <c r="R699" s="32"/>
      <c r="S699" s="9">
        <f t="shared" si="625"/>
        <v>1</v>
      </c>
      <c r="T699" s="16"/>
      <c r="U699" s="29"/>
      <c r="V699" s="17"/>
      <c r="W699" s="32"/>
      <c r="X699" s="9">
        <f t="shared" si="626"/>
        <v>0</v>
      </c>
      <c r="Y699" s="104">
        <f t="shared" si="618"/>
        <v>1</v>
      </c>
      <c r="Z699" s="56">
        <v>46178</v>
      </c>
    </row>
    <row r="700" spans="1:28" x14ac:dyDescent="0.15">
      <c r="A700" s="47" t="s">
        <v>51</v>
      </c>
      <c r="B700" s="16"/>
      <c r="C700" s="29"/>
      <c r="D700" s="17"/>
      <c r="E700" s="20">
        <v>1</v>
      </c>
      <c r="F700" s="45">
        <f t="shared" si="621"/>
        <v>1</v>
      </c>
      <c r="G700" s="16">
        <v>1</v>
      </c>
      <c r="H700" s="29"/>
      <c r="I700" s="17"/>
      <c r="J700" s="20">
        <v>1</v>
      </c>
      <c r="K700" s="45">
        <f t="shared" si="622"/>
        <v>2</v>
      </c>
      <c r="L700" s="104">
        <f t="shared" si="615"/>
        <v>3</v>
      </c>
      <c r="M700" s="56">
        <v>46188</v>
      </c>
      <c r="N700" s="11" t="s">
        <v>1235</v>
      </c>
      <c r="O700" s="16"/>
      <c r="P700" s="29"/>
      <c r="Q700" s="17">
        <v>2</v>
      </c>
      <c r="R700" s="32">
        <v>2</v>
      </c>
      <c r="S700" s="9">
        <f>SUM(O700:R700)</f>
        <v>4</v>
      </c>
      <c r="T700" s="16"/>
      <c r="U700" s="29"/>
      <c r="V700" s="17"/>
      <c r="W700" s="32">
        <v>2</v>
      </c>
      <c r="X700" s="9">
        <f>SUM(T700:W700)</f>
        <v>2</v>
      </c>
      <c r="Y700" s="104">
        <f t="shared" si="618"/>
        <v>6</v>
      </c>
      <c r="Z700" s="56">
        <v>46185</v>
      </c>
    </row>
    <row r="701" spans="1:28" x14ac:dyDescent="0.15">
      <c r="A701" s="33" t="s">
        <v>1245</v>
      </c>
      <c r="B701" s="16"/>
      <c r="C701" s="29"/>
      <c r="D701" s="17"/>
      <c r="E701" s="20">
        <v>1</v>
      </c>
      <c r="F701" s="45">
        <f t="shared" si="621"/>
        <v>1</v>
      </c>
      <c r="G701" s="16"/>
      <c r="H701" s="29">
        <v>1</v>
      </c>
      <c r="I701" s="17"/>
      <c r="J701" s="20"/>
      <c r="K701" s="45">
        <f t="shared" si="622"/>
        <v>1</v>
      </c>
      <c r="L701" s="104">
        <f t="shared" si="615"/>
        <v>2</v>
      </c>
      <c r="M701" s="56">
        <v>46191</v>
      </c>
      <c r="N701" s="33" t="s">
        <v>1240</v>
      </c>
      <c r="O701" s="16"/>
      <c r="P701" s="29"/>
      <c r="Q701" s="17"/>
      <c r="R701" s="32">
        <v>5</v>
      </c>
      <c r="S701" s="9">
        <f t="shared" ref="S701:S705" si="627">SUM(O701:R701)</f>
        <v>5</v>
      </c>
      <c r="T701" s="16"/>
      <c r="U701" s="29">
        <v>1</v>
      </c>
      <c r="V701" s="17"/>
      <c r="W701" s="32"/>
      <c r="X701" s="9">
        <f t="shared" ref="X701:X705" si="628">SUM(T701:W701)</f>
        <v>1</v>
      </c>
      <c r="Y701" s="104">
        <f t="shared" si="618"/>
        <v>6</v>
      </c>
      <c r="Z701" s="56">
        <v>46185</v>
      </c>
      <c r="AA701" s="35"/>
    </row>
    <row r="702" spans="1:28" x14ac:dyDescent="0.15">
      <c r="A702" s="33" t="s">
        <v>957</v>
      </c>
      <c r="B702" s="16"/>
      <c r="C702" s="29"/>
      <c r="D702" s="17">
        <v>1</v>
      </c>
      <c r="E702" s="20"/>
      <c r="F702" s="45">
        <f t="shared" si="621"/>
        <v>1</v>
      </c>
      <c r="G702" s="16"/>
      <c r="H702" s="29"/>
      <c r="I702" s="17"/>
      <c r="J702" s="20"/>
      <c r="K702" s="45">
        <f t="shared" si="622"/>
        <v>0</v>
      </c>
      <c r="L702" s="104">
        <f t="shared" si="615"/>
        <v>1</v>
      </c>
      <c r="M702" s="56">
        <v>46192</v>
      </c>
      <c r="N702" s="268" t="s">
        <v>861</v>
      </c>
      <c r="O702" s="255"/>
      <c r="P702" s="256"/>
      <c r="Q702" s="257"/>
      <c r="R702" s="269">
        <v>5</v>
      </c>
      <c r="S702" s="270">
        <f t="shared" si="627"/>
        <v>5</v>
      </c>
      <c r="T702" s="255"/>
      <c r="U702" s="256"/>
      <c r="V702" s="257"/>
      <c r="W702" s="269"/>
      <c r="X702" s="270">
        <f t="shared" si="628"/>
        <v>0</v>
      </c>
      <c r="Y702" s="260">
        <f t="shared" si="618"/>
        <v>5</v>
      </c>
      <c r="Z702" s="261">
        <v>46190</v>
      </c>
      <c r="AA702" s="35"/>
    </row>
    <row r="703" spans="1:28" x14ac:dyDescent="0.15">
      <c r="A703" s="33" t="s">
        <v>1250</v>
      </c>
      <c r="B703" s="16"/>
      <c r="C703" s="29"/>
      <c r="D703" s="17">
        <v>1</v>
      </c>
      <c r="E703" s="20">
        <v>-1</v>
      </c>
      <c r="F703" s="45">
        <f t="shared" si="621"/>
        <v>0</v>
      </c>
      <c r="G703" s="16"/>
      <c r="H703" s="29"/>
      <c r="I703" s="17"/>
      <c r="J703" s="20"/>
      <c r="K703" s="45">
        <f t="shared" si="622"/>
        <v>0</v>
      </c>
      <c r="L703" s="104">
        <f t="shared" si="615"/>
        <v>0</v>
      </c>
      <c r="M703" s="56">
        <v>46190</v>
      </c>
      <c r="N703" s="183" t="s">
        <v>861</v>
      </c>
      <c r="O703" s="91"/>
      <c r="P703" s="92"/>
      <c r="Q703" s="93">
        <v>5</v>
      </c>
      <c r="R703" s="96"/>
      <c r="S703" s="97">
        <f t="shared" si="627"/>
        <v>5</v>
      </c>
      <c r="T703" s="91"/>
      <c r="U703" s="92"/>
      <c r="V703" s="93"/>
      <c r="W703" s="96"/>
      <c r="X703" s="97">
        <f t="shared" si="628"/>
        <v>0</v>
      </c>
      <c r="Y703" s="107">
        <f t="shared" si="618"/>
        <v>5</v>
      </c>
      <c r="Z703" s="159">
        <v>46192</v>
      </c>
    </row>
    <row r="704" spans="1:28" x14ac:dyDescent="0.15">
      <c r="A704" s="183" t="s">
        <v>1251</v>
      </c>
      <c r="B704" s="91"/>
      <c r="C704" s="92">
        <v>3</v>
      </c>
      <c r="D704" s="93"/>
      <c r="E704" s="94"/>
      <c r="F704" s="95">
        <f t="shared" si="621"/>
        <v>3</v>
      </c>
      <c r="G704" s="91"/>
      <c r="H704" s="92"/>
      <c r="I704" s="93"/>
      <c r="J704" s="94"/>
      <c r="K704" s="95">
        <f t="shared" si="622"/>
        <v>0</v>
      </c>
      <c r="L704" s="107">
        <f t="shared" si="615"/>
        <v>3</v>
      </c>
      <c r="M704" s="159">
        <v>46192</v>
      </c>
      <c r="N704" s="33"/>
      <c r="O704" s="16"/>
      <c r="P704" s="29"/>
      <c r="Q704" s="17"/>
      <c r="R704" s="32"/>
      <c r="S704" s="9">
        <f t="shared" si="627"/>
        <v>0</v>
      </c>
      <c r="T704" s="16"/>
      <c r="U704" s="29"/>
      <c r="V704" s="17"/>
      <c r="W704" s="32"/>
      <c r="X704" s="9">
        <f t="shared" si="628"/>
        <v>0</v>
      </c>
      <c r="Y704" s="104">
        <f t="shared" si="618"/>
        <v>0</v>
      </c>
    </row>
    <row r="705" spans="1:26" x14ac:dyDescent="0.15">
      <c r="A705" s="47" t="s">
        <v>1253</v>
      </c>
      <c r="B705" s="16"/>
      <c r="C705" s="29"/>
      <c r="D705" s="17">
        <v>1</v>
      </c>
      <c r="E705" s="20"/>
      <c r="F705" s="45">
        <f t="shared" si="621"/>
        <v>1</v>
      </c>
      <c r="G705" s="16"/>
      <c r="H705" s="29"/>
      <c r="I705" s="17"/>
      <c r="J705" s="20"/>
      <c r="K705" s="45">
        <f t="shared" si="622"/>
        <v>0</v>
      </c>
      <c r="L705" s="104">
        <f t="shared" si="615"/>
        <v>1</v>
      </c>
      <c r="M705" s="58">
        <v>46191</v>
      </c>
      <c r="N705" s="72"/>
      <c r="O705" s="16"/>
      <c r="P705" s="29"/>
      <c r="Q705" s="17"/>
      <c r="R705" s="32"/>
      <c r="S705" s="9">
        <f t="shared" si="627"/>
        <v>0</v>
      </c>
      <c r="T705" s="16"/>
      <c r="U705" s="29"/>
      <c r="V705" s="17"/>
      <c r="W705" s="32"/>
      <c r="X705" s="9">
        <f t="shared" si="628"/>
        <v>0</v>
      </c>
      <c r="Y705" s="104">
        <f t="shared" si="618"/>
        <v>0</v>
      </c>
    </row>
    <row r="706" spans="1:26" x14ac:dyDescent="0.15">
      <c r="A706" s="319" t="s">
        <v>802</v>
      </c>
      <c r="B706" s="91"/>
      <c r="C706" s="92"/>
      <c r="D706" s="93">
        <v>-5</v>
      </c>
      <c r="E706" s="94"/>
      <c r="F706" s="95">
        <f t="shared" si="621"/>
        <v>-5</v>
      </c>
      <c r="G706" s="91"/>
      <c r="H706" s="92"/>
      <c r="I706" s="93"/>
      <c r="J706" s="94"/>
      <c r="K706" s="95">
        <f t="shared" si="622"/>
        <v>0</v>
      </c>
      <c r="L706" s="107">
        <f t="shared" si="615"/>
        <v>-5</v>
      </c>
      <c r="M706" s="159">
        <v>46192</v>
      </c>
      <c r="N706" s="33"/>
      <c r="O706" s="16"/>
      <c r="P706" s="29"/>
      <c r="Q706" s="17"/>
      <c r="R706" s="32"/>
      <c r="S706" s="9">
        <f>SUM(O706:R706)</f>
        <v>0</v>
      </c>
      <c r="T706" s="16"/>
      <c r="U706" s="29"/>
      <c r="V706" s="17"/>
      <c r="W706" s="32"/>
      <c r="X706" s="9">
        <f>SUM(T706:W706)</f>
        <v>0</v>
      </c>
      <c r="Y706" s="104">
        <f t="shared" si="618"/>
        <v>0</v>
      </c>
    </row>
    <row r="707" spans="1:26" x14ac:dyDescent="0.15">
      <c r="A707" s="47" t="s">
        <v>1254</v>
      </c>
      <c r="B707" s="16"/>
      <c r="C707" s="29">
        <v>-2</v>
      </c>
      <c r="D707" s="17"/>
      <c r="E707" s="20"/>
      <c r="F707" s="45">
        <f t="shared" si="621"/>
        <v>-2</v>
      </c>
      <c r="G707" s="16"/>
      <c r="H707" s="29"/>
      <c r="I707" s="17"/>
      <c r="J707" s="20"/>
      <c r="K707" s="45">
        <f t="shared" si="622"/>
        <v>0</v>
      </c>
      <c r="L707" s="104">
        <f t="shared" si="615"/>
        <v>-2</v>
      </c>
      <c r="M707" s="58">
        <v>46191</v>
      </c>
      <c r="N707" s="72"/>
      <c r="O707" s="16"/>
      <c r="P707" s="29"/>
      <c r="Q707" s="17"/>
      <c r="R707" s="32"/>
      <c r="S707" s="9">
        <f>SUM(O707:R707)</f>
        <v>0</v>
      </c>
      <c r="T707" s="16"/>
      <c r="U707" s="29"/>
      <c r="V707" s="17"/>
      <c r="W707" s="32"/>
      <c r="X707" s="9">
        <f>SUM(T707:W707)</f>
        <v>0</v>
      </c>
      <c r="Y707" s="104">
        <f t="shared" si="618"/>
        <v>0</v>
      </c>
    </row>
    <row r="708" spans="1:26" x14ac:dyDescent="0.15">
      <c r="A708" s="33"/>
      <c r="B708" s="16"/>
      <c r="C708" s="29"/>
      <c r="D708" s="17"/>
      <c r="E708" s="20"/>
      <c r="F708" s="45">
        <f t="shared" si="621"/>
        <v>0</v>
      </c>
      <c r="G708" s="16"/>
      <c r="H708" s="29"/>
      <c r="I708" s="17"/>
      <c r="J708" s="20"/>
      <c r="K708" s="45">
        <f t="shared" si="622"/>
        <v>0</v>
      </c>
      <c r="L708" s="104">
        <f t="shared" si="615"/>
        <v>0</v>
      </c>
      <c r="N708" s="72"/>
      <c r="O708" s="16"/>
      <c r="P708" s="29"/>
      <c r="Q708" s="17"/>
      <c r="R708" s="32"/>
      <c r="S708" s="9">
        <f t="shared" ref="S708:S719" si="629">SUM(O708:R708)</f>
        <v>0</v>
      </c>
      <c r="T708" s="16"/>
      <c r="U708" s="29"/>
      <c r="V708" s="17"/>
      <c r="W708" s="32"/>
      <c r="X708" s="9">
        <f t="shared" ref="X708:X719" si="630">SUM(T708:W708)</f>
        <v>0</v>
      </c>
      <c r="Y708" s="104">
        <f t="shared" si="618"/>
        <v>0</v>
      </c>
    </row>
    <row r="709" spans="1:26" x14ac:dyDescent="0.15">
      <c r="A709" s="47"/>
      <c r="B709" s="16"/>
      <c r="C709" s="29"/>
      <c r="D709" s="17"/>
      <c r="E709" s="20"/>
      <c r="F709" s="45">
        <f t="shared" si="621"/>
        <v>0</v>
      </c>
      <c r="G709" s="16"/>
      <c r="H709" s="29"/>
      <c r="I709" s="17"/>
      <c r="J709" s="20"/>
      <c r="K709" s="45">
        <f t="shared" si="622"/>
        <v>0</v>
      </c>
      <c r="L709" s="104">
        <f t="shared" si="615"/>
        <v>0</v>
      </c>
      <c r="N709" s="72"/>
      <c r="O709" s="16"/>
      <c r="P709" s="29"/>
      <c r="Q709" s="17"/>
      <c r="R709" s="32"/>
      <c r="S709" s="9">
        <f t="shared" si="629"/>
        <v>0</v>
      </c>
      <c r="T709" s="16"/>
      <c r="U709" s="29"/>
      <c r="V709" s="17"/>
      <c r="W709" s="32"/>
      <c r="X709" s="9">
        <f t="shared" si="630"/>
        <v>0</v>
      </c>
      <c r="Y709" s="104">
        <f t="shared" si="618"/>
        <v>0</v>
      </c>
    </row>
    <row r="710" spans="1:26" x14ac:dyDescent="0.15">
      <c r="A710" s="47"/>
      <c r="B710" s="16"/>
      <c r="C710" s="29"/>
      <c r="D710" s="17"/>
      <c r="E710" s="20"/>
      <c r="F710" s="45">
        <f t="shared" si="621"/>
        <v>0</v>
      </c>
      <c r="G710" s="16"/>
      <c r="H710" s="29"/>
      <c r="I710" s="17"/>
      <c r="J710" s="20"/>
      <c r="K710" s="45">
        <f t="shared" si="622"/>
        <v>0</v>
      </c>
      <c r="L710" s="104">
        <f t="shared" si="615"/>
        <v>0</v>
      </c>
      <c r="N710" s="72"/>
      <c r="O710" s="16"/>
      <c r="P710" s="29"/>
      <c r="Q710" s="17"/>
      <c r="R710" s="32"/>
      <c r="S710" s="9">
        <f t="shared" ref="S710:S711" si="631">SUM(O710:R710)</f>
        <v>0</v>
      </c>
      <c r="T710" s="16"/>
      <c r="U710" s="29"/>
      <c r="V710" s="17"/>
      <c r="W710" s="32"/>
      <c r="X710" s="9">
        <f t="shared" ref="X710:X711" si="632">SUM(T710:W710)</f>
        <v>0</v>
      </c>
      <c r="Y710" s="104">
        <f t="shared" ref="Y710:Y711" si="633">S710+X710</f>
        <v>0</v>
      </c>
    </row>
    <row r="711" spans="1:26" x14ac:dyDescent="0.15">
      <c r="A711" s="47"/>
      <c r="B711" s="16"/>
      <c r="C711" s="29"/>
      <c r="D711" s="17"/>
      <c r="E711" s="20"/>
      <c r="F711" s="45">
        <f t="shared" si="621"/>
        <v>0</v>
      </c>
      <c r="G711" s="16"/>
      <c r="H711" s="29"/>
      <c r="I711" s="17"/>
      <c r="J711" s="20"/>
      <c r="K711" s="45">
        <f t="shared" si="622"/>
        <v>0</v>
      </c>
      <c r="L711" s="104">
        <f t="shared" si="615"/>
        <v>0</v>
      </c>
      <c r="N711" s="72"/>
      <c r="O711" s="16"/>
      <c r="P711" s="29"/>
      <c r="Q711" s="17"/>
      <c r="R711" s="32"/>
      <c r="S711" s="9">
        <f t="shared" si="631"/>
        <v>0</v>
      </c>
      <c r="T711" s="16"/>
      <c r="U711" s="29"/>
      <c r="V711" s="17"/>
      <c r="W711" s="32"/>
      <c r="X711" s="9">
        <f t="shared" si="632"/>
        <v>0</v>
      </c>
      <c r="Y711" s="104">
        <f t="shared" si="633"/>
        <v>0</v>
      </c>
    </row>
    <row r="712" spans="1:26" x14ac:dyDescent="0.15">
      <c r="A712" s="47"/>
      <c r="B712" s="16"/>
      <c r="C712" s="29"/>
      <c r="D712" s="17"/>
      <c r="E712" s="20"/>
      <c r="F712" s="45">
        <f t="shared" si="621"/>
        <v>0</v>
      </c>
      <c r="G712" s="16"/>
      <c r="H712" s="29"/>
      <c r="I712" s="17"/>
      <c r="J712" s="20"/>
      <c r="K712" s="45">
        <f t="shared" si="622"/>
        <v>0</v>
      </c>
      <c r="L712" s="104">
        <f t="shared" si="615"/>
        <v>0</v>
      </c>
      <c r="N712" s="11" t="s">
        <v>1200</v>
      </c>
      <c r="O712" s="16"/>
      <c r="P712" s="29"/>
      <c r="Q712" s="17"/>
      <c r="R712" s="32"/>
      <c r="S712" s="9">
        <f t="shared" ref="S712:S714" si="634">SUM(O712:R712)</f>
        <v>0</v>
      </c>
      <c r="T712" s="16"/>
      <c r="U712" s="29"/>
      <c r="V712" s="17"/>
      <c r="W712" s="32"/>
      <c r="X712" s="9">
        <f t="shared" ref="X712:X714" si="635">SUM(T712:W712)</f>
        <v>0</v>
      </c>
      <c r="Y712" s="104">
        <f t="shared" ref="Y712:Y714" si="636">S712+X712</f>
        <v>0</v>
      </c>
      <c r="Z712" s="157" t="s">
        <v>1201</v>
      </c>
    </row>
    <row r="713" spans="1:26" x14ac:dyDescent="0.15">
      <c r="A713" s="47"/>
      <c r="B713" s="16"/>
      <c r="C713" s="29"/>
      <c r="D713" s="17"/>
      <c r="E713" s="20"/>
      <c r="F713" s="45">
        <f t="shared" si="621"/>
        <v>0</v>
      </c>
      <c r="G713" s="16"/>
      <c r="H713" s="29"/>
      <c r="I713" s="17"/>
      <c r="J713" s="20"/>
      <c r="K713" s="45">
        <f t="shared" si="622"/>
        <v>0</v>
      </c>
      <c r="L713" s="104">
        <f t="shared" si="615"/>
        <v>0</v>
      </c>
      <c r="N713" s="72" t="s">
        <v>989</v>
      </c>
      <c r="O713" s="16"/>
      <c r="P713" s="29"/>
      <c r="Q713" s="17"/>
      <c r="R713" s="32"/>
      <c r="S713" s="9">
        <f t="shared" si="634"/>
        <v>0</v>
      </c>
      <c r="T713" s="206"/>
      <c r="U713" s="207"/>
      <c r="V713" s="208"/>
      <c r="W713" s="209"/>
      <c r="X713" s="9">
        <f t="shared" si="635"/>
        <v>0</v>
      </c>
      <c r="Y713" s="104">
        <f t="shared" si="636"/>
        <v>0</v>
      </c>
      <c r="Z713" s="157"/>
    </row>
    <row r="714" spans="1:26" x14ac:dyDescent="0.15">
      <c r="A714" s="47"/>
      <c r="B714" s="16"/>
      <c r="C714" s="29"/>
      <c r="D714" s="17"/>
      <c r="E714" s="20"/>
      <c r="F714" s="45">
        <f t="shared" si="621"/>
        <v>0</v>
      </c>
      <c r="G714" s="16"/>
      <c r="H714" s="29"/>
      <c r="I714" s="17"/>
      <c r="J714" s="20"/>
      <c r="K714" s="45">
        <f t="shared" si="622"/>
        <v>0</v>
      </c>
      <c r="L714" s="104">
        <f t="shared" si="615"/>
        <v>0</v>
      </c>
      <c r="N714" s="11" t="s">
        <v>990</v>
      </c>
      <c r="O714" s="16"/>
      <c r="P714" s="29"/>
      <c r="Q714" s="17"/>
      <c r="R714" s="32"/>
      <c r="S714" s="9">
        <f t="shared" si="634"/>
        <v>0</v>
      </c>
      <c r="T714" s="206"/>
      <c r="U714" s="207"/>
      <c r="V714" s="208"/>
      <c r="W714" s="209"/>
      <c r="X714" s="9">
        <f t="shared" si="635"/>
        <v>0</v>
      </c>
      <c r="Y714" s="104">
        <f t="shared" si="636"/>
        <v>0</v>
      </c>
      <c r="Z714" s="157" t="s">
        <v>1061</v>
      </c>
    </row>
    <row r="715" spans="1:26" x14ac:dyDescent="0.15">
      <c r="A715" s="47"/>
      <c r="B715" s="16"/>
      <c r="C715" s="29"/>
      <c r="D715" s="17"/>
      <c r="E715" s="20"/>
      <c r="F715" s="45">
        <f t="shared" si="621"/>
        <v>0</v>
      </c>
      <c r="G715" s="16"/>
      <c r="H715" s="29"/>
      <c r="I715" s="17"/>
      <c r="J715" s="20"/>
      <c r="K715" s="45">
        <f t="shared" si="622"/>
        <v>0</v>
      </c>
      <c r="L715" s="104">
        <f t="shared" si="615"/>
        <v>0</v>
      </c>
      <c r="N715" s="138" t="s">
        <v>839</v>
      </c>
      <c r="O715" s="145">
        <v>0</v>
      </c>
      <c r="P715" s="146">
        <v>0</v>
      </c>
      <c r="Q715" s="147">
        <v>-20</v>
      </c>
      <c r="R715" s="148">
        <v>-10</v>
      </c>
      <c r="S715" s="215">
        <f t="shared" si="629"/>
        <v>-30</v>
      </c>
      <c r="T715" s="145">
        <v>0</v>
      </c>
      <c r="U715" s="146">
        <v>-10</v>
      </c>
      <c r="V715" s="147">
        <v>-5</v>
      </c>
      <c r="W715" s="148">
        <v>-5</v>
      </c>
      <c r="X715" s="215">
        <f t="shared" si="630"/>
        <v>-20</v>
      </c>
      <c r="Y715" s="144">
        <f t="shared" si="618"/>
        <v>-50</v>
      </c>
      <c r="Z715" s="227"/>
    </row>
    <row r="716" spans="1:26" x14ac:dyDescent="0.15">
      <c r="A716" s="47"/>
      <c r="B716" s="16"/>
      <c r="C716" s="29"/>
      <c r="D716" s="17"/>
      <c r="E716" s="20"/>
      <c r="F716" s="45">
        <f t="shared" si="621"/>
        <v>0</v>
      </c>
      <c r="G716" s="16"/>
      <c r="H716" s="29"/>
      <c r="I716" s="17"/>
      <c r="J716" s="20"/>
      <c r="K716" s="45">
        <f t="shared" si="622"/>
        <v>0</v>
      </c>
      <c r="L716" s="104">
        <f t="shared" si="615"/>
        <v>0</v>
      </c>
      <c r="N716" s="114" t="s">
        <v>836</v>
      </c>
      <c r="O716" s="91">
        <f>9-9</f>
        <v>0</v>
      </c>
      <c r="P716" s="92">
        <f>24-15-9</f>
        <v>0</v>
      </c>
      <c r="Q716" s="93">
        <f>33-6</f>
        <v>27</v>
      </c>
      <c r="R716" s="96">
        <f>42-20-2</f>
        <v>20</v>
      </c>
      <c r="S716" s="97">
        <f t="shared" si="629"/>
        <v>47</v>
      </c>
      <c r="T716" s="91">
        <f>7-2</f>
        <v>5</v>
      </c>
      <c r="U716" s="92">
        <f>24-2</f>
        <v>22</v>
      </c>
      <c r="V716" s="93">
        <f>19-2-8</f>
        <v>9</v>
      </c>
      <c r="W716" s="96">
        <f>18-5</f>
        <v>13</v>
      </c>
      <c r="X716" s="97">
        <f t="shared" si="630"/>
        <v>49</v>
      </c>
      <c r="Y716" s="107">
        <f t="shared" si="618"/>
        <v>96</v>
      </c>
      <c r="Z716" s="159" t="s">
        <v>958</v>
      </c>
    </row>
    <row r="717" spans="1:26" x14ac:dyDescent="0.15">
      <c r="A717" s="47"/>
      <c r="B717" s="16"/>
      <c r="C717" s="29"/>
      <c r="D717" s="17"/>
      <c r="E717" s="20"/>
      <c r="F717" s="45">
        <f t="shared" si="621"/>
        <v>0</v>
      </c>
      <c r="G717" s="16"/>
      <c r="H717" s="29"/>
      <c r="I717" s="17"/>
      <c r="J717" s="20"/>
      <c r="K717" s="45">
        <f t="shared" si="622"/>
        <v>0</v>
      </c>
      <c r="L717" s="104">
        <f t="shared" si="615"/>
        <v>0</v>
      </c>
      <c r="N717" s="138" t="s">
        <v>646</v>
      </c>
      <c r="O717" s="139">
        <v>-20</v>
      </c>
      <c r="P717" s="140">
        <v>-20</v>
      </c>
      <c r="Q717" s="141">
        <v>-30</v>
      </c>
      <c r="R717" s="142">
        <v>-20</v>
      </c>
      <c r="S717" s="215">
        <f t="shared" si="629"/>
        <v>-90</v>
      </c>
      <c r="T717" s="293"/>
      <c r="U717" s="294"/>
      <c r="V717" s="295"/>
      <c r="W717" s="298"/>
      <c r="X717" s="215">
        <f t="shared" si="630"/>
        <v>0</v>
      </c>
      <c r="Y717" s="144">
        <f t="shared" si="618"/>
        <v>-90</v>
      </c>
      <c r="Z717" s="225"/>
    </row>
    <row r="718" spans="1:26" ht="14.25" thickBot="1" x14ac:dyDescent="0.2">
      <c r="A718" s="47"/>
      <c r="B718" s="37"/>
      <c r="C718" s="38"/>
      <c r="D718" s="39"/>
      <c r="E718" s="40"/>
      <c r="F718" s="45">
        <f t="shared" si="621"/>
        <v>0</v>
      </c>
      <c r="G718" s="37"/>
      <c r="H718" s="38"/>
      <c r="I718" s="39"/>
      <c r="J718" s="40"/>
      <c r="K718" s="45">
        <f t="shared" si="622"/>
        <v>0</v>
      </c>
      <c r="L718" s="104">
        <f t="shared" si="615"/>
        <v>0</v>
      </c>
      <c r="N718" s="177" t="s">
        <v>660</v>
      </c>
      <c r="O718" s="85">
        <f>86-30-10-5-10</f>
        <v>31</v>
      </c>
      <c r="P718" s="86">
        <f>143-10-60-10-5-10</f>
        <v>48</v>
      </c>
      <c r="Q718" s="87">
        <f>126-10-50-10-10</f>
        <v>46</v>
      </c>
      <c r="R718" s="88">
        <f>135-10-60-10-5-5</f>
        <v>45</v>
      </c>
      <c r="S718" s="89">
        <f t="shared" si="629"/>
        <v>170</v>
      </c>
      <c r="T718" s="109"/>
      <c r="U718" s="111"/>
      <c r="V718" s="110"/>
      <c r="W718" s="130"/>
      <c r="X718" s="89">
        <f t="shared" si="630"/>
        <v>0</v>
      </c>
      <c r="Y718" s="127">
        <f t="shared" si="618"/>
        <v>170</v>
      </c>
      <c r="Z718" s="50" t="s">
        <v>661</v>
      </c>
    </row>
    <row r="719" spans="1:26" ht="14.25" thickBot="1" x14ac:dyDescent="0.2">
      <c r="A719" s="13" t="s">
        <v>8</v>
      </c>
      <c r="B719" s="22">
        <f>SUM(B694:B718)</f>
        <v>1</v>
      </c>
      <c r="C719" s="30">
        <f>SUM(C694:C718)</f>
        <v>3</v>
      </c>
      <c r="D719" s="23">
        <f>SUM(D694:D718)</f>
        <v>-1</v>
      </c>
      <c r="E719" s="24">
        <f>SUM(E694:E718)</f>
        <v>3</v>
      </c>
      <c r="F719" s="21">
        <f t="shared" si="621"/>
        <v>6</v>
      </c>
      <c r="G719" s="22">
        <f>SUM(G694:G718)</f>
        <v>2</v>
      </c>
      <c r="H719" s="30">
        <f>SUM(H694:H718)</f>
        <v>1</v>
      </c>
      <c r="I719" s="23">
        <f>SUM(I694:I718)</f>
        <v>0</v>
      </c>
      <c r="J719" s="24">
        <f>SUM(J694:J718)</f>
        <v>3</v>
      </c>
      <c r="K719" s="21">
        <f t="shared" si="622"/>
        <v>6</v>
      </c>
      <c r="L719" s="105">
        <f t="shared" si="615"/>
        <v>12</v>
      </c>
      <c r="N719" s="49" t="s">
        <v>8</v>
      </c>
      <c r="O719" s="22">
        <f>SUM(O694:O718)</f>
        <v>32</v>
      </c>
      <c r="P719" s="30">
        <f>SUM(P694:P718)</f>
        <v>63</v>
      </c>
      <c r="Q719" s="23">
        <f>SUM(Q694:Q718)</f>
        <v>57</v>
      </c>
      <c r="R719" s="24">
        <f>SUM(R694:R718)</f>
        <v>59</v>
      </c>
      <c r="S719" s="48">
        <f t="shared" si="629"/>
        <v>211</v>
      </c>
      <c r="T719" s="22">
        <f>SUM(T694:T718)</f>
        <v>5</v>
      </c>
      <c r="U719" s="30">
        <f>SUM(U694:U718)</f>
        <v>13</v>
      </c>
      <c r="V719" s="23">
        <f>SUM(V694:V718)</f>
        <v>14</v>
      </c>
      <c r="W719" s="24">
        <f>SUM(W694:W718)</f>
        <v>15</v>
      </c>
      <c r="X719" s="48">
        <f t="shared" si="630"/>
        <v>47</v>
      </c>
      <c r="Y719" s="122">
        <f t="shared" si="618"/>
        <v>258</v>
      </c>
    </row>
    <row r="720" spans="1:26" ht="14.25" thickBot="1" x14ac:dyDescent="0.2">
      <c r="A720" s="14" t="s">
        <v>9</v>
      </c>
      <c r="B720" s="25">
        <f t="shared" ref="B720:K720" si="637">B693-B719</f>
        <v>8</v>
      </c>
      <c r="C720" s="31">
        <f t="shared" si="637"/>
        <v>7</v>
      </c>
      <c r="D720" s="26">
        <f t="shared" si="637"/>
        <v>8</v>
      </c>
      <c r="E720" s="27">
        <f t="shared" si="637"/>
        <v>9</v>
      </c>
      <c r="F720" s="83">
        <f t="shared" si="637"/>
        <v>32</v>
      </c>
      <c r="G720" s="25">
        <f t="shared" si="637"/>
        <v>6</v>
      </c>
      <c r="H720" s="31">
        <f t="shared" si="637"/>
        <v>10</v>
      </c>
      <c r="I720" s="26">
        <f t="shared" si="637"/>
        <v>8</v>
      </c>
      <c r="J720" s="27">
        <f t="shared" si="637"/>
        <v>6</v>
      </c>
      <c r="K720" s="83">
        <f t="shared" si="637"/>
        <v>30</v>
      </c>
      <c r="L720" s="102">
        <f t="shared" si="615"/>
        <v>62</v>
      </c>
      <c r="N720" s="13" t="s">
        <v>9</v>
      </c>
      <c r="O720" s="25">
        <f t="shared" ref="O720:X720" si="638">O693-O719</f>
        <v>62</v>
      </c>
      <c r="P720" s="31">
        <f t="shared" si="638"/>
        <v>153</v>
      </c>
      <c r="Q720" s="26">
        <f t="shared" si="638"/>
        <v>142</v>
      </c>
      <c r="R720" s="27">
        <f t="shared" si="638"/>
        <v>206</v>
      </c>
      <c r="S720" s="36">
        <f t="shared" si="638"/>
        <v>563</v>
      </c>
      <c r="T720" s="25">
        <f t="shared" si="638"/>
        <v>97</v>
      </c>
      <c r="U720" s="31">
        <f t="shared" si="638"/>
        <v>111</v>
      </c>
      <c r="V720" s="26">
        <f t="shared" si="638"/>
        <v>69</v>
      </c>
      <c r="W720" s="27">
        <f t="shared" si="638"/>
        <v>109</v>
      </c>
      <c r="X720" s="36">
        <f t="shared" si="638"/>
        <v>386</v>
      </c>
      <c r="Y720" s="102">
        <f t="shared" si="618"/>
        <v>949</v>
      </c>
    </row>
    <row r="721" spans="1:26" x14ac:dyDescent="0.15">
      <c r="N721" s="189"/>
      <c r="O721" s="71"/>
      <c r="P721" s="71"/>
      <c r="Q721" s="71"/>
      <c r="R721" s="71"/>
      <c r="S721" s="71"/>
      <c r="T721" s="71"/>
      <c r="U721" s="71"/>
      <c r="V721" s="71"/>
      <c r="W721" s="71"/>
      <c r="X721" s="71"/>
    </row>
    <row r="722" spans="1:26" x14ac:dyDescent="0.15">
      <c r="N722" s="241"/>
      <c r="O722" s="116"/>
      <c r="P722" s="116"/>
      <c r="Q722" s="116"/>
      <c r="R722" s="149"/>
      <c r="S722" s="149"/>
      <c r="T722" s="116"/>
      <c r="U722" s="116"/>
      <c r="V722" s="149"/>
      <c r="W722" s="116"/>
      <c r="X722" s="149"/>
    </row>
    <row r="723" spans="1:26" ht="19.5" thickBot="1" x14ac:dyDescent="0.25">
      <c r="A723" s="2" t="s">
        <v>18</v>
      </c>
      <c r="B723" s="2"/>
      <c r="C723" s="1"/>
      <c r="D723" s="1"/>
      <c r="E723" s="1"/>
      <c r="F723" s="84"/>
      <c r="G723" s="2"/>
      <c r="H723" s="1" t="s">
        <v>157</v>
      </c>
      <c r="I723" s="1"/>
      <c r="J723" s="1"/>
      <c r="K723" s="84" t="s">
        <v>13</v>
      </c>
      <c r="L723" s="84"/>
      <c r="N723" s="2" t="s">
        <v>19</v>
      </c>
      <c r="O723" s="71"/>
      <c r="P723" s="71"/>
      <c r="Q723" s="71"/>
      <c r="R723" s="71"/>
      <c r="S723" s="84"/>
      <c r="T723" s="1" t="s">
        <v>157</v>
      </c>
      <c r="U723" s="71"/>
      <c r="V723" s="71"/>
      <c r="W723" s="71"/>
      <c r="X723" s="84" t="s">
        <v>13</v>
      </c>
    </row>
    <row r="724" spans="1:26" ht="14.25" thickBot="1" x14ac:dyDescent="0.2">
      <c r="A724" s="5" t="s">
        <v>0</v>
      </c>
      <c r="B724" s="322" t="s">
        <v>32</v>
      </c>
      <c r="C724" s="323"/>
      <c r="D724" s="323"/>
      <c r="E724" s="323"/>
      <c r="F724" s="324"/>
      <c r="G724" s="325" t="s">
        <v>31</v>
      </c>
      <c r="H724" s="326"/>
      <c r="I724" s="326"/>
      <c r="J724" s="326"/>
      <c r="K724" s="327"/>
      <c r="L724" s="320" t="s">
        <v>30</v>
      </c>
      <c r="N724" s="5" t="s">
        <v>0</v>
      </c>
      <c r="O724" s="322" t="s">
        <v>200</v>
      </c>
      <c r="P724" s="323"/>
      <c r="Q724" s="323"/>
      <c r="R724" s="323"/>
      <c r="S724" s="324"/>
      <c r="T724" s="325" t="s">
        <v>201</v>
      </c>
      <c r="U724" s="326"/>
      <c r="V724" s="326"/>
      <c r="W724" s="326"/>
      <c r="X724" s="327"/>
      <c r="Y724" s="320" t="s">
        <v>30</v>
      </c>
    </row>
    <row r="725" spans="1:26" ht="14.25" thickBot="1" x14ac:dyDescent="0.2">
      <c r="A725" s="5" t="s">
        <v>1</v>
      </c>
      <c r="B725" s="3" t="s">
        <v>22</v>
      </c>
      <c r="C725" s="28" t="s">
        <v>23</v>
      </c>
      <c r="D725" s="4" t="s">
        <v>24</v>
      </c>
      <c r="E725" s="15" t="s">
        <v>25</v>
      </c>
      <c r="F725" s="19" t="s">
        <v>2</v>
      </c>
      <c r="G725" s="3" t="s">
        <v>22</v>
      </c>
      <c r="H725" s="28" t="s">
        <v>23</v>
      </c>
      <c r="I725" s="4" t="s">
        <v>24</v>
      </c>
      <c r="J725" s="15" t="s">
        <v>25</v>
      </c>
      <c r="K725" s="19" t="s">
        <v>2</v>
      </c>
      <c r="L725" s="321"/>
      <c r="N725" s="5" t="s">
        <v>1</v>
      </c>
      <c r="O725" s="3" t="s">
        <v>22</v>
      </c>
      <c r="P725" s="28" t="s">
        <v>23</v>
      </c>
      <c r="Q725" s="4" t="s">
        <v>24</v>
      </c>
      <c r="R725" s="15" t="s">
        <v>25</v>
      </c>
      <c r="S725" s="19" t="s">
        <v>2</v>
      </c>
      <c r="T725" s="3" t="s">
        <v>22</v>
      </c>
      <c r="U725" s="28" t="s">
        <v>23</v>
      </c>
      <c r="V725" s="4" t="s">
        <v>24</v>
      </c>
      <c r="W725" s="15" t="s">
        <v>25</v>
      </c>
      <c r="X725" s="19" t="s">
        <v>2</v>
      </c>
      <c r="Y725" s="321"/>
    </row>
    <row r="726" spans="1:26" x14ac:dyDescent="0.15">
      <c r="A726" s="78" t="s">
        <v>10</v>
      </c>
      <c r="B726" s="79">
        <f>B720</f>
        <v>8</v>
      </c>
      <c r="C726" s="80">
        <f>C720</f>
        <v>7</v>
      </c>
      <c r="D726" s="80">
        <f>D720</f>
        <v>8</v>
      </c>
      <c r="E726" s="81">
        <f>E720</f>
        <v>9</v>
      </c>
      <c r="F726" s="82">
        <f>SUM(B726:E726)</f>
        <v>32</v>
      </c>
      <c r="G726" s="79">
        <f>G720</f>
        <v>6</v>
      </c>
      <c r="H726" s="80">
        <f>H720</f>
        <v>10</v>
      </c>
      <c r="I726" s="80">
        <f>I720</f>
        <v>8</v>
      </c>
      <c r="J726" s="81">
        <f>J720</f>
        <v>6</v>
      </c>
      <c r="K726" s="82">
        <f>SUM(G726:J726)</f>
        <v>30</v>
      </c>
      <c r="L726" s="98">
        <f t="shared" ref="L726:L758" si="639">F726+K726</f>
        <v>62</v>
      </c>
      <c r="N726" s="78" t="s">
        <v>10</v>
      </c>
      <c r="O726" s="79">
        <f>O720</f>
        <v>62</v>
      </c>
      <c r="P726" s="80">
        <f>P720</f>
        <v>153</v>
      </c>
      <c r="Q726" s="80">
        <f>Q720</f>
        <v>142</v>
      </c>
      <c r="R726" s="81">
        <f>R720</f>
        <v>206</v>
      </c>
      <c r="S726" s="82">
        <f>SUM(O726:R726)</f>
        <v>563</v>
      </c>
      <c r="T726" s="79">
        <f>T720</f>
        <v>97</v>
      </c>
      <c r="U726" s="80">
        <f>U720</f>
        <v>111</v>
      </c>
      <c r="V726" s="80">
        <f>V720</f>
        <v>69</v>
      </c>
      <c r="W726" s="81">
        <f>W720</f>
        <v>109</v>
      </c>
      <c r="X726" s="82">
        <f>SUM(T726:W726)</f>
        <v>386</v>
      </c>
      <c r="Y726" s="98">
        <f>S726+X726</f>
        <v>949</v>
      </c>
    </row>
    <row r="727" spans="1:26" x14ac:dyDescent="0.15">
      <c r="A727" s="47" t="s">
        <v>3</v>
      </c>
      <c r="B727" s="51"/>
      <c r="C727" s="52"/>
      <c r="D727" s="53"/>
      <c r="E727" s="54"/>
      <c r="F727" s="61">
        <f>SUM(B727:E727)</f>
        <v>0</v>
      </c>
      <c r="G727" s="51"/>
      <c r="H727" s="52"/>
      <c r="I727" s="53"/>
      <c r="J727" s="54"/>
      <c r="K727" s="61">
        <f>SUM(G727:J727)</f>
        <v>0</v>
      </c>
      <c r="L727" s="99">
        <f t="shared" si="639"/>
        <v>0</v>
      </c>
      <c r="N727" s="90" t="s">
        <v>268</v>
      </c>
      <c r="O727" s="91">
        <v>2</v>
      </c>
      <c r="P727" s="92">
        <v>4</v>
      </c>
      <c r="Q727" s="93">
        <v>2</v>
      </c>
      <c r="R727" s="94">
        <v>4</v>
      </c>
      <c r="S727" s="95">
        <f t="shared" ref="S727" si="640">SUM(O727:R727)</f>
        <v>12</v>
      </c>
      <c r="T727" s="91">
        <v>2</v>
      </c>
      <c r="U727" s="92">
        <v>2</v>
      </c>
      <c r="V727" s="93"/>
      <c r="W727" s="94">
        <v>2</v>
      </c>
      <c r="X727" s="95">
        <f t="shared" ref="X727" si="641">SUM(T727:W727)</f>
        <v>6</v>
      </c>
      <c r="Y727" s="106">
        <f t="shared" ref="Y727" si="642">S727+X727</f>
        <v>18</v>
      </c>
      <c r="Z727" s="159">
        <v>46190</v>
      </c>
    </row>
    <row r="728" spans="1:26" x14ac:dyDescent="0.15">
      <c r="A728" s="12" t="s">
        <v>4</v>
      </c>
      <c r="B728" s="6"/>
      <c r="C728" s="18"/>
      <c r="D728" s="7"/>
      <c r="E728" s="8"/>
      <c r="F728" s="9">
        <f>SUM(B728:E728)</f>
        <v>0</v>
      </c>
      <c r="G728" s="6"/>
      <c r="H728" s="18"/>
      <c r="I728" s="7"/>
      <c r="J728" s="8"/>
      <c r="K728" s="9">
        <f>SUM(G728:J728)</f>
        <v>0</v>
      </c>
      <c r="L728" s="100">
        <f t="shared" si="639"/>
        <v>0</v>
      </c>
      <c r="N728" s="90" t="s">
        <v>268</v>
      </c>
      <c r="O728" s="91">
        <v>13</v>
      </c>
      <c r="P728" s="92">
        <v>18</v>
      </c>
      <c r="Q728" s="93">
        <v>7</v>
      </c>
      <c r="R728" s="94">
        <v>22</v>
      </c>
      <c r="S728" s="95">
        <f t="shared" ref="S728" si="643">SUM(O728:R728)</f>
        <v>60</v>
      </c>
      <c r="T728" s="91">
        <v>14</v>
      </c>
      <c r="U728" s="92">
        <v>8</v>
      </c>
      <c r="V728" s="93">
        <v>26</v>
      </c>
      <c r="W728" s="94">
        <v>6</v>
      </c>
      <c r="X728" s="95">
        <f t="shared" ref="X728" si="644">SUM(T728:W728)</f>
        <v>54</v>
      </c>
      <c r="Y728" s="106">
        <f t="shared" ref="Y728:Y758" si="645">S728+X728</f>
        <v>114</v>
      </c>
      <c r="Z728" s="159">
        <v>46192</v>
      </c>
    </row>
    <row r="729" spans="1:26" x14ac:dyDescent="0.15">
      <c r="A729" s="12" t="s">
        <v>5</v>
      </c>
      <c r="B729" s="6"/>
      <c r="C729" s="18"/>
      <c r="D729" s="7"/>
      <c r="E729" s="8"/>
      <c r="F729" s="9">
        <f>SUM(B729:E729)</f>
        <v>0</v>
      </c>
      <c r="G729" s="6"/>
      <c r="H729" s="18"/>
      <c r="I729" s="7"/>
      <c r="J729" s="8"/>
      <c r="K729" s="9">
        <f>SUM(G729:J729)</f>
        <v>0</v>
      </c>
      <c r="L729" s="100">
        <f t="shared" si="639"/>
        <v>0</v>
      </c>
      <c r="N729" s="90" t="s">
        <v>787</v>
      </c>
      <c r="O729" s="315"/>
      <c r="P729" s="316">
        <v>2</v>
      </c>
      <c r="Q729" s="317">
        <v>4</v>
      </c>
      <c r="R729" s="318"/>
      <c r="S729" s="97">
        <f>SUM(O729:R729)</f>
        <v>6</v>
      </c>
      <c r="T729" s="315"/>
      <c r="U729" s="316"/>
      <c r="V729" s="317"/>
      <c r="W729" s="318"/>
      <c r="X729" s="97">
        <f>SUM(T729:W729)</f>
        <v>0</v>
      </c>
      <c r="Y729" s="106">
        <f t="shared" si="645"/>
        <v>6</v>
      </c>
      <c r="Z729" s="159" t="s">
        <v>1247</v>
      </c>
    </row>
    <row r="730" spans="1:26" ht="14.25" thickBot="1" x14ac:dyDescent="0.2">
      <c r="A730" s="12" t="s">
        <v>6</v>
      </c>
      <c r="B730" s="6"/>
      <c r="C730" s="18"/>
      <c r="D730" s="7"/>
      <c r="E730" s="8"/>
      <c r="F730" s="10">
        <f>SUM(B730:E730)</f>
        <v>0</v>
      </c>
      <c r="G730" s="6"/>
      <c r="H730" s="18"/>
      <c r="I730" s="7"/>
      <c r="J730" s="8"/>
      <c r="K730" s="10">
        <f>SUM(G730:J730)</f>
        <v>0</v>
      </c>
      <c r="L730" s="101">
        <f t="shared" si="639"/>
        <v>0</v>
      </c>
      <c r="N730" s="12" t="s">
        <v>6</v>
      </c>
      <c r="O730" s="6"/>
      <c r="P730" s="18"/>
      <c r="Q730" s="7"/>
      <c r="R730" s="8"/>
      <c r="S730" s="10">
        <f>SUM(O730:R730)</f>
        <v>0</v>
      </c>
      <c r="T730" s="6"/>
      <c r="U730" s="18"/>
      <c r="V730" s="7"/>
      <c r="W730" s="8"/>
      <c r="X730" s="10">
        <f>SUM(T730:W730)</f>
        <v>0</v>
      </c>
      <c r="Y730" s="101">
        <f t="shared" si="645"/>
        <v>0</v>
      </c>
      <c r="Z730" s="159"/>
    </row>
    <row r="731" spans="1:26" ht="14.25" thickBot="1" x14ac:dyDescent="0.2">
      <c r="A731" s="14" t="s">
        <v>7</v>
      </c>
      <c r="B731" s="62">
        <f t="shared" ref="B731:K731" si="646">SUM(B726:B730)</f>
        <v>8</v>
      </c>
      <c r="C731" s="63">
        <f t="shared" si="646"/>
        <v>7</v>
      </c>
      <c r="D731" s="64">
        <f t="shared" si="646"/>
        <v>8</v>
      </c>
      <c r="E731" s="65">
        <f t="shared" si="646"/>
        <v>9</v>
      </c>
      <c r="F731" s="66">
        <f t="shared" si="646"/>
        <v>32</v>
      </c>
      <c r="G731" s="62">
        <f t="shared" si="646"/>
        <v>6</v>
      </c>
      <c r="H731" s="63">
        <f t="shared" si="646"/>
        <v>10</v>
      </c>
      <c r="I731" s="64">
        <f t="shared" si="646"/>
        <v>8</v>
      </c>
      <c r="J731" s="65">
        <f t="shared" si="646"/>
        <v>6</v>
      </c>
      <c r="K731" s="66">
        <f t="shared" si="646"/>
        <v>30</v>
      </c>
      <c r="L731" s="102">
        <f t="shared" si="639"/>
        <v>62</v>
      </c>
      <c r="N731" s="13" t="s">
        <v>7</v>
      </c>
      <c r="O731" s="25">
        <f t="shared" ref="O731:X731" si="647">SUM(O726:O730)</f>
        <v>77</v>
      </c>
      <c r="P731" s="31">
        <f t="shared" si="647"/>
        <v>177</v>
      </c>
      <c r="Q731" s="26">
        <f t="shared" si="647"/>
        <v>155</v>
      </c>
      <c r="R731" s="67">
        <f t="shared" si="647"/>
        <v>232</v>
      </c>
      <c r="S731" s="68">
        <f t="shared" si="647"/>
        <v>641</v>
      </c>
      <c r="T731" s="25">
        <f t="shared" si="647"/>
        <v>113</v>
      </c>
      <c r="U731" s="31">
        <f t="shared" si="647"/>
        <v>121</v>
      </c>
      <c r="V731" s="26">
        <f t="shared" si="647"/>
        <v>95</v>
      </c>
      <c r="W731" s="67">
        <f t="shared" si="647"/>
        <v>117</v>
      </c>
      <c r="X731" s="68">
        <f t="shared" si="647"/>
        <v>446</v>
      </c>
      <c r="Y731" s="102">
        <f t="shared" si="645"/>
        <v>1087</v>
      </c>
      <c r="Z731" s="227"/>
    </row>
    <row r="732" spans="1:26" x14ac:dyDescent="0.15">
      <c r="A732" s="47"/>
      <c r="B732" s="41"/>
      <c r="C732" s="42"/>
      <c r="D732" s="43"/>
      <c r="E732" s="44"/>
      <c r="F732" s="70">
        <f t="shared" ref="F732:F757" si="648">SUM(B732:E732)</f>
        <v>0</v>
      </c>
      <c r="G732" s="41"/>
      <c r="H732" s="42"/>
      <c r="I732" s="43"/>
      <c r="J732" s="44"/>
      <c r="K732" s="70">
        <f t="shared" ref="K732:K757" si="649">SUM(G732:J732)</f>
        <v>0</v>
      </c>
      <c r="L732" s="103">
        <f t="shared" si="639"/>
        <v>0</v>
      </c>
      <c r="N732" s="33"/>
      <c r="O732" s="16"/>
      <c r="P732" s="29"/>
      <c r="Q732" s="17"/>
      <c r="R732" s="32"/>
      <c r="S732" s="9">
        <f t="shared" ref="S732:S737" si="650">SUM(O732:R732)</f>
        <v>0</v>
      </c>
      <c r="T732" s="16"/>
      <c r="U732" s="29"/>
      <c r="V732" s="17"/>
      <c r="W732" s="32"/>
      <c r="X732" s="9">
        <f t="shared" ref="X732:X737" si="651">SUM(T732:W732)</f>
        <v>0</v>
      </c>
      <c r="Y732" s="103">
        <f t="shared" si="645"/>
        <v>0</v>
      </c>
    </row>
    <row r="733" spans="1:26" x14ac:dyDescent="0.15">
      <c r="A733" s="47"/>
      <c r="B733" s="16"/>
      <c r="C733" s="29"/>
      <c r="D733" s="17"/>
      <c r="E733" s="20"/>
      <c r="F733" s="45">
        <f t="shared" si="648"/>
        <v>0</v>
      </c>
      <c r="G733" s="16"/>
      <c r="H733" s="29"/>
      <c r="I733" s="17"/>
      <c r="J733" s="20"/>
      <c r="K733" s="45">
        <f t="shared" si="649"/>
        <v>0</v>
      </c>
      <c r="L733" s="104">
        <f t="shared" si="639"/>
        <v>0</v>
      </c>
      <c r="N733" s="33"/>
      <c r="O733" s="16"/>
      <c r="P733" s="29"/>
      <c r="Q733" s="17"/>
      <c r="R733" s="32"/>
      <c r="S733" s="9">
        <f t="shared" si="650"/>
        <v>0</v>
      </c>
      <c r="T733" s="16"/>
      <c r="U733" s="29"/>
      <c r="V733" s="17"/>
      <c r="W733" s="32"/>
      <c r="X733" s="9">
        <f t="shared" si="651"/>
        <v>0</v>
      </c>
      <c r="Y733" s="104">
        <f t="shared" si="645"/>
        <v>0</v>
      </c>
    </row>
    <row r="734" spans="1:26" x14ac:dyDescent="0.15">
      <c r="A734" s="47"/>
      <c r="B734" s="16"/>
      <c r="C734" s="29"/>
      <c r="D734" s="17"/>
      <c r="E734" s="20"/>
      <c r="F734" s="45">
        <f t="shared" si="648"/>
        <v>0</v>
      </c>
      <c r="G734" s="16"/>
      <c r="H734" s="29"/>
      <c r="I734" s="17"/>
      <c r="J734" s="20"/>
      <c r="K734" s="45">
        <f t="shared" si="649"/>
        <v>0</v>
      </c>
      <c r="L734" s="104">
        <f t="shared" si="639"/>
        <v>0</v>
      </c>
      <c r="N734" s="33"/>
      <c r="O734" s="16"/>
      <c r="P734" s="29"/>
      <c r="Q734" s="17"/>
      <c r="R734" s="32"/>
      <c r="S734" s="9">
        <f t="shared" si="650"/>
        <v>0</v>
      </c>
      <c r="T734" s="16"/>
      <c r="U734" s="29"/>
      <c r="V734" s="17"/>
      <c r="W734" s="32"/>
      <c r="X734" s="9">
        <f t="shared" si="651"/>
        <v>0</v>
      </c>
      <c r="Y734" s="104">
        <f t="shared" si="645"/>
        <v>0</v>
      </c>
    </row>
    <row r="735" spans="1:26" x14ac:dyDescent="0.15">
      <c r="A735" s="47"/>
      <c r="B735" s="16"/>
      <c r="C735" s="29"/>
      <c r="D735" s="17"/>
      <c r="E735" s="20"/>
      <c r="F735" s="45">
        <f t="shared" si="648"/>
        <v>0</v>
      </c>
      <c r="G735" s="16"/>
      <c r="H735" s="29"/>
      <c r="I735" s="17"/>
      <c r="J735" s="20"/>
      <c r="K735" s="45">
        <f t="shared" si="649"/>
        <v>0</v>
      </c>
      <c r="L735" s="104">
        <f t="shared" si="639"/>
        <v>0</v>
      </c>
      <c r="N735" s="33"/>
      <c r="O735" s="16"/>
      <c r="P735" s="29"/>
      <c r="Q735" s="17"/>
      <c r="R735" s="32"/>
      <c r="S735" s="9">
        <f t="shared" si="650"/>
        <v>0</v>
      </c>
      <c r="T735" s="16"/>
      <c r="U735" s="29"/>
      <c r="V735" s="17"/>
      <c r="W735" s="32"/>
      <c r="X735" s="9">
        <f t="shared" si="651"/>
        <v>0</v>
      </c>
      <c r="Y735" s="104">
        <f t="shared" si="645"/>
        <v>0</v>
      </c>
    </row>
    <row r="736" spans="1:26" x14ac:dyDescent="0.15">
      <c r="A736" s="47"/>
      <c r="B736" s="16"/>
      <c r="C736" s="29"/>
      <c r="D736" s="17"/>
      <c r="E736" s="20"/>
      <c r="F736" s="45">
        <f t="shared" si="648"/>
        <v>0</v>
      </c>
      <c r="G736" s="16"/>
      <c r="H736" s="29"/>
      <c r="I736" s="17"/>
      <c r="J736" s="20"/>
      <c r="K736" s="45">
        <f t="shared" si="649"/>
        <v>0</v>
      </c>
      <c r="L736" s="104">
        <f t="shared" si="639"/>
        <v>0</v>
      </c>
      <c r="N736" s="33"/>
      <c r="O736" s="16"/>
      <c r="P736" s="29"/>
      <c r="Q736" s="17"/>
      <c r="R736" s="32"/>
      <c r="S736" s="9">
        <f t="shared" si="650"/>
        <v>0</v>
      </c>
      <c r="T736" s="16"/>
      <c r="U736" s="29"/>
      <c r="V736" s="17"/>
      <c r="W736" s="32"/>
      <c r="X736" s="9">
        <f t="shared" si="651"/>
        <v>0</v>
      </c>
      <c r="Y736" s="104">
        <f t="shared" si="645"/>
        <v>0</v>
      </c>
    </row>
    <row r="737" spans="1:25" x14ac:dyDescent="0.15">
      <c r="A737" s="47"/>
      <c r="B737" s="16"/>
      <c r="C737" s="29"/>
      <c r="D737" s="17"/>
      <c r="E737" s="20"/>
      <c r="F737" s="45">
        <f t="shared" si="648"/>
        <v>0</v>
      </c>
      <c r="G737" s="16"/>
      <c r="H737" s="29"/>
      <c r="I737" s="17"/>
      <c r="J737" s="20"/>
      <c r="K737" s="45">
        <f t="shared" si="649"/>
        <v>0</v>
      </c>
      <c r="L737" s="104">
        <f t="shared" si="639"/>
        <v>0</v>
      </c>
      <c r="N737" s="33"/>
      <c r="O737" s="16"/>
      <c r="P737" s="29"/>
      <c r="Q737" s="17"/>
      <c r="R737" s="32"/>
      <c r="S737" s="9">
        <f t="shared" si="650"/>
        <v>0</v>
      </c>
      <c r="T737" s="16"/>
      <c r="U737" s="29"/>
      <c r="V737" s="17"/>
      <c r="W737" s="32"/>
      <c r="X737" s="9">
        <f t="shared" si="651"/>
        <v>0</v>
      </c>
      <c r="Y737" s="104">
        <f t="shared" si="645"/>
        <v>0</v>
      </c>
    </row>
    <row r="738" spans="1:25" x14ac:dyDescent="0.15">
      <c r="A738" s="47"/>
      <c r="B738" s="16"/>
      <c r="C738" s="29"/>
      <c r="D738" s="17"/>
      <c r="E738" s="20"/>
      <c r="F738" s="45">
        <f t="shared" si="648"/>
        <v>0</v>
      </c>
      <c r="G738" s="16"/>
      <c r="H738" s="29"/>
      <c r="I738" s="17"/>
      <c r="J738" s="20"/>
      <c r="K738" s="45">
        <f t="shared" si="649"/>
        <v>0</v>
      </c>
      <c r="L738" s="104">
        <f t="shared" si="639"/>
        <v>0</v>
      </c>
      <c r="N738" s="33"/>
      <c r="O738" s="16"/>
      <c r="P738" s="29"/>
      <c r="Q738" s="17"/>
      <c r="R738" s="32"/>
      <c r="S738" s="9">
        <f>SUM(O738:R738)</f>
        <v>0</v>
      </c>
      <c r="T738" s="16"/>
      <c r="U738" s="29"/>
      <c r="V738" s="17"/>
      <c r="W738" s="32"/>
      <c r="X738" s="9">
        <f>SUM(T738:W738)</f>
        <v>0</v>
      </c>
      <c r="Y738" s="104">
        <f t="shared" si="645"/>
        <v>0</v>
      </c>
    </row>
    <row r="739" spans="1:25" x14ac:dyDescent="0.15">
      <c r="A739" s="47"/>
      <c r="B739" s="16"/>
      <c r="C739" s="29"/>
      <c r="D739" s="17"/>
      <c r="E739" s="20"/>
      <c r="F739" s="45">
        <f t="shared" si="648"/>
        <v>0</v>
      </c>
      <c r="G739" s="16"/>
      <c r="H739" s="29"/>
      <c r="I739" s="17"/>
      <c r="J739" s="20"/>
      <c r="K739" s="45">
        <f t="shared" si="649"/>
        <v>0</v>
      </c>
      <c r="L739" s="104">
        <f t="shared" si="639"/>
        <v>0</v>
      </c>
      <c r="N739" s="33"/>
      <c r="O739" s="16"/>
      <c r="P739" s="29"/>
      <c r="Q739" s="17"/>
      <c r="R739" s="32"/>
      <c r="S739" s="9">
        <f t="shared" ref="S739:S743" si="652">SUM(O739:R739)</f>
        <v>0</v>
      </c>
      <c r="T739" s="16"/>
      <c r="U739" s="29"/>
      <c r="V739" s="17"/>
      <c r="W739" s="32"/>
      <c r="X739" s="9">
        <f t="shared" ref="X739:X743" si="653">SUM(T739:W739)</f>
        <v>0</v>
      </c>
      <c r="Y739" s="104">
        <f t="shared" si="645"/>
        <v>0</v>
      </c>
    </row>
    <row r="740" spans="1:25" x14ac:dyDescent="0.15">
      <c r="A740" s="47"/>
      <c r="B740" s="16"/>
      <c r="C740" s="29"/>
      <c r="D740" s="17"/>
      <c r="E740" s="20"/>
      <c r="F740" s="45">
        <f t="shared" si="648"/>
        <v>0</v>
      </c>
      <c r="G740" s="16"/>
      <c r="H740" s="29"/>
      <c r="I740" s="17"/>
      <c r="J740" s="20"/>
      <c r="K740" s="45">
        <f t="shared" si="649"/>
        <v>0</v>
      </c>
      <c r="L740" s="104">
        <f t="shared" si="639"/>
        <v>0</v>
      </c>
      <c r="N740" s="33"/>
      <c r="O740" s="16"/>
      <c r="P740" s="29"/>
      <c r="Q740" s="17"/>
      <c r="R740" s="32"/>
      <c r="S740" s="9">
        <f t="shared" si="652"/>
        <v>0</v>
      </c>
      <c r="T740" s="16"/>
      <c r="U740" s="29"/>
      <c r="V740" s="17"/>
      <c r="W740" s="32"/>
      <c r="X740" s="9">
        <f t="shared" si="653"/>
        <v>0</v>
      </c>
      <c r="Y740" s="104">
        <f t="shared" si="645"/>
        <v>0</v>
      </c>
    </row>
    <row r="741" spans="1:25" x14ac:dyDescent="0.15">
      <c r="A741" s="33"/>
      <c r="B741" s="16"/>
      <c r="C741" s="29"/>
      <c r="D741" s="17"/>
      <c r="E741" s="20"/>
      <c r="F741" s="45">
        <f t="shared" si="648"/>
        <v>0</v>
      </c>
      <c r="G741" s="16"/>
      <c r="H741" s="29"/>
      <c r="I741" s="17"/>
      <c r="J741" s="20"/>
      <c r="K741" s="45">
        <f t="shared" si="649"/>
        <v>0</v>
      </c>
      <c r="L741" s="104">
        <f t="shared" si="639"/>
        <v>0</v>
      </c>
      <c r="N741" s="33"/>
      <c r="O741" s="16"/>
      <c r="P741" s="29"/>
      <c r="Q741" s="17"/>
      <c r="R741" s="32"/>
      <c r="S741" s="9">
        <f t="shared" si="652"/>
        <v>0</v>
      </c>
      <c r="T741" s="16"/>
      <c r="U741" s="29"/>
      <c r="V741" s="17"/>
      <c r="W741" s="32"/>
      <c r="X741" s="9">
        <f t="shared" si="653"/>
        <v>0</v>
      </c>
      <c r="Y741" s="104">
        <f t="shared" si="645"/>
        <v>0</v>
      </c>
    </row>
    <row r="742" spans="1:25" x14ac:dyDescent="0.15">
      <c r="A742" s="47"/>
      <c r="B742" s="16"/>
      <c r="C742" s="29"/>
      <c r="D742" s="17"/>
      <c r="E742" s="20"/>
      <c r="F742" s="45">
        <f t="shared" si="648"/>
        <v>0</v>
      </c>
      <c r="G742" s="16"/>
      <c r="H742" s="29"/>
      <c r="I742" s="17"/>
      <c r="J742" s="20"/>
      <c r="K742" s="45">
        <f t="shared" si="649"/>
        <v>0</v>
      </c>
      <c r="L742" s="104">
        <f t="shared" si="639"/>
        <v>0</v>
      </c>
      <c r="N742" s="33"/>
      <c r="O742" s="16"/>
      <c r="P742" s="29"/>
      <c r="Q742" s="17"/>
      <c r="R742" s="32"/>
      <c r="S742" s="9">
        <f t="shared" si="652"/>
        <v>0</v>
      </c>
      <c r="T742" s="16"/>
      <c r="U742" s="29"/>
      <c r="V742" s="17"/>
      <c r="W742" s="32"/>
      <c r="X742" s="9">
        <f t="shared" si="653"/>
        <v>0</v>
      </c>
      <c r="Y742" s="104">
        <f t="shared" si="645"/>
        <v>0</v>
      </c>
    </row>
    <row r="743" spans="1:25" x14ac:dyDescent="0.15">
      <c r="A743" s="47"/>
      <c r="B743" s="16"/>
      <c r="C743" s="29"/>
      <c r="D743" s="17"/>
      <c r="E743" s="20"/>
      <c r="F743" s="45">
        <f t="shared" si="648"/>
        <v>0</v>
      </c>
      <c r="G743" s="16"/>
      <c r="H743" s="29"/>
      <c r="I743" s="17"/>
      <c r="J743" s="20"/>
      <c r="K743" s="45">
        <f t="shared" si="649"/>
        <v>0</v>
      </c>
      <c r="L743" s="104">
        <f t="shared" si="639"/>
        <v>0</v>
      </c>
      <c r="N743" s="72"/>
      <c r="O743" s="16"/>
      <c r="P743" s="29"/>
      <c r="Q743" s="17"/>
      <c r="R743" s="32"/>
      <c r="S743" s="9">
        <f t="shared" si="652"/>
        <v>0</v>
      </c>
      <c r="T743" s="16"/>
      <c r="U743" s="29"/>
      <c r="V743" s="17"/>
      <c r="W743" s="32"/>
      <c r="X743" s="9">
        <f t="shared" si="653"/>
        <v>0</v>
      </c>
      <c r="Y743" s="104">
        <f t="shared" si="645"/>
        <v>0</v>
      </c>
    </row>
    <row r="744" spans="1:25" x14ac:dyDescent="0.15">
      <c r="A744" s="47"/>
      <c r="B744" s="16"/>
      <c r="C744" s="29"/>
      <c r="D744" s="17"/>
      <c r="E744" s="20"/>
      <c r="F744" s="45">
        <f t="shared" si="648"/>
        <v>0</v>
      </c>
      <c r="G744" s="16"/>
      <c r="H744" s="29"/>
      <c r="I744" s="17"/>
      <c r="J744" s="20"/>
      <c r="K744" s="45">
        <f t="shared" si="649"/>
        <v>0</v>
      </c>
      <c r="L744" s="104">
        <f t="shared" si="639"/>
        <v>0</v>
      </c>
      <c r="N744" s="33"/>
      <c r="O744" s="16"/>
      <c r="P744" s="29"/>
      <c r="Q744" s="17"/>
      <c r="R744" s="32"/>
      <c r="S744" s="9">
        <f>SUM(O744:R744)</f>
        <v>0</v>
      </c>
      <c r="T744" s="16"/>
      <c r="U744" s="29"/>
      <c r="V744" s="17"/>
      <c r="W744" s="32"/>
      <c r="X744" s="9">
        <f>SUM(T744:W744)</f>
        <v>0</v>
      </c>
      <c r="Y744" s="104">
        <f t="shared" si="645"/>
        <v>0</v>
      </c>
    </row>
    <row r="745" spans="1:25" x14ac:dyDescent="0.15">
      <c r="A745" s="47"/>
      <c r="B745" s="16"/>
      <c r="C745" s="29"/>
      <c r="D745" s="17"/>
      <c r="E745" s="20"/>
      <c r="F745" s="45">
        <f t="shared" si="648"/>
        <v>0</v>
      </c>
      <c r="G745" s="16"/>
      <c r="H745" s="29"/>
      <c r="I745" s="17"/>
      <c r="J745" s="20"/>
      <c r="K745" s="45">
        <f t="shared" si="649"/>
        <v>0</v>
      </c>
      <c r="L745" s="104">
        <f t="shared" si="639"/>
        <v>0</v>
      </c>
      <c r="N745" s="72"/>
      <c r="O745" s="16"/>
      <c r="P745" s="29"/>
      <c r="Q745" s="17"/>
      <c r="R745" s="32"/>
      <c r="S745" s="9">
        <f>SUM(O745:R745)</f>
        <v>0</v>
      </c>
      <c r="T745" s="16"/>
      <c r="U745" s="29"/>
      <c r="V745" s="17"/>
      <c r="W745" s="32"/>
      <c r="X745" s="9">
        <f>SUM(T745:W745)</f>
        <v>0</v>
      </c>
      <c r="Y745" s="104">
        <f t="shared" si="645"/>
        <v>0</v>
      </c>
    </row>
    <row r="746" spans="1:25" x14ac:dyDescent="0.15">
      <c r="A746" s="33"/>
      <c r="B746" s="16"/>
      <c r="C746" s="29"/>
      <c r="D746" s="17"/>
      <c r="E746" s="20"/>
      <c r="F746" s="45">
        <f t="shared" si="648"/>
        <v>0</v>
      </c>
      <c r="G746" s="16"/>
      <c r="H746" s="29"/>
      <c r="I746" s="17"/>
      <c r="J746" s="20"/>
      <c r="K746" s="45">
        <f t="shared" si="649"/>
        <v>0</v>
      </c>
      <c r="L746" s="104">
        <f t="shared" si="639"/>
        <v>0</v>
      </c>
      <c r="N746" s="72"/>
      <c r="O746" s="16"/>
      <c r="P746" s="29"/>
      <c r="Q746" s="17"/>
      <c r="R746" s="32"/>
      <c r="S746" s="9">
        <f t="shared" ref="S746:S757" si="654">SUM(O746:R746)</f>
        <v>0</v>
      </c>
      <c r="T746" s="16"/>
      <c r="U746" s="29"/>
      <c r="V746" s="17"/>
      <c r="W746" s="32"/>
      <c r="X746" s="9">
        <f t="shared" ref="X746:X757" si="655">SUM(T746:W746)</f>
        <v>0</v>
      </c>
      <c r="Y746" s="104">
        <f t="shared" si="645"/>
        <v>0</v>
      </c>
    </row>
    <row r="747" spans="1:25" x14ac:dyDescent="0.15">
      <c r="A747" s="47"/>
      <c r="B747" s="16"/>
      <c r="C747" s="29"/>
      <c r="D747" s="17"/>
      <c r="E747" s="20"/>
      <c r="F747" s="45">
        <f t="shared" si="648"/>
        <v>0</v>
      </c>
      <c r="G747" s="16"/>
      <c r="H747" s="29"/>
      <c r="I747" s="17"/>
      <c r="J747" s="20"/>
      <c r="K747" s="45">
        <f t="shared" si="649"/>
        <v>0</v>
      </c>
      <c r="L747" s="104">
        <f t="shared" si="639"/>
        <v>0</v>
      </c>
      <c r="N747" s="72"/>
      <c r="O747" s="16"/>
      <c r="P747" s="29"/>
      <c r="Q747" s="17"/>
      <c r="R747" s="32"/>
      <c r="S747" s="9">
        <f t="shared" si="654"/>
        <v>0</v>
      </c>
      <c r="T747" s="16"/>
      <c r="U747" s="29"/>
      <c r="V747" s="17"/>
      <c r="W747" s="32"/>
      <c r="X747" s="9">
        <f t="shared" si="655"/>
        <v>0</v>
      </c>
      <c r="Y747" s="104">
        <f t="shared" si="645"/>
        <v>0</v>
      </c>
    </row>
    <row r="748" spans="1:25" x14ac:dyDescent="0.15">
      <c r="A748" s="47"/>
      <c r="B748" s="16"/>
      <c r="C748" s="29"/>
      <c r="D748" s="17"/>
      <c r="E748" s="20"/>
      <c r="F748" s="45">
        <f t="shared" si="648"/>
        <v>0</v>
      </c>
      <c r="G748" s="16"/>
      <c r="H748" s="29"/>
      <c r="I748" s="17"/>
      <c r="J748" s="20"/>
      <c r="K748" s="45">
        <f t="shared" si="649"/>
        <v>0</v>
      </c>
      <c r="L748" s="104">
        <f t="shared" si="639"/>
        <v>0</v>
      </c>
      <c r="N748" s="72"/>
      <c r="O748" s="16"/>
      <c r="P748" s="29"/>
      <c r="Q748" s="17"/>
      <c r="R748" s="32"/>
      <c r="S748" s="9">
        <f t="shared" si="654"/>
        <v>0</v>
      </c>
      <c r="T748" s="16"/>
      <c r="U748" s="29"/>
      <c r="V748" s="17"/>
      <c r="W748" s="32"/>
      <c r="X748" s="9">
        <f t="shared" si="655"/>
        <v>0</v>
      </c>
      <c r="Y748" s="104">
        <f t="shared" si="645"/>
        <v>0</v>
      </c>
    </row>
    <row r="749" spans="1:25" x14ac:dyDescent="0.15">
      <c r="A749" s="47"/>
      <c r="B749" s="16"/>
      <c r="C749" s="29"/>
      <c r="D749" s="17"/>
      <c r="E749" s="20"/>
      <c r="F749" s="45">
        <f t="shared" si="648"/>
        <v>0</v>
      </c>
      <c r="G749" s="16"/>
      <c r="H749" s="29"/>
      <c r="I749" s="17"/>
      <c r="J749" s="20"/>
      <c r="K749" s="45">
        <f t="shared" si="649"/>
        <v>0</v>
      </c>
      <c r="L749" s="104">
        <f t="shared" si="639"/>
        <v>0</v>
      </c>
      <c r="N749" s="72"/>
      <c r="O749" s="16"/>
      <c r="P749" s="29"/>
      <c r="Q749" s="17"/>
      <c r="R749" s="32"/>
      <c r="S749" s="9">
        <f t="shared" si="654"/>
        <v>0</v>
      </c>
      <c r="T749" s="16"/>
      <c r="U749" s="29"/>
      <c r="V749" s="17"/>
      <c r="W749" s="32"/>
      <c r="X749" s="9">
        <f t="shared" si="655"/>
        <v>0</v>
      </c>
      <c r="Y749" s="104">
        <f t="shared" si="645"/>
        <v>0</v>
      </c>
    </row>
    <row r="750" spans="1:25" x14ac:dyDescent="0.15">
      <c r="A750" s="47"/>
      <c r="B750" s="16"/>
      <c r="C750" s="29"/>
      <c r="D750" s="17"/>
      <c r="E750" s="20"/>
      <c r="F750" s="45">
        <f t="shared" si="648"/>
        <v>0</v>
      </c>
      <c r="G750" s="16"/>
      <c r="H750" s="29"/>
      <c r="I750" s="17"/>
      <c r="J750" s="20"/>
      <c r="K750" s="45">
        <f t="shared" si="649"/>
        <v>0</v>
      </c>
      <c r="L750" s="104">
        <f t="shared" si="639"/>
        <v>0</v>
      </c>
      <c r="N750" s="72"/>
      <c r="O750" s="16"/>
      <c r="P750" s="29"/>
      <c r="Q750" s="17"/>
      <c r="R750" s="32"/>
      <c r="S750" s="9">
        <f t="shared" si="654"/>
        <v>0</v>
      </c>
      <c r="T750" s="16"/>
      <c r="U750" s="29"/>
      <c r="V750" s="17"/>
      <c r="W750" s="32"/>
      <c r="X750" s="9">
        <f t="shared" si="655"/>
        <v>0</v>
      </c>
      <c r="Y750" s="104">
        <f t="shared" si="645"/>
        <v>0</v>
      </c>
    </row>
    <row r="751" spans="1:25" x14ac:dyDescent="0.15">
      <c r="A751" s="47"/>
      <c r="B751" s="16"/>
      <c r="C751" s="29"/>
      <c r="D751" s="17"/>
      <c r="E751" s="20"/>
      <c r="F751" s="45">
        <f t="shared" si="648"/>
        <v>0</v>
      </c>
      <c r="G751" s="16"/>
      <c r="H751" s="29"/>
      <c r="I751" s="17"/>
      <c r="J751" s="20"/>
      <c r="K751" s="45">
        <f t="shared" si="649"/>
        <v>0</v>
      </c>
      <c r="L751" s="104">
        <f t="shared" si="639"/>
        <v>0</v>
      </c>
      <c r="N751" s="72"/>
      <c r="O751" s="16"/>
      <c r="P751" s="29"/>
      <c r="Q751" s="17"/>
      <c r="R751" s="32"/>
      <c r="S751" s="9">
        <f t="shared" si="654"/>
        <v>0</v>
      </c>
      <c r="T751" s="16"/>
      <c r="U751" s="29"/>
      <c r="V751" s="17"/>
      <c r="W751" s="32"/>
      <c r="X751" s="9">
        <f t="shared" si="655"/>
        <v>0</v>
      </c>
      <c r="Y751" s="104">
        <f t="shared" si="645"/>
        <v>0</v>
      </c>
    </row>
    <row r="752" spans="1:25" x14ac:dyDescent="0.15">
      <c r="A752" s="47"/>
      <c r="B752" s="16"/>
      <c r="C752" s="29"/>
      <c r="D752" s="17"/>
      <c r="E752" s="20"/>
      <c r="F752" s="45">
        <f t="shared" si="648"/>
        <v>0</v>
      </c>
      <c r="G752" s="16"/>
      <c r="H752" s="29"/>
      <c r="I752" s="17"/>
      <c r="J752" s="20"/>
      <c r="K752" s="45">
        <f t="shared" si="649"/>
        <v>0</v>
      </c>
      <c r="L752" s="104">
        <f t="shared" si="639"/>
        <v>0</v>
      </c>
      <c r="N752" s="72"/>
      <c r="O752" s="16"/>
      <c r="P752" s="29"/>
      <c r="Q752" s="17"/>
      <c r="R752" s="32"/>
      <c r="S752" s="9">
        <f t="shared" si="654"/>
        <v>0</v>
      </c>
      <c r="T752" s="16"/>
      <c r="U752" s="29"/>
      <c r="V752" s="17"/>
      <c r="W752" s="32"/>
      <c r="X752" s="9">
        <f t="shared" si="655"/>
        <v>0</v>
      </c>
      <c r="Y752" s="104">
        <f t="shared" si="645"/>
        <v>0</v>
      </c>
    </row>
    <row r="753" spans="1:27" x14ac:dyDescent="0.15">
      <c r="A753" s="47"/>
      <c r="B753" s="16"/>
      <c r="C753" s="29"/>
      <c r="D753" s="17"/>
      <c r="E753" s="20"/>
      <c r="F753" s="45">
        <f t="shared" si="648"/>
        <v>0</v>
      </c>
      <c r="G753" s="16"/>
      <c r="H753" s="29"/>
      <c r="I753" s="17"/>
      <c r="J753" s="20"/>
      <c r="K753" s="45">
        <f t="shared" si="649"/>
        <v>0</v>
      </c>
      <c r="L753" s="104">
        <f t="shared" si="639"/>
        <v>0</v>
      </c>
      <c r="N753" s="72"/>
      <c r="O753" s="16"/>
      <c r="P753" s="29"/>
      <c r="Q753" s="17"/>
      <c r="R753" s="32"/>
      <c r="S753" s="9">
        <f t="shared" ref="S753" si="656">SUM(O753:R753)</f>
        <v>0</v>
      </c>
      <c r="T753" s="16"/>
      <c r="U753" s="29"/>
      <c r="V753" s="17"/>
      <c r="W753" s="32"/>
      <c r="X753" s="9">
        <f t="shared" ref="X753" si="657">SUM(T753:W753)</f>
        <v>0</v>
      </c>
      <c r="Y753" s="104">
        <f t="shared" ref="Y753" si="658">S753+X753</f>
        <v>0</v>
      </c>
    </row>
    <row r="754" spans="1:27" x14ac:dyDescent="0.15">
      <c r="A754" s="47"/>
      <c r="B754" s="16"/>
      <c r="C754" s="29"/>
      <c r="D754" s="17"/>
      <c r="E754" s="20"/>
      <c r="F754" s="45">
        <f t="shared" si="648"/>
        <v>0</v>
      </c>
      <c r="G754" s="16"/>
      <c r="H754" s="29"/>
      <c r="I754" s="17"/>
      <c r="J754" s="20"/>
      <c r="K754" s="45">
        <f t="shared" si="649"/>
        <v>0</v>
      </c>
      <c r="L754" s="104">
        <f t="shared" si="639"/>
        <v>0</v>
      </c>
      <c r="N754" s="72"/>
      <c r="O754" s="16"/>
      <c r="P754" s="29"/>
      <c r="Q754" s="17"/>
      <c r="R754" s="32"/>
      <c r="S754" s="9">
        <f t="shared" ref="S754:S756" si="659">SUM(O754:R754)</f>
        <v>0</v>
      </c>
      <c r="T754" s="16"/>
      <c r="U754" s="29"/>
      <c r="V754" s="17"/>
      <c r="W754" s="32"/>
      <c r="X754" s="9">
        <f t="shared" ref="X754:X756" si="660">SUM(T754:W754)</f>
        <v>0</v>
      </c>
      <c r="Y754" s="104">
        <f t="shared" ref="Y754:Y756" si="661">S754+X754</f>
        <v>0</v>
      </c>
    </row>
    <row r="755" spans="1:27" x14ac:dyDescent="0.15">
      <c r="A755" s="47"/>
      <c r="B755" s="16"/>
      <c r="C755" s="29"/>
      <c r="D755" s="17"/>
      <c r="E755" s="20"/>
      <c r="F755" s="45">
        <f t="shared" si="648"/>
        <v>0</v>
      </c>
      <c r="G755" s="16"/>
      <c r="H755" s="29"/>
      <c r="I755" s="17"/>
      <c r="J755" s="20"/>
      <c r="K755" s="45">
        <f t="shared" si="649"/>
        <v>0</v>
      </c>
      <c r="L755" s="104">
        <f t="shared" si="639"/>
        <v>0</v>
      </c>
      <c r="N755" s="138" t="s">
        <v>1073</v>
      </c>
      <c r="O755" s="145">
        <v>-10</v>
      </c>
      <c r="P755" s="146">
        <v>-30</v>
      </c>
      <c r="Q755" s="147">
        <v>-15</v>
      </c>
      <c r="R755" s="148">
        <v>-25</v>
      </c>
      <c r="S755" s="215">
        <f t="shared" si="659"/>
        <v>-80</v>
      </c>
      <c r="T755" s="242"/>
      <c r="U755" s="243"/>
      <c r="V755" s="244"/>
      <c r="W755" s="247"/>
      <c r="X755" s="215">
        <f t="shared" si="660"/>
        <v>0</v>
      </c>
      <c r="Y755" s="144">
        <f t="shared" si="661"/>
        <v>-80</v>
      </c>
      <c r="Z755" s="227"/>
    </row>
    <row r="756" spans="1:27" ht="14.25" thickBot="1" x14ac:dyDescent="0.2">
      <c r="A756" s="47"/>
      <c r="B756" s="37"/>
      <c r="C756" s="38"/>
      <c r="D756" s="39"/>
      <c r="E756" s="40"/>
      <c r="F756" s="45">
        <f t="shared" si="648"/>
        <v>0</v>
      </c>
      <c r="G756" s="37"/>
      <c r="H756" s="38"/>
      <c r="I756" s="39"/>
      <c r="J756" s="40"/>
      <c r="K756" s="45">
        <f t="shared" si="649"/>
        <v>0</v>
      </c>
      <c r="L756" s="104">
        <f t="shared" si="639"/>
        <v>0</v>
      </c>
      <c r="N756" s="177" t="s">
        <v>1072</v>
      </c>
      <c r="O756" s="85">
        <v>35</v>
      </c>
      <c r="P756" s="86">
        <v>85</v>
      </c>
      <c r="Q756" s="87">
        <v>50</v>
      </c>
      <c r="R756" s="88">
        <v>70</v>
      </c>
      <c r="S756" s="89">
        <f t="shared" si="659"/>
        <v>240</v>
      </c>
      <c r="T756" s="109"/>
      <c r="U756" s="111"/>
      <c r="V756" s="110"/>
      <c r="W756" s="130"/>
      <c r="X756" s="89">
        <f t="shared" si="660"/>
        <v>0</v>
      </c>
      <c r="Y756" s="127">
        <f t="shared" si="661"/>
        <v>240</v>
      </c>
      <c r="Z756" s="227" t="s">
        <v>1086</v>
      </c>
    </row>
    <row r="757" spans="1:27" ht="14.25" thickBot="1" x14ac:dyDescent="0.2">
      <c r="A757" s="13" t="s">
        <v>8</v>
      </c>
      <c r="B757" s="22">
        <f>SUM(B732:B756)</f>
        <v>0</v>
      </c>
      <c r="C757" s="30">
        <f>SUM(C732:C756)</f>
        <v>0</v>
      </c>
      <c r="D757" s="23">
        <f>SUM(D732:D756)</f>
        <v>0</v>
      </c>
      <c r="E757" s="24">
        <f>SUM(E732:E756)</f>
        <v>0</v>
      </c>
      <c r="F757" s="21">
        <f t="shared" si="648"/>
        <v>0</v>
      </c>
      <c r="G757" s="22">
        <f>SUM(G732:G756)</f>
        <v>0</v>
      </c>
      <c r="H757" s="30">
        <f>SUM(H732:H756)</f>
        <v>0</v>
      </c>
      <c r="I757" s="23">
        <f>SUM(I732:I756)</f>
        <v>0</v>
      </c>
      <c r="J757" s="24">
        <f>SUM(J732:J756)</f>
        <v>0</v>
      </c>
      <c r="K757" s="21">
        <f t="shared" si="649"/>
        <v>0</v>
      </c>
      <c r="L757" s="105">
        <f t="shared" si="639"/>
        <v>0</v>
      </c>
      <c r="N757" s="49" t="s">
        <v>8</v>
      </c>
      <c r="O757" s="22">
        <f>SUM(O732:O756)</f>
        <v>25</v>
      </c>
      <c r="P757" s="30">
        <f>SUM(P732:P756)</f>
        <v>55</v>
      </c>
      <c r="Q757" s="23">
        <f>SUM(Q732:Q756)</f>
        <v>35</v>
      </c>
      <c r="R757" s="24">
        <f>SUM(R732:R756)</f>
        <v>45</v>
      </c>
      <c r="S757" s="48">
        <f t="shared" si="654"/>
        <v>160</v>
      </c>
      <c r="T757" s="22">
        <f>SUM(T732:T756)</f>
        <v>0</v>
      </c>
      <c r="U757" s="30">
        <f>SUM(U732:U756)</f>
        <v>0</v>
      </c>
      <c r="V757" s="23">
        <f>SUM(V732:V756)</f>
        <v>0</v>
      </c>
      <c r="W757" s="24">
        <f>SUM(W732:W756)</f>
        <v>0</v>
      </c>
      <c r="X757" s="48">
        <f t="shared" si="655"/>
        <v>0</v>
      </c>
      <c r="Y757" s="122">
        <f t="shared" si="645"/>
        <v>160</v>
      </c>
    </row>
    <row r="758" spans="1:27" ht="14.25" thickBot="1" x14ac:dyDescent="0.2">
      <c r="A758" s="14" t="s">
        <v>9</v>
      </c>
      <c r="B758" s="25">
        <f t="shared" ref="B758:K758" si="662">B731-B757</f>
        <v>8</v>
      </c>
      <c r="C758" s="31">
        <f t="shared" si="662"/>
        <v>7</v>
      </c>
      <c r="D758" s="26">
        <f t="shared" si="662"/>
        <v>8</v>
      </c>
      <c r="E758" s="27">
        <f t="shared" si="662"/>
        <v>9</v>
      </c>
      <c r="F758" s="83">
        <f t="shared" si="662"/>
        <v>32</v>
      </c>
      <c r="G758" s="25">
        <f t="shared" si="662"/>
        <v>6</v>
      </c>
      <c r="H758" s="31">
        <f t="shared" si="662"/>
        <v>10</v>
      </c>
      <c r="I758" s="26">
        <f t="shared" si="662"/>
        <v>8</v>
      </c>
      <c r="J758" s="27">
        <f t="shared" si="662"/>
        <v>6</v>
      </c>
      <c r="K758" s="83">
        <f t="shared" si="662"/>
        <v>30</v>
      </c>
      <c r="L758" s="102">
        <f t="shared" si="639"/>
        <v>62</v>
      </c>
      <c r="N758" s="13" t="s">
        <v>9</v>
      </c>
      <c r="O758" s="25">
        <f t="shared" ref="O758:X758" si="663">O731-O757</f>
        <v>52</v>
      </c>
      <c r="P758" s="31">
        <f t="shared" si="663"/>
        <v>122</v>
      </c>
      <c r="Q758" s="26">
        <f t="shared" si="663"/>
        <v>120</v>
      </c>
      <c r="R758" s="27">
        <f t="shared" si="663"/>
        <v>187</v>
      </c>
      <c r="S758" s="36">
        <f t="shared" si="663"/>
        <v>481</v>
      </c>
      <c r="T758" s="25">
        <f t="shared" si="663"/>
        <v>113</v>
      </c>
      <c r="U758" s="31">
        <f t="shared" si="663"/>
        <v>121</v>
      </c>
      <c r="V758" s="26">
        <f t="shared" si="663"/>
        <v>95</v>
      </c>
      <c r="W758" s="27">
        <f t="shared" si="663"/>
        <v>117</v>
      </c>
      <c r="X758" s="36">
        <f t="shared" si="663"/>
        <v>446</v>
      </c>
      <c r="Y758" s="102">
        <f t="shared" si="645"/>
        <v>927</v>
      </c>
    </row>
    <row r="759" spans="1:27" x14ac:dyDescent="0.15">
      <c r="N759" s="190" t="s">
        <v>313</v>
      </c>
      <c r="O759" s="71">
        <f>O758/$S$758*100</f>
        <v>10.810810810810811</v>
      </c>
      <c r="P759" s="71">
        <f t="shared" ref="P759:S759" si="664">P758/$S$758*100</f>
        <v>25.363825363825367</v>
      </c>
      <c r="Q759" s="71">
        <f t="shared" si="664"/>
        <v>24.948024948024951</v>
      </c>
      <c r="R759" s="71">
        <f t="shared" si="664"/>
        <v>38.877338877338879</v>
      </c>
      <c r="S759" s="71">
        <f t="shared" si="664"/>
        <v>100</v>
      </c>
    </row>
    <row r="760" spans="1:27" x14ac:dyDescent="0.15">
      <c r="N760" s="305" t="s">
        <v>597</v>
      </c>
      <c r="O760" s="116">
        <v>17.100000000000001</v>
      </c>
      <c r="P760" s="116">
        <v>30.4</v>
      </c>
      <c r="Q760" s="116">
        <v>24.1</v>
      </c>
      <c r="R760" s="149">
        <v>28.4</v>
      </c>
      <c r="S760" s="149">
        <f>SUM(O760:R760)</f>
        <v>100</v>
      </c>
    </row>
    <row r="761" spans="1:27" ht="19.5" thickBot="1" x14ac:dyDescent="0.25">
      <c r="A761" s="2" t="s">
        <v>18</v>
      </c>
      <c r="B761" s="2"/>
      <c r="C761" s="1"/>
      <c r="D761" s="1"/>
      <c r="E761" s="1"/>
      <c r="F761" s="84"/>
      <c r="G761" s="2"/>
      <c r="H761" s="1" t="s">
        <v>157</v>
      </c>
      <c r="I761" s="1"/>
      <c r="J761" s="1"/>
      <c r="K761" s="84" t="s">
        <v>13</v>
      </c>
      <c r="L761" s="84"/>
      <c r="N761" s="2" t="s">
        <v>19</v>
      </c>
      <c r="O761" s="71"/>
      <c r="P761" s="71"/>
      <c r="Q761" s="71"/>
      <c r="R761" s="71"/>
      <c r="S761" s="84"/>
      <c r="T761" s="1" t="s">
        <v>157</v>
      </c>
      <c r="U761" s="71"/>
      <c r="V761" s="71"/>
      <c r="W761" s="71"/>
      <c r="X761" s="84" t="s">
        <v>13</v>
      </c>
    </row>
    <row r="762" spans="1:27" ht="14.25" thickBot="1" x14ac:dyDescent="0.2">
      <c r="A762" s="5" t="s">
        <v>0</v>
      </c>
      <c r="B762" s="322" t="s">
        <v>32</v>
      </c>
      <c r="C762" s="323"/>
      <c r="D762" s="323"/>
      <c r="E762" s="323"/>
      <c r="F762" s="324"/>
      <c r="G762" s="325" t="s">
        <v>31</v>
      </c>
      <c r="H762" s="326"/>
      <c r="I762" s="326"/>
      <c r="J762" s="326"/>
      <c r="K762" s="327"/>
      <c r="L762" s="320" t="s">
        <v>30</v>
      </c>
      <c r="N762" s="5" t="s">
        <v>0</v>
      </c>
      <c r="O762" s="322" t="s">
        <v>200</v>
      </c>
      <c r="P762" s="323"/>
      <c r="Q762" s="323"/>
      <c r="R762" s="323"/>
      <c r="S762" s="324"/>
      <c r="T762" s="325" t="s">
        <v>201</v>
      </c>
      <c r="U762" s="326"/>
      <c r="V762" s="326"/>
      <c r="W762" s="326"/>
      <c r="X762" s="327"/>
      <c r="Y762" s="320" t="s">
        <v>30</v>
      </c>
    </row>
    <row r="763" spans="1:27" ht="14.25" thickBot="1" x14ac:dyDescent="0.2">
      <c r="A763" s="5" t="s">
        <v>1</v>
      </c>
      <c r="B763" s="3" t="s">
        <v>22</v>
      </c>
      <c r="C763" s="28" t="s">
        <v>23</v>
      </c>
      <c r="D763" s="4" t="s">
        <v>24</v>
      </c>
      <c r="E763" s="15" t="s">
        <v>25</v>
      </c>
      <c r="F763" s="19" t="s">
        <v>2</v>
      </c>
      <c r="G763" s="3" t="s">
        <v>22</v>
      </c>
      <c r="H763" s="28" t="s">
        <v>23</v>
      </c>
      <c r="I763" s="4" t="s">
        <v>24</v>
      </c>
      <c r="J763" s="15" t="s">
        <v>25</v>
      </c>
      <c r="K763" s="19" t="s">
        <v>2</v>
      </c>
      <c r="L763" s="321"/>
      <c r="N763" s="5" t="s">
        <v>1</v>
      </c>
      <c r="O763" s="3" t="s">
        <v>22</v>
      </c>
      <c r="P763" s="28" t="s">
        <v>23</v>
      </c>
      <c r="Q763" s="4" t="s">
        <v>24</v>
      </c>
      <c r="R763" s="15" t="s">
        <v>25</v>
      </c>
      <c r="S763" s="19" t="s">
        <v>2</v>
      </c>
      <c r="T763" s="3" t="s">
        <v>22</v>
      </c>
      <c r="U763" s="28" t="s">
        <v>23</v>
      </c>
      <c r="V763" s="4" t="s">
        <v>24</v>
      </c>
      <c r="W763" s="15" t="s">
        <v>25</v>
      </c>
      <c r="X763" s="19" t="s">
        <v>2</v>
      </c>
      <c r="Y763" s="321"/>
    </row>
    <row r="764" spans="1:27" x14ac:dyDescent="0.15">
      <c r="A764" s="78" t="s">
        <v>10</v>
      </c>
      <c r="B764" s="79">
        <f>B758</f>
        <v>8</v>
      </c>
      <c r="C764" s="80">
        <f>C758</f>
        <v>7</v>
      </c>
      <c r="D764" s="80">
        <f>D758</f>
        <v>8</v>
      </c>
      <c r="E764" s="81">
        <f>E758</f>
        <v>9</v>
      </c>
      <c r="F764" s="82">
        <f>SUM(B764:E764)</f>
        <v>32</v>
      </c>
      <c r="G764" s="79">
        <f>G758</f>
        <v>6</v>
      </c>
      <c r="H764" s="80">
        <f>H758</f>
        <v>10</v>
      </c>
      <c r="I764" s="80">
        <f>I758</f>
        <v>8</v>
      </c>
      <c r="J764" s="81">
        <f>J758</f>
        <v>6</v>
      </c>
      <c r="K764" s="82">
        <f>SUM(G764:J764)</f>
        <v>30</v>
      </c>
      <c r="L764" s="98">
        <f t="shared" ref="L764:L796" si="665">F764+K764</f>
        <v>62</v>
      </c>
      <c r="N764" s="78" t="s">
        <v>10</v>
      </c>
      <c r="O764" s="79">
        <f>O758</f>
        <v>52</v>
      </c>
      <c r="P764" s="80">
        <f>P758</f>
        <v>122</v>
      </c>
      <c r="Q764" s="80">
        <f>Q758</f>
        <v>120</v>
      </c>
      <c r="R764" s="81">
        <f>R758</f>
        <v>187</v>
      </c>
      <c r="S764" s="82">
        <f>SUM(O764:R764)</f>
        <v>481</v>
      </c>
      <c r="T764" s="79">
        <f>T758</f>
        <v>113</v>
      </c>
      <c r="U764" s="80">
        <f>U758</f>
        <v>121</v>
      </c>
      <c r="V764" s="80">
        <f>V758</f>
        <v>95</v>
      </c>
      <c r="W764" s="81">
        <f>W758</f>
        <v>117</v>
      </c>
      <c r="X764" s="82">
        <f>SUM(T764:W764)</f>
        <v>446</v>
      </c>
      <c r="Y764" s="98">
        <f>S764+X764</f>
        <v>927</v>
      </c>
    </row>
    <row r="765" spans="1:27" x14ac:dyDescent="0.15">
      <c r="A765" s="47" t="s">
        <v>3</v>
      </c>
      <c r="B765" s="51"/>
      <c r="C765" s="52"/>
      <c r="D765" s="53"/>
      <c r="E765" s="54"/>
      <c r="F765" s="61">
        <f>SUM(B765:E765)</f>
        <v>0</v>
      </c>
      <c r="G765" s="51"/>
      <c r="H765" s="52"/>
      <c r="I765" s="53"/>
      <c r="J765" s="54"/>
      <c r="K765" s="61">
        <f>SUM(G765:J765)</f>
        <v>0</v>
      </c>
      <c r="L765" s="99">
        <f t="shared" si="665"/>
        <v>0</v>
      </c>
      <c r="N765" s="12" t="s">
        <v>11</v>
      </c>
      <c r="O765" s="16"/>
      <c r="P765" s="29"/>
      <c r="Q765" s="17"/>
      <c r="R765" s="20"/>
      <c r="S765" s="45">
        <f t="shared" ref="S765" si="666">SUM(O765:R765)</f>
        <v>0</v>
      </c>
      <c r="T765" s="16"/>
      <c r="U765" s="29"/>
      <c r="V765" s="17"/>
      <c r="W765" s="20"/>
      <c r="X765" s="45">
        <f t="shared" ref="X765" si="667">SUM(T765:W765)</f>
        <v>0</v>
      </c>
      <c r="Y765" s="100">
        <f t="shared" ref="Y765" si="668">S765+X765</f>
        <v>0</v>
      </c>
      <c r="Z765" s="228"/>
    </row>
    <row r="766" spans="1:27" x14ac:dyDescent="0.15">
      <c r="A766" s="12" t="s">
        <v>4</v>
      </c>
      <c r="B766" s="6"/>
      <c r="C766" s="18"/>
      <c r="D766" s="7"/>
      <c r="E766" s="8"/>
      <c r="F766" s="9">
        <f>SUM(B766:E766)</f>
        <v>0</v>
      </c>
      <c r="G766" s="6"/>
      <c r="H766" s="18"/>
      <c r="I766" s="7"/>
      <c r="J766" s="8"/>
      <c r="K766" s="9">
        <f>SUM(G766:J766)</f>
        <v>0</v>
      </c>
      <c r="L766" s="100">
        <f t="shared" si="665"/>
        <v>0</v>
      </c>
      <c r="N766" s="90" t="s">
        <v>840</v>
      </c>
      <c r="O766" s="91">
        <v>80</v>
      </c>
      <c r="P766" s="92">
        <v>100</v>
      </c>
      <c r="Q766" s="93">
        <v>70</v>
      </c>
      <c r="R766" s="94">
        <v>50</v>
      </c>
      <c r="S766" s="95">
        <f t="shared" ref="S766:S768" si="669">SUM(O766:R766)</f>
        <v>300</v>
      </c>
      <c r="T766" s="91"/>
      <c r="U766" s="92"/>
      <c r="V766" s="93"/>
      <c r="W766" s="94"/>
      <c r="X766" s="95">
        <f t="shared" ref="X766:X768" si="670">SUM(T766:W766)</f>
        <v>0</v>
      </c>
      <c r="Y766" s="106">
        <f t="shared" ref="Y766:Y796" si="671">S766+X766</f>
        <v>300</v>
      </c>
      <c r="Z766" s="159">
        <v>46204</v>
      </c>
      <c r="AA766" s="50"/>
    </row>
    <row r="767" spans="1:27" x14ac:dyDescent="0.15">
      <c r="A767" s="12" t="s">
        <v>5</v>
      </c>
      <c r="B767" s="6"/>
      <c r="C767" s="18"/>
      <c r="D767" s="7"/>
      <c r="E767" s="8"/>
      <c r="F767" s="9">
        <f>SUM(B767:E767)</f>
        <v>0</v>
      </c>
      <c r="G767" s="6"/>
      <c r="H767" s="18"/>
      <c r="I767" s="7"/>
      <c r="J767" s="8"/>
      <c r="K767" s="9">
        <f>SUM(G767:J767)</f>
        <v>0</v>
      </c>
      <c r="L767" s="100">
        <f t="shared" si="665"/>
        <v>0</v>
      </c>
      <c r="N767" s="90" t="s">
        <v>268</v>
      </c>
      <c r="O767" s="91">
        <v>7</v>
      </c>
      <c r="P767" s="92">
        <v>4</v>
      </c>
      <c r="Q767" s="93">
        <v>8</v>
      </c>
      <c r="R767" s="94">
        <v>9</v>
      </c>
      <c r="S767" s="95">
        <f t="shared" ref="S767" si="672">SUM(O767:R767)</f>
        <v>28</v>
      </c>
      <c r="T767" s="91"/>
      <c r="U767" s="92"/>
      <c r="V767" s="93"/>
      <c r="W767" s="94"/>
      <c r="X767" s="95">
        <f t="shared" ref="X767" si="673">SUM(T767:W767)</f>
        <v>0</v>
      </c>
      <c r="Y767" s="106">
        <f t="shared" ref="Y767" si="674">S767+X767</f>
        <v>28</v>
      </c>
      <c r="Z767" s="159">
        <v>46220</v>
      </c>
      <c r="AA767" s="50"/>
    </row>
    <row r="768" spans="1:27" ht="14.25" thickBot="1" x14ac:dyDescent="0.2">
      <c r="A768" s="12" t="s">
        <v>6</v>
      </c>
      <c r="B768" s="6"/>
      <c r="C768" s="18"/>
      <c r="D768" s="7"/>
      <c r="E768" s="8"/>
      <c r="F768" s="10">
        <f>SUM(B768:E768)</f>
        <v>0</v>
      </c>
      <c r="G768" s="6"/>
      <c r="H768" s="18"/>
      <c r="I768" s="7"/>
      <c r="J768" s="8"/>
      <c r="K768" s="10">
        <f>SUM(G768:J768)</f>
        <v>0</v>
      </c>
      <c r="L768" s="101">
        <f t="shared" si="665"/>
        <v>0</v>
      </c>
      <c r="N768" s="12" t="s">
        <v>6</v>
      </c>
      <c r="O768" s="16"/>
      <c r="P768" s="29"/>
      <c r="Q768" s="17"/>
      <c r="R768" s="20"/>
      <c r="S768" s="45">
        <f t="shared" si="669"/>
        <v>0</v>
      </c>
      <c r="T768" s="16"/>
      <c r="U768" s="29"/>
      <c r="V768" s="17"/>
      <c r="W768" s="20"/>
      <c r="X768" s="45">
        <f t="shared" si="670"/>
        <v>0</v>
      </c>
      <c r="Y768" s="100">
        <f t="shared" si="671"/>
        <v>0</v>
      </c>
      <c r="Z768" s="56"/>
      <c r="AA768" s="50"/>
    </row>
    <row r="769" spans="1:25" ht="14.25" thickBot="1" x14ac:dyDescent="0.2">
      <c r="A769" s="14" t="s">
        <v>7</v>
      </c>
      <c r="B769" s="62">
        <f t="shared" ref="B769:K769" si="675">SUM(B764:B768)</f>
        <v>8</v>
      </c>
      <c r="C769" s="63">
        <f t="shared" si="675"/>
        <v>7</v>
      </c>
      <c r="D769" s="64">
        <f t="shared" si="675"/>
        <v>8</v>
      </c>
      <c r="E769" s="65">
        <f t="shared" si="675"/>
        <v>9</v>
      </c>
      <c r="F769" s="66">
        <f t="shared" si="675"/>
        <v>32</v>
      </c>
      <c r="G769" s="62">
        <f t="shared" si="675"/>
        <v>6</v>
      </c>
      <c r="H769" s="63">
        <f t="shared" si="675"/>
        <v>10</v>
      </c>
      <c r="I769" s="64">
        <f t="shared" si="675"/>
        <v>8</v>
      </c>
      <c r="J769" s="65">
        <f t="shared" si="675"/>
        <v>6</v>
      </c>
      <c r="K769" s="66">
        <f t="shared" si="675"/>
        <v>30</v>
      </c>
      <c r="L769" s="102">
        <f t="shared" si="665"/>
        <v>62</v>
      </c>
      <c r="N769" s="13" t="s">
        <v>7</v>
      </c>
      <c r="O769" s="25">
        <f t="shared" ref="O769:X769" si="676">SUM(O764:O768)</f>
        <v>139</v>
      </c>
      <c r="P769" s="31">
        <f t="shared" si="676"/>
        <v>226</v>
      </c>
      <c r="Q769" s="26">
        <f t="shared" si="676"/>
        <v>198</v>
      </c>
      <c r="R769" s="67">
        <f t="shared" si="676"/>
        <v>246</v>
      </c>
      <c r="S769" s="68">
        <f t="shared" si="676"/>
        <v>809</v>
      </c>
      <c r="T769" s="25">
        <f t="shared" si="676"/>
        <v>113</v>
      </c>
      <c r="U769" s="31">
        <f t="shared" si="676"/>
        <v>121</v>
      </c>
      <c r="V769" s="26">
        <f t="shared" si="676"/>
        <v>95</v>
      </c>
      <c r="W769" s="67">
        <f t="shared" si="676"/>
        <v>117</v>
      </c>
      <c r="X769" s="68">
        <f t="shared" si="676"/>
        <v>446</v>
      </c>
      <c r="Y769" s="102">
        <f t="shared" si="671"/>
        <v>1255</v>
      </c>
    </row>
    <row r="770" spans="1:25" x14ac:dyDescent="0.15">
      <c r="A770" s="47"/>
      <c r="B770" s="41"/>
      <c r="C770" s="42"/>
      <c r="D770" s="43"/>
      <c r="E770" s="44"/>
      <c r="F770" s="70">
        <f t="shared" ref="F770:F795" si="677">SUM(B770:E770)</f>
        <v>0</v>
      </c>
      <c r="G770" s="41"/>
      <c r="H770" s="42"/>
      <c r="I770" s="43"/>
      <c r="J770" s="44"/>
      <c r="K770" s="70">
        <f t="shared" ref="K770:K795" si="678">SUM(G770:J770)</f>
        <v>0</v>
      </c>
      <c r="L770" s="103">
        <f t="shared" si="665"/>
        <v>0</v>
      </c>
      <c r="N770" s="33"/>
      <c r="O770" s="16"/>
      <c r="P770" s="29"/>
      <c r="Q770" s="17"/>
      <c r="R770" s="32"/>
      <c r="S770" s="9">
        <f t="shared" ref="S770:S775" si="679">SUM(O770:R770)</f>
        <v>0</v>
      </c>
      <c r="T770" s="16"/>
      <c r="U770" s="29"/>
      <c r="V770" s="17"/>
      <c r="W770" s="32"/>
      <c r="X770" s="9">
        <f t="shared" ref="X770:X775" si="680">SUM(T770:W770)</f>
        <v>0</v>
      </c>
      <c r="Y770" s="103">
        <f t="shared" si="671"/>
        <v>0</v>
      </c>
    </row>
    <row r="771" spans="1:25" x14ac:dyDescent="0.15">
      <c r="A771" s="47"/>
      <c r="B771" s="16"/>
      <c r="C771" s="29"/>
      <c r="D771" s="17"/>
      <c r="E771" s="20"/>
      <c r="F771" s="45">
        <f t="shared" si="677"/>
        <v>0</v>
      </c>
      <c r="G771" s="16"/>
      <c r="H771" s="29"/>
      <c r="I771" s="17"/>
      <c r="J771" s="20"/>
      <c r="K771" s="45">
        <f t="shared" si="678"/>
        <v>0</v>
      </c>
      <c r="L771" s="104">
        <f t="shared" si="665"/>
        <v>0</v>
      </c>
      <c r="N771" s="33"/>
      <c r="O771" s="16"/>
      <c r="P771" s="29"/>
      <c r="Q771" s="17"/>
      <c r="R771" s="32"/>
      <c r="S771" s="9">
        <f t="shared" si="679"/>
        <v>0</v>
      </c>
      <c r="T771" s="16"/>
      <c r="U771" s="29"/>
      <c r="V771" s="17"/>
      <c r="W771" s="32"/>
      <c r="X771" s="9">
        <f t="shared" si="680"/>
        <v>0</v>
      </c>
      <c r="Y771" s="104">
        <f t="shared" si="671"/>
        <v>0</v>
      </c>
    </row>
    <row r="772" spans="1:25" x14ac:dyDescent="0.15">
      <c r="A772" s="47"/>
      <c r="B772" s="16"/>
      <c r="C772" s="29"/>
      <c r="D772" s="17"/>
      <c r="E772" s="20"/>
      <c r="F772" s="45">
        <f t="shared" si="677"/>
        <v>0</v>
      </c>
      <c r="G772" s="16"/>
      <c r="H772" s="29"/>
      <c r="I772" s="17"/>
      <c r="J772" s="20"/>
      <c r="K772" s="45">
        <f t="shared" si="678"/>
        <v>0</v>
      </c>
      <c r="L772" s="104">
        <f t="shared" si="665"/>
        <v>0</v>
      </c>
      <c r="N772" s="33"/>
      <c r="O772" s="16"/>
      <c r="P772" s="29"/>
      <c r="Q772" s="17"/>
      <c r="R772" s="32"/>
      <c r="S772" s="9">
        <f t="shared" si="679"/>
        <v>0</v>
      </c>
      <c r="T772" s="16"/>
      <c r="U772" s="29"/>
      <c r="V772" s="17"/>
      <c r="W772" s="32"/>
      <c r="X772" s="9">
        <f t="shared" si="680"/>
        <v>0</v>
      </c>
      <c r="Y772" s="104">
        <f t="shared" si="671"/>
        <v>0</v>
      </c>
    </row>
    <row r="773" spans="1:25" x14ac:dyDescent="0.15">
      <c r="A773" s="47"/>
      <c r="B773" s="16"/>
      <c r="C773" s="29"/>
      <c r="D773" s="17"/>
      <c r="E773" s="20"/>
      <c r="F773" s="45">
        <f t="shared" si="677"/>
        <v>0</v>
      </c>
      <c r="G773" s="16"/>
      <c r="H773" s="29"/>
      <c r="I773" s="17"/>
      <c r="J773" s="20"/>
      <c r="K773" s="45">
        <f t="shared" si="678"/>
        <v>0</v>
      </c>
      <c r="L773" s="104">
        <f t="shared" si="665"/>
        <v>0</v>
      </c>
      <c r="N773" s="33"/>
      <c r="O773" s="16"/>
      <c r="P773" s="29"/>
      <c r="Q773" s="17"/>
      <c r="R773" s="32"/>
      <c r="S773" s="9">
        <f t="shared" si="679"/>
        <v>0</v>
      </c>
      <c r="T773" s="16"/>
      <c r="U773" s="29"/>
      <c r="V773" s="17"/>
      <c r="W773" s="32"/>
      <c r="X773" s="9">
        <f t="shared" si="680"/>
        <v>0</v>
      </c>
      <c r="Y773" s="104">
        <f t="shared" si="671"/>
        <v>0</v>
      </c>
    </row>
    <row r="774" spans="1:25" x14ac:dyDescent="0.15">
      <c r="A774" s="47"/>
      <c r="B774" s="16"/>
      <c r="C774" s="29"/>
      <c r="D774" s="17"/>
      <c r="E774" s="20"/>
      <c r="F774" s="45">
        <f t="shared" si="677"/>
        <v>0</v>
      </c>
      <c r="G774" s="16"/>
      <c r="H774" s="29"/>
      <c r="I774" s="17"/>
      <c r="J774" s="20"/>
      <c r="K774" s="45">
        <f t="shared" si="678"/>
        <v>0</v>
      </c>
      <c r="L774" s="104">
        <f t="shared" si="665"/>
        <v>0</v>
      </c>
      <c r="N774" s="33"/>
      <c r="O774" s="16"/>
      <c r="P774" s="29"/>
      <c r="Q774" s="17"/>
      <c r="R774" s="32"/>
      <c r="S774" s="9">
        <f t="shared" si="679"/>
        <v>0</v>
      </c>
      <c r="T774" s="16"/>
      <c r="U774" s="29"/>
      <c r="V774" s="17"/>
      <c r="W774" s="32"/>
      <c r="X774" s="9">
        <f t="shared" si="680"/>
        <v>0</v>
      </c>
      <c r="Y774" s="104">
        <f t="shared" si="671"/>
        <v>0</v>
      </c>
    </row>
    <row r="775" spans="1:25" x14ac:dyDescent="0.15">
      <c r="A775" s="47"/>
      <c r="B775" s="16"/>
      <c r="C775" s="29"/>
      <c r="D775" s="17"/>
      <c r="E775" s="20"/>
      <c r="F775" s="45">
        <f t="shared" si="677"/>
        <v>0</v>
      </c>
      <c r="G775" s="16"/>
      <c r="H775" s="29"/>
      <c r="I775" s="17"/>
      <c r="J775" s="20"/>
      <c r="K775" s="45">
        <f t="shared" si="678"/>
        <v>0</v>
      </c>
      <c r="L775" s="104">
        <f t="shared" si="665"/>
        <v>0</v>
      </c>
      <c r="N775" s="33"/>
      <c r="O775" s="16"/>
      <c r="P775" s="29"/>
      <c r="Q775" s="17"/>
      <c r="R775" s="32"/>
      <c r="S775" s="9">
        <f t="shared" si="679"/>
        <v>0</v>
      </c>
      <c r="T775" s="16"/>
      <c r="U775" s="29"/>
      <c r="V775" s="17"/>
      <c r="W775" s="32"/>
      <c r="X775" s="9">
        <f t="shared" si="680"/>
        <v>0</v>
      </c>
      <c r="Y775" s="104">
        <f t="shared" si="671"/>
        <v>0</v>
      </c>
    </row>
    <row r="776" spans="1:25" x14ac:dyDescent="0.15">
      <c r="A776" s="47"/>
      <c r="B776" s="16"/>
      <c r="C776" s="29"/>
      <c r="D776" s="17"/>
      <c r="E776" s="20"/>
      <c r="F776" s="45">
        <f t="shared" si="677"/>
        <v>0</v>
      </c>
      <c r="G776" s="16"/>
      <c r="H776" s="29"/>
      <c r="I776" s="17"/>
      <c r="J776" s="20"/>
      <c r="K776" s="45">
        <f t="shared" si="678"/>
        <v>0</v>
      </c>
      <c r="L776" s="104">
        <f t="shared" si="665"/>
        <v>0</v>
      </c>
      <c r="N776" s="33"/>
      <c r="O776" s="16"/>
      <c r="P776" s="29"/>
      <c r="Q776" s="17"/>
      <c r="R776" s="32"/>
      <c r="S776" s="9">
        <f>SUM(O776:R776)</f>
        <v>0</v>
      </c>
      <c r="T776" s="16"/>
      <c r="U776" s="29"/>
      <c r="V776" s="17"/>
      <c r="W776" s="32"/>
      <c r="X776" s="9">
        <f>SUM(T776:W776)</f>
        <v>0</v>
      </c>
      <c r="Y776" s="104">
        <f t="shared" si="671"/>
        <v>0</v>
      </c>
    </row>
    <row r="777" spans="1:25" x14ac:dyDescent="0.15">
      <c r="A777" s="47"/>
      <c r="B777" s="16"/>
      <c r="C777" s="29"/>
      <c r="D777" s="17"/>
      <c r="E777" s="20"/>
      <c r="F777" s="45">
        <f t="shared" si="677"/>
        <v>0</v>
      </c>
      <c r="G777" s="16"/>
      <c r="H777" s="29"/>
      <c r="I777" s="17"/>
      <c r="J777" s="20"/>
      <c r="K777" s="45">
        <f t="shared" si="678"/>
        <v>0</v>
      </c>
      <c r="L777" s="104">
        <f t="shared" si="665"/>
        <v>0</v>
      </c>
      <c r="N777" s="33"/>
      <c r="O777" s="16"/>
      <c r="P777" s="29"/>
      <c r="Q777" s="17"/>
      <c r="R777" s="32"/>
      <c r="S777" s="9">
        <f t="shared" ref="S777:S781" si="681">SUM(O777:R777)</f>
        <v>0</v>
      </c>
      <c r="T777" s="16"/>
      <c r="U777" s="29"/>
      <c r="V777" s="17"/>
      <c r="W777" s="32"/>
      <c r="X777" s="9">
        <f t="shared" ref="X777:X781" si="682">SUM(T777:W777)</f>
        <v>0</v>
      </c>
      <c r="Y777" s="104">
        <f t="shared" si="671"/>
        <v>0</v>
      </c>
    </row>
    <row r="778" spans="1:25" x14ac:dyDescent="0.15">
      <c r="A778" s="47"/>
      <c r="B778" s="16"/>
      <c r="C778" s="29"/>
      <c r="D778" s="17"/>
      <c r="E778" s="20"/>
      <c r="F778" s="45">
        <f t="shared" si="677"/>
        <v>0</v>
      </c>
      <c r="G778" s="16"/>
      <c r="H778" s="29"/>
      <c r="I778" s="17"/>
      <c r="J778" s="20"/>
      <c r="K778" s="45">
        <f t="shared" si="678"/>
        <v>0</v>
      </c>
      <c r="L778" s="104">
        <f t="shared" si="665"/>
        <v>0</v>
      </c>
      <c r="N778" s="33"/>
      <c r="O778" s="16"/>
      <c r="P778" s="29"/>
      <c r="Q778" s="17"/>
      <c r="R778" s="32"/>
      <c r="S778" s="9">
        <f t="shared" si="681"/>
        <v>0</v>
      </c>
      <c r="T778" s="16"/>
      <c r="U778" s="29"/>
      <c r="V778" s="17"/>
      <c r="W778" s="32"/>
      <c r="X778" s="9">
        <f t="shared" si="682"/>
        <v>0</v>
      </c>
      <c r="Y778" s="104">
        <f t="shared" si="671"/>
        <v>0</v>
      </c>
    </row>
    <row r="779" spans="1:25" x14ac:dyDescent="0.15">
      <c r="A779" s="33"/>
      <c r="B779" s="16"/>
      <c r="C779" s="29"/>
      <c r="D779" s="17"/>
      <c r="E779" s="20"/>
      <c r="F779" s="45">
        <f t="shared" si="677"/>
        <v>0</v>
      </c>
      <c r="G779" s="16"/>
      <c r="H779" s="29"/>
      <c r="I779" s="17"/>
      <c r="J779" s="20"/>
      <c r="K779" s="45">
        <f t="shared" si="678"/>
        <v>0</v>
      </c>
      <c r="L779" s="104">
        <f t="shared" si="665"/>
        <v>0</v>
      </c>
      <c r="N779" s="33"/>
      <c r="O779" s="16"/>
      <c r="P779" s="29"/>
      <c r="Q779" s="17"/>
      <c r="R779" s="32"/>
      <c r="S779" s="9">
        <f t="shared" si="681"/>
        <v>0</v>
      </c>
      <c r="T779" s="16"/>
      <c r="U779" s="29"/>
      <c r="V779" s="17"/>
      <c r="W779" s="32"/>
      <c r="X779" s="9">
        <f t="shared" si="682"/>
        <v>0</v>
      </c>
      <c r="Y779" s="104">
        <f t="shared" si="671"/>
        <v>0</v>
      </c>
    </row>
    <row r="780" spans="1:25" x14ac:dyDescent="0.15">
      <c r="A780" s="47"/>
      <c r="B780" s="16"/>
      <c r="C780" s="29"/>
      <c r="D780" s="17"/>
      <c r="E780" s="20"/>
      <c r="F780" s="45">
        <f t="shared" si="677"/>
        <v>0</v>
      </c>
      <c r="G780" s="16"/>
      <c r="H780" s="29"/>
      <c r="I780" s="17"/>
      <c r="J780" s="20"/>
      <c r="K780" s="45">
        <f t="shared" si="678"/>
        <v>0</v>
      </c>
      <c r="L780" s="104">
        <f t="shared" si="665"/>
        <v>0</v>
      </c>
      <c r="N780" s="33"/>
      <c r="O780" s="16"/>
      <c r="P780" s="29"/>
      <c r="Q780" s="17"/>
      <c r="R780" s="32"/>
      <c r="S780" s="9">
        <f t="shared" si="681"/>
        <v>0</v>
      </c>
      <c r="T780" s="16"/>
      <c r="U780" s="29"/>
      <c r="V780" s="17"/>
      <c r="W780" s="32"/>
      <c r="X780" s="9">
        <f t="shared" si="682"/>
        <v>0</v>
      </c>
      <c r="Y780" s="104">
        <f t="shared" si="671"/>
        <v>0</v>
      </c>
    </row>
    <row r="781" spans="1:25" x14ac:dyDescent="0.15">
      <c r="A781" s="47"/>
      <c r="B781" s="16"/>
      <c r="C781" s="29"/>
      <c r="D781" s="17"/>
      <c r="E781" s="20"/>
      <c r="F781" s="45">
        <f t="shared" si="677"/>
        <v>0</v>
      </c>
      <c r="G781" s="16"/>
      <c r="H781" s="29"/>
      <c r="I781" s="17"/>
      <c r="J781" s="20"/>
      <c r="K781" s="45">
        <f t="shared" si="678"/>
        <v>0</v>
      </c>
      <c r="L781" s="104">
        <f t="shared" si="665"/>
        <v>0</v>
      </c>
      <c r="N781" s="72"/>
      <c r="O781" s="16"/>
      <c r="P781" s="29"/>
      <c r="Q781" s="17"/>
      <c r="R781" s="32"/>
      <c r="S781" s="9">
        <f t="shared" si="681"/>
        <v>0</v>
      </c>
      <c r="T781" s="16"/>
      <c r="U781" s="29"/>
      <c r="V781" s="17"/>
      <c r="W781" s="32"/>
      <c r="X781" s="9">
        <f t="shared" si="682"/>
        <v>0</v>
      </c>
      <c r="Y781" s="104">
        <f t="shared" si="671"/>
        <v>0</v>
      </c>
    </row>
    <row r="782" spans="1:25" x14ac:dyDescent="0.15">
      <c r="A782" s="47"/>
      <c r="B782" s="16"/>
      <c r="C782" s="29"/>
      <c r="D782" s="17"/>
      <c r="E782" s="20"/>
      <c r="F782" s="45">
        <f t="shared" si="677"/>
        <v>0</v>
      </c>
      <c r="G782" s="16"/>
      <c r="H782" s="29"/>
      <c r="I782" s="17"/>
      <c r="J782" s="20"/>
      <c r="K782" s="45">
        <f t="shared" si="678"/>
        <v>0</v>
      </c>
      <c r="L782" s="104">
        <f t="shared" si="665"/>
        <v>0</v>
      </c>
      <c r="N782" s="33"/>
      <c r="O782" s="16"/>
      <c r="P782" s="29"/>
      <c r="Q782" s="17"/>
      <c r="R782" s="32"/>
      <c r="S782" s="9">
        <f>SUM(O782:R782)</f>
        <v>0</v>
      </c>
      <c r="T782" s="16"/>
      <c r="U782" s="29"/>
      <c r="V782" s="17"/>
      <c r="W782" s="32"/>
      <c r="X782" s="9">
        <f>SUM(T782:W782)</f>
        <v>0</v>
      </c>
      <c r="Y782" s="104">
        <f t="shared" si="671"/>
        <v>0</v>
      </c>
    </row>
    <row r="783" spans="1:25" x14ac:dyDescent="0.15">
      <c r="A783" s="47"/>
      <c r="B783" s="16"/>
      <c r="C783" s="29"/>
      <c r="D783" s="17"/>
      <c r="E783" s="20"/>
      <c r="F783" s="45">
        <f t="shared" si="677"/>
        <v>0</v>
      </c>
      <c r="G783" s="16"/>
      <c r="H783" s="29"/>
      <c r="I783" s="17"/>
      <c r="J783" s="20"/>
      <c r="K783" s="45">
        <f t="shared" si="678"/>
        <v>0</v>
      </c>
      <c r="L783" s="104">
        <f t="shared" si="665"/>
        <v>0</v>
      </c>
      <c r="N783" s="33"/>
      <c r="O783" s="16"/>
      <c r="P783" s="29"/>
      <c r="Q783" s="17"/>
      <c r="R783" s="32"/>
      <c r="S783" s="9">
        <f t="shared" ref="S783:S784" si="683">SUM(O783:R783)</f>
        <v>0</v>
      </c>
      <c r="T783" s="16"/>
      <c r="U783" s="29"/>
      <c r="V783" s="17"/>
      <c r="W783" s="32"/>
      <c r="X783" s="9">
        <f t="shared" ref="X783:X784" si="684">SUM(T783:W783)</f>
        <v>0</v>
      </c>
      <c r="Y783" s="104">
        <f t="shared" ref="Y783:Y784" si="685">S783+X783</f>
        <v>0</v>
      </c>
    </row>
    <row r="784" spans="1:25" x14ac:dyDescent="0.15">
      <c r="A784" s="33"/>
      <c r="B784" s="16"/>
      <c r="C784" s="29"/>
      <c r="D784" s="17"/>
      <c r="E784" s="20"/>
      <c r="F784" s="45">
        <f t="shared" si="677"/>
        <v>0</v>
      </c>
      <c r="G784" s="16"/>
      <c r="H784" s="29"/>
      <c r="I784" s="17"/>
      <c r="J784" s="20"/>
      <c r="K784" s="45">
        <f t="shared" si="678"/>
        <v>0</v>
      </c>
      <c r="L784" s="104">
        <f t="shared" si="665"/>
        <v>0</v>
      </c>
      <c r="N784" s="33"/>
      <c r="O784" s="16"/>
      <c r="P784" s="29"/>
      <c r="Q784" s="17"/>
      <c r="R784" s="32"/>
      <c r="S784" s="9">
        <f t="shared" si="683"/>
        <v>0</v>
      </c>
      <c r="T784" s="16"/>
      <c r="U784" s="29"/>
      <c r="V784" s="17"/>
      <c r="W784" s="32"/>
      <c r="X784" s="9">
        <f t="shared" si="684"/>
        <v>0</v>
      </c>
      <c r="Y784" s="104">
        <f t="shared" si="685"/>
        <v>0</v>
      </c>
    </row>
    <row r="785" spans="1:26" x14ac:dyDescent="0.15">
      <c r="A785" s="47"/>
      <c r="B785" s="16"/>
      <c r="C785" s="29"/>
      <c r="D785" s="17"/>
      <c r="E785" s="20"/>
      <c r="F785" s="45">
        <f t="shared" si="677"/>
        <v>0</v>
      </c>
      <c r="G785" s="16"/>
      <c r="H785" s="29"/>
      <c r="I785" s="17"/>
      <c r="J785" s="20"/>
      <c r="K785" s="45">
        <f t="shared" si="678"/>
        <v>0</v>
      </c>
      <c r="L785" s="104">
        <f t="shared" si="665"/>
        <v>0</v>
      </c>
      <c r="N785" s="33"/>
      <c r="O785" s="16"/>
      <c r="P785" s="29"/>
      <c r="Q785" s="17"/>
      <c r="R785" s="32"/>
      <c r="S785" s="9">
        <f t="shared" ref="S785:S786" si="686">SUM(O785:R785)</f>
        <v>0</v>
      </c>
      <c r="T785" s="16"/>
      <c r="U785" s="29"/>
      <c r="V785" s="17"/>
      <c r="W785" s="32"/>
      <c r="X785" s="9">
        <f t="shared" ref="X785:X786" si="687">SUM(T785:W785)</f>
        <v>0</v>
      </c>
      <c r="Y785" s="104">
        <f t="shared" ref="Y785:Y786" si="688">S785+X785</f>
        <v>0</v>
      </c>
    </row>
    <row r="786" spans="1:26" x14ac:dyDescent="0.15">
      <c r="A786" s="47"/>
      <c r="B786" s="16"/>
      <c r="C786" s="29"/>
      <c r="D786" s="17"/>
      <c r="E786" s="20"/>
      <c r="F786" s="45">
        <f t="shared" si="677"/>
        <v>0</v>
      </c>
      <c r="G786" s="16"/>
      <c r="H786" s="29"/>
      <c r="I786" s="17"/>
      <c r="J786" s="20"/>
      <c r="K786" s="45">
        <f t="shared" si="678"/>
        <v>0</v>
      </c>
      <c r="L786" s="104">
        <f t="shared" si="665"/>
        <v>0</v>
      </c>
      <c r="N786" s="33"/>
      <c r="O786" s="16"/>
      <c r="P786" s="29"/>
      <c r="Q786" s="17"/>
      <c r="R786" s="32"/>
      <c r="S786" s="9">
        <f t="shared" si="686"/>
        <v>0</v>
      </c>
      <c r="T786" s="16"/>
      <c r="U786" s="29"/>
      <c r="V786" s="17"/>
      <c r="W786" s="32"/>
      <c r="X786" s="9">
        <f t="shared" si="687"/>
        <v>0</v>
      </c>
      <c r="Y786" s="104">
        <f t="shared" si="688"/>
        <v>0</v>
      </c>
    </row>
    <row r="787" spans="1:26" x14ac:dyDescent="0.15">
      <c r="A787" s="47"/>
      <c r="B787" s="16"/>
      <c r="C787" s="29"/>
      <c r="D787" s="17"/>
      <c r="E787" s="20"/>
      <c r="F787" s="45">
        <f t="shared" si="677"/>
        <v>0</v>
      </c>
      <c r="G787" s="16"/>
      <c r="H787" s="29"/>
      <c r="I787" s="17"/>
      <c r="J787" s="20"/>
      <c r="K787" s="45">
        <f t="shared" si="678"/>
        <v>0</v>
      </c>
      <c r="L787" s="104">
        <f t="shared" si="665"/>
        <v>0</v>
      </c>
      <c r="N787" s="33"/>
      <c r="O787" s="16"/>
      <c r="P787" s="29"/>
      <c r="Q787" s="17"/>
      <c r="R787" s="32"/>
      <c r="S787" s="9">
        <f t="shared" ref="S787:S788" si="689">SUM(O787:R787)</f>
        <v>0</v>
      </c>
      <c r="T787" s="16"/>
      <c r="U787" s="29"/>
      <c r="V787" s="17"/>
      <c r="W787" s="32"/>
      <c r="X787" s="9">
        <f t="shared" ref="X787:X788" si="690">SUM(T787:W787)</f>
        <v>0</v>
      </c>
      <c r="Y787" s="104">
        <f t="shared" ref="Y787:Y788" si="691">S787+X787</f>
        <v>0</v>
      </c>
    </row>
    <row r="788" spans="1:26" x14ac:dyDescent="0.15">
      <c r="A788" s="47"/>
      <c r="B788" s="16"/>
      <c r="C788" s="29"/>
      <c r="D788" s="17"/>
      <c r="E788" s="20"/>
      <c r="F788" s="45">
        <f t="shared" si="677"/>
        <v>0</v>
      </c>
      <c r="G788" s="16"/>
      <c r="H788" s="29"/>
      <c r="I788" s="17"/>
      <c r="J788" s="20"/>
      <c r="K788" s="45">
        <f t="shared" si="678"/>
        <v>0</v>
      </c>
      <c r="L788" s="104">
        <f t="shared" si="665"/>
        <v>0</v>
      </c>
      <c r="N788" s="33"/>
      <c r="O788" s="16"/>
      <c r="P788" s="29"/>
      <c r="Q788" s="17"/>
      <c r="R788" s="32"/>
      <c r="S788" s="9">
        <f t="shared" si="689"/>
        <v>0</v>
      </c>
      <c r="T788" s="16"/>
      <c r="U788" s="29"/>
      <c r="V788" s="17"/>
      <c r="W788" s="32"/>
      <c r="X788" s="9">
        <f t="shared" si="690"/>
        <v>0</v>
      </c>
      <c r="Y788" s="104">
        <f t="shared" si="691"/>
        <v>0</v>
      </c>
    </row>
    <row r="789" spans="1:26" x14ac:dyDescent="0.15">
      <c r="A789" s="47"/>
      <c r="B789" s="16"/>
      <c r="C789" s="29"/>
      <c r="D789" s="17"/>
      <c r="E789" s="20"/>
      <c r="F789" s="45">
        <f t="shared" si="677"/>
        <v>0</v>
      </c>
      <c r="G789" s="16"/>
      <c r="H789" s="29"/>
      <c r="I789" s="17"/>
      <c r="J789" s="20"/>
      <c r="K789" s="45">
        <f t="shared" si="678"/>
        <v>0</v>
      </c>
      <c r="L789" s="104">
        <f t="shared" si="665"/>
        <v>0</v>
      </c>
      <c r="N789" s="138" t="s">
        <v>1071</v>
      </c>
      <c r="O789" s="242"/>
      <c r="P789" s="243"/>
      <c r="Q789" s="244"/>
      <c r="R789" s="247"/>
      <c r="S789" s="215">
        <f t="shared" ref="S789:S795" si="692">SUM(O789:R789)</f>
        <v>0</v>
      </c>
      <c r="T789" s="145">
        <v>-10</v>
      </c>
      <c r="U789" s="146">
        <v>-10</v>
      </c>
      <c r="V789" s="147">
        <v>-10</v>
      </c>
      <c r="W789" s="303">
        <v>-10</v>
      </c>
      <c r="X789" s="215">
        <f t="shared" ref="X789:X795" si="693">SUM(T789:W789)</f>
        <v>-40</v>
      </c>
      <c r="Y789" s="144">
        <f t="shared" si="671"/>
        <v>-40</v>
      </c>
      <c r="Z789" s="225"/>
    </row>
    <row r="790" spans="1:26" x14ac:dyDescent="0.15">
      <c r="A790" s="47"/>
      <c r="B790" s="16"/>
      <c r="C790" s="29"/>
      <c r="D790" s="17"/>
      <c r="E790" s="20"/>
      <c r="F790" s="45">
        <f t="shared" si="677"/>
        <v>0</v>
      </c>
      <c r="G790" s="16"/>
      <c r="H790" s="29"/>
      <c r="I790" s="17"/>
      <c r="J790" s="20"/>
      <c r="K790" s="45">
        <f t="shared" si="678"/>
        <v>0</v>
      </c>
      <c r="L790" s="104">
        <f t="shared" si="665"/>
        <v>0</v>
      </c>
      <c r="N790" s="114" t="s">
        <v>1117</v>
      </c>
      <c r="O790" s="211"/>
      <c r="P790" s="212"/>
      <c r="Q790" s="213"/>
      <c r="R790" s="236"/>
      <c r="S790" s="97">
        <f t="shared" si="692"/>
        <v>0</v>
      </c>
      <c r="T790" s="91">
        <v>45</v>
      </c>
      <c r="U790" s="92">
        <v>45</v>
      </c>
      <c r="V790" s="93">
        <v>55</v>
      </c>
      <c r="W790" s="96">
        <v>50</v>
      </c>
      <c r="X790" s="97">
        <f t="shared" si="693"/>
        <v>195</v>
      </c>
      <c r="Y790" s="107">
        <f t="shared" si="671"/>
        <v>195</v>
      </c>
      <c r="Z790" s="50" t="s">
        <v>1115</v>
      </c>
    </row>
    <row r="791" spans="1:26" x14ac:dyDescent="0.15">
      <c r="A791" s="47"/>
      <c r="B791" s="16"/>
      <c r="C791" s="29"/>
      <c r="D791" s="17"/>
      <c r="E791" s="20"/>
      <c r="F791" s="45">
        <f t="shared" si="677"/>
        <v>0</v>
      </c>
      <c r="G791" s="16"/>
      <c r="H791" s="29"/>
      <c r="I791" s="17"/>
      <c r="J791" s="20"/>
      <c r="K791" s="45">
        <f t="shared" si="678"/>
        <v>0</v>
      </c>
      <c r="L791" s="104">
        <f t="shared" si="665"/>
        <v>0</v>
      </c>
      <c r="N791" s="138" t="s">
        <v>1111</v>
      </c>
      <c r="O791" s="145">
        <v>0</v>
      </c>
      <c r="P791" s="146">
        <v>0</v>
      </c>
      <c r="Q791" s="147">
        <v>0</v>
      </c>
      <c r="R791" s="247"/>
      <c r="S791" s="215">
        <f t="shared" si="692"/>
        <v>0</v>
      </c>
      <c r="T791" s="242"/>
      <c r="U791" s="243"/>
      <c r="V791" s="244"/>
      <c r="W791" s="310"/>
      <c r="X791" s="215">
        <f t="shared" si="693"/>
        <v>0</v>
      </c>
      <c r="Y791" s="144">
        <f t="shared" si="671"/>
        <v>0</v>
      </c>
      <c r="Z791" s="225"/>
    </row>
    <row r="792" spans="1:26" x14ac:dyDescent="0.15">
      <c r="A792" s="47"/>
      <c r="B792" s="16"/>
      <c r="C792" s="29"/>
      <c r="D792" s="17"/>
      <c r="E792" s="20"/>
      <c r="F792" s="45">
        <f t="shared" si="677"/>
        <v>0</v>
      </c>
      <c r="G792" s="16"/>
      <c r="H792" s="29"/>
      <c r="I792" s="17"/>
      <c r="J792" s="20"/>
      <c r="K792" s="45">
        <f t="shared" si="678"/>
        <v>0</v>
      </c>
      <c r="L792" s="104">
        <f t="shared" si="665"/>
        <v>0</v>
      </c>
      <c r="N792" s="114" t="s">
        <v>1110</v>
      </c>
      <c r="O792" s="91">
        <v>5</v>
      </c>
      <c r="P792" s="92">
        <v>10</v>
      </c>
      <c r="Q792" s="93">
        <v>15</v>
      </c>
      <c r="R792" s="236"/>
      <c r="S792" s="97">
        <f t="shared" si="692"/>
        <v>30</v>
      </c>
      <c r="T792" s="211"/>
      <c r="U792" s="212"/>
      <c r="V792" s="213"/>
      <c r="W792" s="236"/>
      <c r="X792" s="97">
        <f t="shared" si="693"/>
        <v>0</v>
      </c>
      <c r="Y792" s="107">
        <f t="shared" si="671"/>
        <v>30</v>
      </c>
      <c r="Z792" s="50" t="s">
        <v>1129</v>
      </c>
    </row>
    <row r="793" spans="1:26" x14ac:dyDescent="0.15">
      <c r="A793" s="47"/>
      <c r="B793" s="16"/>
      <c r="C793" s="29"/>
      <c r="D793" s="17"/>
      <c r="E793" s="20"/>
      <c r="F793" s="45">
        <f t="shared" si="677"/>
        <v>0</v>
      </c>
      <c r="G793" s="16"/>
      <c r="H793" s="29"/>
      <c r="I793" s="17"/>
      <c r="J793" s="20"/>
      <c r="K793" s="45">
        <f t="shared" si="678"/>
        <v>0</v>
      </c>
      <c r="L793" s="104">
        <f t="shared" si="665"/>
        <v>0</v>
      </c>
      <c r="N793" s="138" t="s">
        <v>1208</v>
      </c>
      <c r="O793" s="145">
        <v>-5</v>
      </c>
      <c r="P793" s="146">
        <v>-5</v>
      </c>
      <c r="Q793" s="147">
        <v>-5</v>
      </c>
      <c r="R793" s="148">
        <v>-5</v>
      </c>
      <c r="S793" s="215">
        <f t="shared" si="692"/>
        <v>-20</v>
      </c>
      <c r="T793" s="145">
        <v>-5</v>
      </c>
      <c r="U793" s="146">
        <v>-5</v>
      </c>
      <c r="V793" s="147">
        <v>-5</v>
      </c>
      <c r="W793" s="148">
        <v>-5</v>
      </c>
      <c r="X793" s="215">
        <f t="shared" si="693"/>
        <v>-20</v>
      </c>
      <c r="Y793" s="144">
        <f t="shared" si="671"/>
        <v>-40</v>
      </c>
      <c r="Z793" s="227"/>
    </row>
    <row r="794" spans="1:26" ht="14.25" thickBot="1" x14ac:dyDescent="0.2">
      <c r="A794" s="47"/>
      <c r="B794" s="37"/>
      <c r="C794" s="38"/>
      <c r="D794" s="39"/>
      <c r="E794" s="40"/>
      <c r="F794" s="45">
        <f t="shared" si="677"/>
        <v>0</v>
      </c>
      <c r="G794" s="37"/>
      <c r="H794" s="38"/>
      <c r="I794" s="39"/>
      <c r="J794" s="40"/>
      <c r="K794" s="45">
        <f t="shared" si="678"/>
        <v>0</v>
      </c>
      <c r="L794" s="104">
        <f t="shared" si="665"/>
        <v>0</v>
      </c>
      <c r="N794" s="177" t="s">
        <v>1207</v>
      </c>
      <c r="O794" s="85">
        <v>10</v>
      </c>
      <c r="P794" s="86">
        <v>15</v>
      </c>
      <c r="Q794" s="87">
        <v>10</v>
      </c>
      <c r="R794" s="88">
        <v>10</v>
      </c>
      <c r="S794" s="89">
        <f t="shared" si="692"/>
        <v>45</v>
      </c>
      <c r="T794" s="85">
        <v>10</v>
      </c>
      <c r="U794" s="86">
        <v>15</v>
      </c>
      <c r="V794" s="87">
        <v>10</v>
      </c>
      <c r="W794" s="88">
        <v>10</v>
      </c>
      <c r="X794" s="89">
        <f t="shared" si="693"/>
        <v>45</v>
      </c>
      <c r="Y794" s="127">
        <f t="shared" si="671"/>
        <v>90</v>
      </c>
      <c r="Z794" s="227" t="s">
        <v>1209</v>
      </c>
    </row>
    <row r="795" spans="1:26" ht="14.25" thickBot="1" x14ac:dyDescent="0.2">
      <c r="A795" s="13" t="s">
        <v>8</v>
      </c>
      <c r="B795" s="22">
        <f>SUM(B770:B794)</f>
        <v>0</v>
      </c>
      <c r="C795" s="30">
        <f>SUM(C770:C794)</f>
        <v>0</v>
      </c>
      <c r="D795" s="23">
        <f>SUM(D770:D794)</f>
        <v>0</v>
      </c>
      <c r="E795" s="24">
        <f>SUM(E770:E794)</f>
        <v>0</v>
      </c>
      <c r="F795" s="21">
        <f t="shared" si="677"/>
        <v>0</v>
      </c>
      <c r="G795" s="22">
        <f>SUM(G770:G794)</f>
        <v>0</v>
      </c>
      <c r="H795" s="30">
        <f>SUM(H770:H794)</f>
        <v>0</v>
      </c>
      <c r="I795" s="23">
        <f>SUM(I770:I794)</f>
        <v>0</v>
      </c>
      <c r="J795" s="24">
        <f>SUM(J770:J794)</f>
        <v>0</v>
      </c>
      <c r="K795" s="21">
        <f t="shared" si="678"/>
        <v>0</v>
      </c>
      <c r="L795" s="105">
        <f t="shared" si="665"/>
        <v>0</v>
      </c>
      <c r="N795" s="49" t="s">
        <v>8</v>
      </c>
      <c r="O795" s="22">
        <f>SUM(O770:O794)</f>
        <v>10</v>
      </c>
      <c r="P795" s="30">
        <f>SUM(P770:P794)</f>
        <v>20</v>
      </c>
      <c r="Q795" s="23">
        <f>SUM(Q770:Q794)</f>
        <v>20</v>
      </c>
      <c r="R795" s="24">
        <f>SUM(R770:R794)</f>
        <v>5</v>
      </c>
      <c r="S795" s="48">
        <f t="shared" si="692"/>
        <v>55</v>
      </c>
      <c r="T795" s="22">
        <f>SUM(T770:T794)</f>
        <v>40</v>
      </c>
      <c r="U795" s="30">
        <f>SUM(U770:U794)</f>
        <v>45</v>
      </c>
      <c r="V795" s="23">
        <f>SUM(V770:V794)</f>
        <v>50</v>
      </c>
      <c r="W795" s="24">
        <f>SUM(W770:W794)</f>
        <v>45</v>
      </c>
      <c r="X795" s="48">
        <f t="shared" si="693"/>
        <v>180</v>
      </c>
      <c r="Y795" s="122">
        <f t="shared" si="671"/>
        <v>235</v>
      </c>
    </row>
    <row r="796" spans="1:26" ht="14.25" thickBot="1" x14ac:dyDescent="0.2">
      <c r="A796" s="14" t="s">
        <v>9</v>
      </c>
      <c r="B796" s="25">
        <f t="shared" ref="B796:K796" si="694">B769-B795</f>
        <v>8</v>
      </c>
      <c r="C796" s="31">
        <f t="shared" si="694"/>
        <v>7</v>
      </c>
      <c r="D796" s="26">
        <f t="shared" si="694"/>
        <v>8</v>
      </c>
      <c r="E796" s="27">
        <f t="shared" si="694"/>
        <v>9</v>
      </c>
      <c r="F796" s="83">
        <f t="shared" si="694"/>
        <v>32</v>
      </c>
      <c r="G796" s="25">
        <f t="shared" si="694"/>
        <v>6</v>
      </c>
      <c r="H796" s="31">
        <f t="shared" si="694"/>
        <v>10</v>
      </c>
      <c r="I796" s="26">
        <f t="shared" si="694"/>
        <v>8</v>
      </c>
      <c r="J796" s="27">
        <f t="shared" si="694"/>
        <v>6</v>
      </c>
      <c r="K796" s="83">
        <f t="shared" si="694"/>
        <v>30</v>
      </c>
      <c r="L796" s="102">
        <f t="shared" si="665"/>
        <v>62</v>
      </c>
      <c r="N796" s="13" t="s">
        <v>9</v>
      </c>
      <c r="O796" s="25">
        <f t="shared" ref="O796:X796" si="695">O769-O795</f>
        <v>129</v>
      </c>
      <c r="P796" s="31">
        <f t="shared" si="695"/>
        <v>206</v>
      </c>
      <c r="Q796" s="26">
        <f t="shared" si="695"/>
        <v>178</v>
      </c>
      <c r="R796" s="27">
        <f t="shared" si="695"/>
        <v>241</v>
      </c>
      <c r="S796" s="36">
        <f t="shared" si="695"/>
        <v>754</v>
      </c>
      <c r="T796" s="25">
        <f t="shared" si="695"/>
        <v>73</v>
      </c>
      <c r="U796" s="31">
        <f t="shared" si="695"/>
        <v>76</v>
      </c>
      <c r="V796" s="26">
        <f t="shared" si="695"/>
        <v>45</v>
      </c>
      <c r="W796" s="27">
        <f t="shared" si="695"/>
        <v>72</v>
      </c>
      <c r="X796" s="36">
        <f t="shared" si="695"/>
        <v>266</v>
      </c>
      <c r="Y796" s="102">
        <f t="shared" si="671"/>
        <v>1020</v>
      </c>
    </row>
    <row r="797" spans="1:26" x14ac:dyDescent="0.15">
      <c r="N797" s="307" t="s">
        <v>313</v>
      </c>
      <c r="O797" s="71">
        <f>O796/$S$796*100</f>
        <v>17.108753315649867</v>
      </c>
      <c r="P797" s="71">
        <f t="shared" ref="P797:S797" si="696">P796/$S$796*100</f>
        <v>27.320954907161806</v>
      </c>
      <c r="Q797" s="71">
        <f t="shared" si="696"/>
        <v>23.607427055702917</v>
      </c>
      <c r="R797" s="71">
        <f t="shared" si="696"/>
        <v>31.962864721485413</v>
      </c>
      <c r="S797" s="71">
        <f t="shared" si="696"/>
        <v>100</v>
      </c>
    </row>
    <row r="798" spans="1:26" x14ac:dyDescent="0.15">
      <c r="N798" s="305" t="s">
        <v>597</v>
      </c>
      <c r="O798" s="116">
        <v>17.100000000000001</v>
      </c>
      <c r="P798" s="116">
        <v>30.4</v>
      </c>
      <c r="Q798" s="116">
        <v>24.1</v>
      </c>
      <c r="R798" s="149">
        <v>28.4</v>
      </c>
      <c r="S798" s="149">
        <f>SUM(O798:R798)</f>
        <v>100</v>
      </c>
    </row>
    <row r="799" spans="1:26" ht="19.5" thickBot="1" x14ac:dyDescent="0.25">
      <c r="A799" s="2" t="s">
        <v>18</v>
      </c>
      <c r="B799" s="2"/>
      <c r="C799" s="1"/>
      <c r="D799" s="1"/>
      <c r="E799" s="1"/>
      <c r="F799" s="84"/>
      <c r="G799" s="2"/>
      <c r="H799" s="1" t="s">
        <v>157</v>
      </c>
      <c r="I799" s="1"/>
      <c r="J799" s="1"/>
      <c r="K799" s="84" t="s">
        <v>13</v>
      </c>
      <c r="L799" s="84"/>
      <c r="N799" s="2" t="s">
        <v>19</v>
      </c>
      <c r="O799" s="71"/>
      <c r="P799" s="71"/>
      <c r="Q799" s="71"/>
      <c r="R799" s="71"/>
      <c r="S799" s="84"/>
      <c r="T799" s="1" t="s">
        <v>157</v>
      </c>
      <c r="U799" s="71"/>
      <c r="V799" s="71"/>
      <c r="W799" s="71"/>
      <c r="X799" s="84" t="s">
        <v>13</v>
      </c>
    </row>
    <row r="800" spans="1:26" ht="14.25" thickBot="1" x14ac:dyDescent="0.2">
      <c r="A800" s="5" t="s">
        <v>0</v>
      </c>
      <c r="B800" s="322" t="s">
        <v>32</v>
      </c>
      <c r="C800" s="323"/>
      <c r="D800" s="323"/>
      <c r="E800" s="323"/>
      <c r="F800" s="324"/>
      <c r="G800" s="325" t="s">
        <v>31</v>
      </c>
      <c r="H800" s="326"/>
      <c r="I800" s="326"/>
      <c r="J800" s="326"/>
      <c r="K800" s="327"/>
      <c r="L800" s="320" t="s">
        <v>30</v>
      </c>
      <c r="N800" s="5" t="s">
        <v>0</v>
      </c>
      <c r="O800" s="322" t="s">
        <v>200</v>
      </c>
      <c r="P800" s="323"/>
      <c r="Q800" s="323"/>
      <c r="R800" s="323"/>
      <c r="S800" s="324"/>
      <c r="T800" s="325" t="s">
        <v>201</v>
      </c>
      <c r="U800" s="326"/>
      <c r="V800" s="326"/>
      <c r="W800" s="326"/>
      <c r="X800" s="327"/>
      <c r="Y800" s="320" t="s">
        <v>30</v>
      </c>
    </row>
    <row r="801" spans="1:26" ht="14.25" thickBot="1" x14ac:dyDescent="0.2">
      <c r="A801" s="5" t="s">
        <v>1</v>
      </c>
      <c r="B801" s="3" t="s">
        <v>22</v>
      </c>
      <c r="C801" s="28" t="s">
        <v>23</v>
      </c>
      <c r="D801" s="4" t="s">
        <v>24</v>
      </c>
      <c r="E801" s="15" t="s">
        <v>25</v>
      </c>
      <c r="F801" s="19" t="s">
        <v>2</v>
      </c>
      <c r="G801" s="3" t="s">
        <v>22</v>
      </c>
      <c r="H801" s="28" t="s">
        <v>23</v>
      </c>
      <c r="I801" s="4" t="s">
        <v>24</v>
      </c>
      <c r="J801" s="15" t="s">
        <v>25</v>
      </c>
      <c r="K801" s="19" t="s">
        <v>2</v>
      </c>
      <c r="L801" s="321"/>
      <c r="N801" s="5" t="s">
        <v>1</v>
      </c>
      <c r="O801" s="3" t="s">
        <v>22</v>
      </c>
      <c r="P801" s="28" t="s">
        <v>23</v>
      </c>
      <c r="Q801" s="4" t="s">
        <v>24</v>
      </c>
      <c r="R801" s="15" t="s">
        <v>25</v>
      </c>
      <c r="S801" s="19" t="s">
        <v>2</v>
      </c>
      <c r="T801" s="3" t="s">
        <v>22</v>
      </c>
      <c r="U801" s="28" t="s">
        <v>23</v>
      </c>
      <c r="V801" s="4" t="s">
        <v>24</v>
      </c>
      <c r="W801" s="15" t="s">
        <v>25</v>
      </c>
      <c r="X801" s="19" t="s">
        <v>2</v>
      </c>
      <c r="Y801" s="321"/>
    </row>
    <row r="802" spans="1:26" x14ac:dyDescent="0.15">
      <c r="A802" s="78" t="s">
        <v>10</v>
      </c>
      <c r="B802" s="79">
        <f>B796</f>
        <v>8</v>
      </c>
      <c r="C802" s="80">
        <f>C796</f>
        <v>7</v>
      </c>
      <c r="D802" s="80">
        <f>D796</f>
        <v>8</v>
      </c>
      <c r="E802" s="81">
        <f>E796</f>
        <v>9</v>
      </c>
      <c r="F802" s="82">
        <f>SUM(B802:E802)</f>
        <v>32</v>
      </c>
      <c r="G802" s="79">
        <f>G796</f>
        <v>6</v>
      </c>
      <c r="H802" s="80">
        <f>H796</f>
        <v>10</v>
      </c>
      <c r="I802" s="80">
        <f>I796</f>
        <v>8</v>
      </c>
      <c r="J802" s="81">
        <f>J796</f>
        <v>6</v>
      </c>
      <c r="K802" s="82">
        <f>SUM(G802:J802)</f>
        <v>30</v>
      </c>
      <c r="L802" s="98">
        <f t="shared" ref="L802:L834" si="697">F802+K802</f>
        <v>62</v>
      </c>
      <c r="N802" s="78" t="s">
        <v>10</v>
      </c>
      <c r="O802" s="79">
        <f>O796</f>
        <v>129</v>
      </c>
      <c r="P802" s="80">
        <f>P796</f>
        <v>206</v>
      </c>
      <c r="Q802" s="80">
        <f>Q796</f>
        <v>178</v>
      </c>
      <c r="R802" s="81">
        <f>R796</f>
        <v>241</v>
      </c>
      <c r="S802" s="82">
        <f>SUM(O802:R802)</f>
        <v>754</v>
      </c>
      <c r="T802" s="79">
        <f>T796</f>
        <v>73</v>
      </c>
      <c r="U802" s="80">
        <f>U796</f>
        <v>76</v>
      </c>
      <c r="V802" s="80">
        <f>V796</f>
        <v>45</v>
      </c>
      <c r="W802" s="81">
        <f>W796</f>
        <v>72</v>
      </c>
      <c r="X802" s="82">
        <f>SUM(T802:W802)</f>
        <v>266</v>
      </c>
      <c r="Y802" s="98">
        <f>S802+X802</f>
        <v>1020</v>
      </c>
    </row>
    <row r="803" spans="1:26" x14ac:dyDescent="0.15">
      <c r="A803" s="47" t="s">
        <v>3</v>
      </c>
      <c r="B803" s="51"/>
      <c r="C803" s="52"/>
      <c r="D803" s="53"/>
      <c r="E803" s="54"/>
      <c r="F803" s="61">
        <f>SUM(B803:E803)</f>
        <v>0</v>
      </c>
      <c r="G803" s="51"/>
      <c r="H803" s="52"/>
      <c r="I803" s="53"/>
      <c r="J803" s="54"/>
      <c r="K803" s="61">
        <f>SUM(G803:J803)</f>
        <v>0</v>
      </c>
      <c r="L803" s="99">
        <f t="shared" si="697"/>
        <v>0</v>
      </c>
      <c r="N803" s="12" t="s">
        <v>1160</v>
      </c>
      <c r="O803" s="16"/>
      <c r="P803" s="29"/>
      <c r="Q803" s="17"/>
      <c r="R803" s="20"/>
      <c r="S803" s="45">
        <f t="shared" ref="S803" si="698">SUM(O803:R803)</f>
        <v>0</v>
      </c>
      <c r="T803" s="16"/>
      <c r="U803" s="29"/>
      <c r="V803" s="17"/>
      <c r="W803" s="20"/>
      <c r="X803" s="45">
        <f t="shared" ref="X803" si="699">SUM(T803:W803)</f>
        <v>0</v>
      </c>
      <c r="Y803" s="100">
        <f t="shared" ref="Y803" si="700">S803+X803</f>
        <v>0</v>
      </c>
      <c r="Z803" s="56"/>
    </row>
    <row r="804" spans="1:26" x14ac:dyDescent="0.15">
      <c r="A804" s="12" t="s">
        <v>4</v>
      </c>
      <c r="B804" s="6"/>
      <c r="C804" s="18"/>
      <c r="D804" s="7"/>
      <c r="E804" s="8"/>
      <c r="F804" s="9">
        <f>SUM(B804:E804)</f>
        <v>0</v>
      </c>
      <c r="G804" s="6"/>
      <c r="H804" s="18"/>
      <c r="I804" s="7"/>
      <c r="J804" s="8"/>
      <c r="K804" s="9">
        <f>SUM(G804:J804)</f>
        <v>0</v>
      </c>
      <c r="L804" s="100">
        <f t="shared" si="697"/>
        <v>0</v>
      </c>
      <c r="N804" s="90" t="s">
        <v>842</v>
      </c>
      <c r="O804" s="91">
        <v>90</v>
      </c>
      <c r="P804" s="92">
        <v>130</v>
      </c>
      <c r="Q804" s="93">
        <v>90</v>
      </c>
      <c r="R804" s="94">
        <v>80</v>
      </c>
      <c r="S804" s="95">
        <f t="shared" ref="S804" si="701">SUM(O804:R804)</f>
        <v>390</v>
      </c>
      <c r="T804" s="91"/>
      <c r="U804" s="92"/>
      <c r="V804" s="93"/>
      <c r="W804" s="94"/>
      <c r="X804" s="95">
        <f t="shared" ref="X804" si="702">SUM(T804:W804)</f>
        <v>0</v>
      </c>
      <c r="Y804" s="106">
        <f t="shared" ref="Y804" si="703">S804+X804</f>
        <v>390</v>
      </c>
      <c r="Z804" s="159" t="s">
        <v>1164</v>
      </c>
    </row>
    <row r="805" spans="1:26" x14ac:dyDescent="0.15">
      <c r="A805" s="12" t="s">
        <v>5</v>
      </c>
      <c r="B805" s="6"/>
      <c r="C805" s="18"/>
      <c r="D805" s="7"/>
      <c r="E805" s="8"/>
      <c r="F805" s="9">
        <f>SUM(B805:E805)</f>
        <v>0</v>
      </c>
      <c r="G805" s="6"/>
      <c r="H805" s="18"/>
      <c r="I805" s="7"/>
      <c r="J805" s="8"/>
      <c r="K805" s="9">
        <f>SUM(G805:J805)</f>
        <v>0</v>
      </c>
      <c r="L805" s="100">
        <f t="shared" si="697"/>
        <v>0</v>
      </c>
      <c r="N805" s="12" t="s">
        <v>1210</v>
      </c>
      <c r="O805" s="16">
        <v>19</v>
      </c>
      <c r="P805" s="29">
        <v>12</v>
      </c>
      <c r="Q805" s="17">
        <v>4</v>
      </c>
      <c r="R805" s="20">
        <v>8</v>
      </c>
      <c r="S805" s="45">
        <f t="shared" ref="S805" si="704">SUM(O805:R805)</f>
        <v>43</v>
      </c>
      <c r="T805" s="16">
        <v>12</v>
      </c>
      <c r="U805" s="29">
        <v>10</v>
      </c>
      <c r="V805" s="17">
        <v>12</v>
      </c>
      <c r="W805" s="20">
        <v>25</v>
      </c>
      <c r="X805" s="45">
        <f t="shared" ref="X805" si="705">SUM(T805:W805)</f>
        <v>59</v>
      </c>
      <c r="Y805" s="100">
        <f t="shared" ref="Y805:Y834" si="706">S805+X805</f>
        <v>102</v>
      </c>
      <c r="Z805" s="56">
        <v>46153</v>
      </c>
    </row>
    <row r="806" spans="1:26" ht="14.25" thickBot="1" x14ac:dyDescent="0.2">
      <c r="A806" s="12" t="s">
        <v>6</v>
      </c>
      <c r="B806" s="6"/>
      <c r="C806" s="18"/>
      <c r="D806" s="7"/>
      <c r="E806" s="8"/>
      <c r="F806" s="10">
        <f>SUM(B806:E806)</f>
        <v>0</v>
      </c>
      <c r="G806" s="6"/>
      <c r="H806" s="18"/>
      <c r="I806" s="7"/>
      <c r="J806" s="8"/>
      <c r="K806" s="10">
        <f>SUM(G806:J806)</f>
        <v>0</v>
      </c>
      <c r="L806" s="101">
        <f t="shared" si="697"/>
        <v>0</v>
      </c>
      <c r="N806" s="12" t="s">
        <v>6</v>
      </c>
      <c r="O806" s="16"/>
      <c r="P806" s="29"/>
      <c r="Q806" s="17"/>
      <c r="R806" s="20"/>
      <c r="S806" s="45">
        <f t="shared" ref="S806" si="707">SUM(O806:R806)</f>
        <v>0</v>
      </c>
      <c r="T806" s="16"/>
      <c r="U806" s="29"/>
      <c r="V806" s="17"/>
      <c r="W806" s="20"/>
      <c r="X806" s="45">
        <f t="shared" ref="X806" si="708">SUM(T806:W806)</f>
        <v>0</v>
      </c>
      <c r="Y806" s="100">
        <f t="shared" ref="Y806" si="709">S806+X806</f>
        <v>0</v>
      </c>
    </row>
    <row r="807" spans="1:26" ht="14.25" thickBot="1" x14ac:dyDescent="0.2">
      <c r="A807" s="14" t="s">
        <v>7</v>
      </c>
      <c r="B807" s="62">
        <f t="shared" ref="B807:K807" si="710">SUM(B802:B806)</f>
        <v>8</v>
      </c>
      <c r="C807" s="63">
        <f t="shared" si="710"/>
        <v>7</v>
      </c>
      <c r="D807" s="64">
        <f t="shared" si="710"/>
        <v>8</v>
      </c>
      <c r="E807" s="65">
        <f t="shared" si="710"/>
        <v>9</v>
      </c>
      <c r="F807" s="66">
        <f t="shared" si="710"/>
        <v>32</v>
      </c>
      <c r="G807" s="62">
        <f t="shared" si="710"/>
        <v>6</v>
      </c>
      <c r="H807" s="63">
        <f t="shared" si="710"/>
        <v>10</v>
      </c>
      <c r="I807" s="64">
        <f t="shared" si="710"/>
        <v>8</v>
      </c>
      <c r="J807" s="65">
        <f t="shared" si="710"/>
        <v>6</v>
      </c>
      <c r="K807" s="66">
        <f t="shared" si="710"/>
        <v>30</v>
      </c>
      <c r="L807" s="102">
        <f t="shared" si="697"/>
        <v>62</v>
      </c>
      <c r="N807" s="13" t="s">
        <v>7</v>
      </c>
      <c r="O807" s="25">
        <f t="shared" ref="O807:X807" si="711">SUM(O802:O806)</f>
        <v>238</v>
      </c>
      <c r="P807" s="31">
        <f t="shared" si="711"/>
        <v>348</v>
      </c>
      <c r="Q807" s="26">
        <f t="shared" si="711"/>
        <v>272</v>
      </c>
      <c r="R807" s="67">
        <f t="shared" si="711"/>
        <v>329</v>
      </c>
      <c r="S807" s="68">
        <f t="shared" si="711"/>
        <v>1187</v>
      </c>
      <c r="T807" s="25">
        <f t="shared" si="711"/>
        <v>85</v>
      </c>
      <c r="U807" s="31">
        <f t="shared" si="711"/>
        <v>86</v>
      </c>
      <c r="V807" s="26">
        <f t="shared" si="711"/>
        <v>57</v>
      </c>
      <c r="W807" s="67">
        <f t="shared" si="711"/>
        <v>97</v>
      </c>
      <c r="X807" s="68">
        <f t="shared" si="711"/>
        <v>325</v>
      </c>
      <c r="Y807" s="102">
        <f t="shared" si="706"/>
        <v>1512</v>
      </c>
    </row>
    <row r="808" spans="1:26" x14ac:dyDescent="0.15">
      <c r="A808" s="47"/>
      <c r="B808" s="41"/>
      <c r="C808" s="42"/>
      <c r="D808" s="43"/>
      <c r="E808" s="44"/>
      <c r="F808" s="70">
        <f t="shared" ref="F808:F833" si="712">SUM(B808:E808)</f>
        <v>0</v>
      </c>
      <c r="G808" s="41"/>
      <c r="H808" s="42"/>
      <c r="I808" s="43"/>
      <c r="J808" s="44"/>
      <c r="K808" s="70">
        <f t="shared" ref="K808:K833" si="713">SUM(G808:J808)</f>
        <v>0</v>
      </c>
      <c r="L808" s="103">
        <f t="shared" si="697"/>
        <v>0</v>
      </c>
      <c r="N808" s="33"/>
      <c r="O808" s="16"/>
      <c r="P808" s="29"/>
      <c r="Q808" s="17"/>
      <c r="R808" s="32"/>
      <c r="S808" s="9">
        <f t="shared" ref="S808:S813" si="714">SUM(O808:R808)</f>
        <v>0</v>
      </c>
      <c r="T808" s="16"/>
      <c r="U808" s="29"/>
      <c r="V808" s="17"/>
      <c r="W808" s="32"/>
      <c r="X808" s="9">
        <f t="shared" ref="X808:X813" si="715">SUM(T808:W808)</f>
        <v>0</v>
      </c>
      <c r="Y808" s="103">
        <f t="shared" si="706"/>
        <v>0</v>
      </c>
    </row>
    <row r="809" spans="1:26" x14ac:dyDescent="0.15">
      <c r="A809" s="47"/>
      <c r="B809" s="16"/>
      <c r="C809" s="29"/>
      <c r="D809" s="17"/>
      <c r="E809" s="20"/>
      <c r="F809" s="45">
        <f t="shared" si="712"/>
        <v>0</v>
      </c>
      <c r="G809" s="16"/>
      <c r="H809" s="29"/>
      <c r="I809" s="17"/>
      <c r="J809" s="20"/>
      <c r="K809" s="45">
        <f t="shared" si="713"/>
        <v>0</v>
      </c>
      <c r="L809" s="104">
        <f t="shared" si="697"/>
        <v>0</v>
      </c>
      <c r="N809" s="33"/>
      <c r="O809" s="16"/>
      <c r="P809" s="29"/>
      <c r="Q809" s="17"/>
      <c r="R809" s="32"/>
      <c r="S809" s="9">
        <f t="shared" si="714"/>
        <v>0</v>
      </c>
      <c r="T809" s="16"/>
      <c r="U809" s="29"/>
      <c r="V809" s="17"/>
      <c r="W809" s="32"/>
      <c r="X809" s="9">
        <f t="shared" si="715"/>
        <v>0</v>
      </c>
      <c r="Y809" s="104">
        <f t="shared" si="706"/>
        <v>0</v>
      </c>
    </row>
    <row r="810" spans="1:26" x14ac:dyDescent="0.15">
      <c r="A810" s="47"/>
      <c r="B810" s="16"/>
      <c r="C810" s="29"/>
      <c r="D810" s="17"/>
      <c r="E810" s="20"/>
      <c r="F810" s="45">
        <f t="shared" si="712"/>
        <v>0</v>
      </c>
      <c r="G810" s="16"/>
      <c r="H810" s="29"/>
      <c r="I810" s="17"/>
      <c r="J810" s="20"/>
      <c r="K810" s="45">
        <f t="shared" si="713"/>
        <v>0</v>
      </c>
      <c r="L810" s="104">
        <f t="shared" si="697"/>
        <v>0</v>
      </c>
      <c r="N810" s="33"/>
      <c r="O810" s="16"/>
      <c r="P810" s="29"/>
      <c r="Q810" s="17"/>
      <c r="R810" s="32"/>
      <c r="S810" s="9">
        <f t="shared" si="714"/>
        <v>0</v>
      </c>
      <c r="T810" s="16"/>
      <c r="U810" s="29"/>
      <c r="V810" s="17"/>
      <c r="W810" s="32"/>
      <c r="X810" s="9">
        <f t="shared" si="715"/>
        <v>0</v>
      </c>
      <c r="Y810" s="104">
        <f t="shared" si="706"/>
        <v>0</v>
      </c>
    </row>
    <row r="811" spans="1:26" x14ac:dyDescent="0.15">
      <c r="A811" s="47"/>
      <c r="B811" s="16"/>
      <c r="C811" s="29"/>
      <c r="D811" s="17"/>
      <c r="E811" s="20"/>
      <c r="F811" s="45">
        <f t="shared" si="712"/>
        <v>0</v>
      </c>
      <c r="G811" s="16"/>
      <c r="H811" s="29"/>
      <c r="I811" s="17"/>
      <c r="J811" s="20"/>
      <c r="K811" s="45">
        <f t="shared" si="713"/>
        <v>0</v>
      </c>
      <c r="L811" s="104">
        <f t="shared" si="697"/>
        <v>0</v>
      </c>
      <c r="N811" s="33"/>
      <c r="O811" s="16"/>
      <c r="P811" s="29"/>
      <c r="Q811" s="17"/>
      <c r="R811" s="32"/>
      <c r="S811" s="9">
        <f t="shared" si="714"/>
        <v>0</v>
      </c>
      <c r="T811" s="16"/>
      <c r="U811" s="29"/>
      <c r="V811" s="17"/>
      <c r="W811" s="32"/>
      <c r="X811" s="9">
        <f t="shared" si="715"/>
        <v>0</v>
      </c>
      <c r="Y811" s="104">
        <f t="shared" si="706"/>
        <v>0</v>
      </c>
    </row>
    <row r="812" spans="1:26" x14ac:dyDescent="0.15">
      <c r="A812" s="47"/>
      <c r="B812" s="16"/>
      <c r="C812" s="29"/>
      <c r="D812" s="17"/>
      <c r="E812" s="20"/>
      <c r="F812" s="45">
        <f t="shared" si="712"/>
        <v>0</v>
      </c>
      <c r="G812" s="16"/>
      <c r="H812" s="29"/>
      <c r="I812" s="17"/>
      <c r="J812" s="20"/>
      <c r="K812" s="45">
        <f t="shared" si="713"/>
        <v>0</v>
      </c>
      <c r="L812" s="104">
        <f t="shared" si="697"/>
        <v>0</v>
      </c>
      <c r="N812" s="33"/>
      <c r="O812" s="16"/>
      <c r="P812" s="29"/>
      <c r="Q812" s="17"/>
      <c r="R812" s="32"/>
      <c r="S812" s="9">
        <f t="shared" si="714"/>
        <v>0</v>
      </c>
      <c r="T812" s="16"/>
      <c r="U812" s="29"/>
      <c r="V812" s="17"/>
      <c r="W812" s="32"/>
      <c r="X812" s="9">
        <f t="shared" si="715"/>
        <v>0</v>
      </c>
      <c r="Y812" s="104">
        <f t="shared" si="706"/>
        <v>0</v>
      </c>
    </row>
    <row r="813" spans="1:26" x14ac:dyDescent="0.15">
      <c r="A813" s="47"/>
      <c r="B813" s="16"/>
      <c r="C813" s="29"/>
      <c r="D813" s="17"/>
      <c r="E813" s="20"/>
      <c r="F813" s="45">
        <f t="shared" si="712"/>
        <v>0</v>
      </c>
      <c r="G813" s="16"/>
      <c r="H813" s="29"/>
      <c r="I813" s="17"/>
      <c r="J813" s="20"/>
      <c r="K813" s="45">
        <f t="shared" si="713"/>
        <v>0</v>
      </c>
      <c r="L813" s="104">
        <f t="shared" si="697"/>
        <v>0</v>
      </c>
      <c r="N813" s="33"/>
      <c r="O813" s="16"/>
      <c r="P813" s="29"/>
      <c r="Q813" s="17"/>
      <c r="R813" s="32"/>
      <c r="S813" s="9">
        <f t="shared" si="714"/>
        <v>0</v>
      </c>
      <c r="T813" s="16"/>
      <c r="U813" s="29"/>
      <c r="V813" s="17"/>
      <c r="W813" s="32"/>
      <c r="X813" s="9">
        <f t="shared" si="715"/>
        <v>0</v>
      </c>
      <c r="Y813" s="104">
        <f t="shared" si="706"/>
        <v>0</v>
      </c>
    </row>
    <row r="814" spans="1:26" x14ac:dyDescent="0.15">
      <c r="A814" s="47"/>
      <c r="B814" s="16"/>
      <c r="C814" s="29"/>
      <c r="D814" s="17"/>
      <c r="E814" s="20"/>
      <c r="F814" s="45">
        <f t="shared" si="712"/>
        <v>0</v>
      </c>
      <c r="G814" s="16"/>
      <c r="H814" s="29"/>
      <c r="I814" s="17"/>
      <c r="J814" s="20"/>
      <c r="K814" s="45">
        <f t="shared" si="713"/>
        <v>0</v>
      </c>
      <c r="L814" s="104">
        <f t="shared" si="697"/>
        <v>0</v>
      </c>
      <c r="N814" s="33"/>
      <c r="O814" s="16"/>
      <c r="P814" s="29"/>
      <c r="Q814" s="17"/>
      <c r="R814" s="32"/>
      <c r="S814" s="9">
        <f>SUM(O814:R814)</f>
        <v>0</v>
      </c>
      <c r="T814" s="16"/>
      <c r="U814" s="29"/>
      <c r="V814" s="17"/>
      <c r="W814" s="32"/>
      <c r="X814" s="9">
        <f>SUM(T814:W814)</f>
        <v>0</v>
      </c>
      <c r="Y814" s="104">
        <f t="shared" si="706"/>
        <v>0</v>
      </c>
    </row>
    <row r="815" spans="1:26" x14ac:dyDescent="0.15">
      <c r="A815" s="47"/>
      <c r="B815" s="16"/>
      <c r="C815" s="29"/>
      <c r="D815" s="17"/>
      <c r="E815" s="20"/>
      <c r="F815" s="45">
        <f t="shared" si="712"/>
        <v>0</v>
      </c>
      <c r="G815" s="16"/>
      <c r="H815" s="29"/>
      <c r="I815" s="17"/>
      <c r="J815" s="20"/>
      <c r="K815" s="45">
        <f t="shared" si="713"/>
        <v>0</v>
      </c>
      <c r="L815" s="104">
        <f t="shared" si="697"/>
        <v>0</v>
      </c>
      <c r="N815" s="33"/>
      <c r="O815" s="16"/>
      <c r="P815" s="29"/>
      <c r="Q815" s="17"/>
      <c r="R815" s="32"/>
      <c r="S815" s="9">
        <f t="shared" ref="S815:S819" si="716">SUM(O815:R815)</f>
        <v>0</v>
      </c>
      <c r="T815" s="16"/>
      <c r="U815" s="29"/>
      <c r="V815" s="17"/>
      <c r="W815" s="32"/>
      <c r="X815" s="9">
        <f t="shared" ref="X815:X819" si="717">SUM(T815:W815)</f>
        <v>0</v>
      </c>
      <c r="Y815" s="104">
        <f t="shared" si="706"/>
        <v>0</v>
      </c>
    </row>
    <row r="816" spans="1:26" x14ac:dyDescent="0.15">
      <c r="A816" s="47"/>
      <c r="B816" s="16"/>
      <c r="C816" s="29"/>
      <c r="D816" s="17"/>
      <c r="E816" s="20"/>
      <c r="F816" s="45">
        <f t="shared" si="712"/>
        <v>0</v>
      </c>
      <c r="G816" s="16"/>
      <c r="H816" s="29"/>
      <c r="I816" s="17"/>
      <c r="J816" s="20"/>
      <c r="K816" s="45">
        <f t="shared" si="713"/>
        <v>0</v>
      </c>
      <c r="L816" s="104">
        <f t="shared" si="697"/>
        <v>0</v>
      </c>
      <c r="N816" s="33"/>
      <c r="O816" s="16"/>
      <c r="P816" s="29"/>
      <c r="Q816" s="17"/>
      <c r="R816" s="32"/>
      <c r="S816" s="9">
        <f t="shared" si="716"/>
        <v>0</v>
      </c>
      <c r="T816" s="16"/>
      <c r="U816" s="29"/>
      <c r="V816" s="17"/>
      <c r="W816" s="32"/>
      <c r="X816" s="9">
        <f t="shared" si="717"/>
        <v>0</v>
      </c>
      <c r="Y816" s="104">
        <f t="shared" si="706"/>
        <v>0</v>
      </c>
    </row>
    <row r="817" spans="1:26" x14ac:dyDescent="0.15">
      <c r="A817" s="33"/>
      <c r="B817" s="16"/>
      <c r="C817" s="29"/>
      <c r="D817" s="17"/>
      <c r="E817" s="20"/>
      <c r="F817" s="45">
        <f t="shared" si="712"/>
        <v>0</v>
      </c>
      <c r="G817" s="16"/>
      <c r="H817" s="29"/>
      <c r="I817" s="17"/>
      <c r="J817" s="20"/>
      <c r="K817" s="45">
        <f t="shared" si="713"/>
        <v>0</v>
      </c>
      <c r="L817" s="104">
        <f t="shared" si="697"/>
        <v>0</v>
      </c>
      <c r="N817" s="33"/>
      <c r="O817" s="16"/>
      <c r="P817" s="29"/>
      <c r="Q817" s="17"/>
      <c r="R817" s="32"/>
      <c r="S817" s="9">
        <f t="shared" si="716"/>
        <v>0</v>
      </c>
      <c r="T817" s="16"/>
      <c r="U817" s="29"/>
      <c r="V817" s="17"/>
      <c r="W817" s="32"/>
      <c r="X817" s="9">
        <f t="shared" si="717"/>
        <v>0</v>
      </c>
      <c r="Y817" s="104">
        <f t="shared" si="706"/>
        <v>0</v>
      </c>
    </row>
    <row r="818" spans="1:26" x14ac:dyDescent="0.15">
      <c r="A818" s="47"/>
      <c r="B818" s="16"/>
      <c r="C818" s="29"/>
      <c r="D818" s="17"/>
      <c r="E818" s="20"/>
      <c r="F818" s="45">
        <f t="shared" si="712"/>
        <v>0</v>
      </c>
      <c r="G818" s="16"/>
      <c r="H818" s="29"/>
      <c r="I818" s="17"/>
      <c r="J818" s="20"/>
      <c r="K818" s="45">
        <f t="shared" si="713"/>
        <v>0</v>
      </c>
      <c r="L818" s="104">
        <f t="shared" si="697"/>
        <v>0</v>
      </c>
      <c r="N818" s="33"/>
      <c r="O818" s="16"/>
      <c r="P818" s="29"/>
      <c r="Q818" s="17"/>
      <c r="R818" s="32"/>
      <c r="S818" s="9">
        <f t="shared" si="716"/>
        <v>0</v>
      </c>
      <c r="T818" s="16"/>
      <c r="U818" s="29"/>
      <c r="V818" s="17"/>
      <c r="W818" s="32"/>
      <c r="X818" s="9">
        <f t="shared" si="717"/>
        <v>0</v>
      </c>
      <c r="Y818" s="104">
        <f t="shared" si="706"/>
        <v>0</v>
      </c>
    </row>
    <row r="819" spans="1:26" x14ac:dyDescent="0.15">
      <c r="A819" s="47"/>
      <c r="B819" s="16"/>
      <c r="C819" s="29"/>
      <c r="D819" s="17"/>
      <c r="E819" s="20"/>
      <c r="F819" s="45">
        <f t="shared" si="712"/>
        <v>0</v>
      </c>
      <c r="G819" s="16"/>
      <c r="H819" s="29"/>
      <c r="I819" s="17"/>
      <c r="J819" s="20"/>
      <c r="K819" s="45">
        <f t="shared" si="713"/>
        <v>0</v>
      </c>
      <c r="L819" s="104">
        <f t="shared" si="697"/>
        <v>0</v>
      </c>
      <c r="N819" s="72"/>
      <c r="O819" s="16"/>
      <c r="P819" s="29"/>
      <c r="Q819" s="17"/>
      <c r="R819" s="32"/>
      <c r="S819" s="9">
        <f t="shared" si="716"/>
        <v>0</v>
      </c>
      <c r="T819" s="16"/>
      <c r="U819" s="29"/>
      <c r="V819" s="17"/>
      <c r="W819" s="32"/>
      <c r="X819" s="9">
        <f t="shared" si="717"/>
        <v>0</v>
      </c>
      <c r="Y819" s="104">
        <f t="shared" si="706"/>
        <v>0</v>
      </c>
    </row>
    <row r="820" spans="1:26" x14ac:dyDescent="0.15">
      <c r="A820" s="47"/>
      <c r="B820" s="16"/>
      <c r="C820" s="29"/>
      <c r="D820" s="17"/>
      <c r="E820" s="20"/>
      <c r="F820" s="45">
        <f t="shared" si="712"/>
        <v>0</v>
      </c>
      <c r="G820" s="16"/>
      <c r="H820" s="29"/>
      <c r="I820" s="17"/>
      <c r="J820" s="20"/>
      <c r="K820" s="45">
        <f t="shared" si="713"/>
        <v>0</v>
      </c>
      <c r="L820" s="104">
        <f t="shared" si="697"/>
        <v>0</v>
      </c>
      <c r="N820" s="33"/>
      <c r="O820" s="16"/>
      <c r="P820" s="29"/>
      <c r="Q820" s="17"/>
      <c r="R820" s="32"/>
      <c r="S820" s="9">
        <f>SUM(O820:R820)</f>
        <v>0</v>
      </c>
      <c r="T820" s="16"/>
      <c r="U820" s="29"/>
      <c r="V820" s="17"/>
      <c r="W820" s="32"/>
      <c r="X820" s="9">
        <f>SUM(T820:W820)</f>
        <v>0</v>
      </c>
      <c r="Y820" s="104">
        <f t="shared" si="706"/>
        <v>0</v>
      </c>
    </row>
    <row r="821" spans="1:26" x14ac:dyDescent="0.15">
      <c r="A821" s="47"/>
      <c r="B821" s="16"/>
      <c r="C821" s="29"/>
      <c r="D821" s="17"/>
      <c r="E821" s="20"/>
      <c r="F821" s="45">
        <f t="shared" si="712"/>
        <v>0</v>
      </c>
      <c r="G821" s="16"/>
      <c r="H821" s="29"/>
      <c r="I821" s="17"/>
      <c r="J821" s="20"/>
      <c r="K821" s="45">
        <f t="shared" si="713"/>
        <v>0</v>
      </c>
      <c r="L821" s="104">
        <f t="shared" si="697"/>
        <v>0</v>
      </c>
      <c r="N821" s="72"/>
      <c r="O821" s="16"/>
      <c r="P821" s="29"/>
      <c r="Q821" s="17"/>
      <c r="R821" s="32"/>
      <c r="S821" s="9">
        <f>SUM(O821:R821)</f>
        <v>0</v>
      </c>
      <c r="T821" s="16"/>
      <c r="U821" s="29"/>
      <c r="V821" s="17"/>
      <c r="W821" s="32"/>
      <c r="X821" s="9">
        <f>SUM(T821:W821)</f>
        <v>0</v>
      </c>
      <c r="Y821" s="104">
        <f t="shared" si="706"/>
        <v>0</v>
      </c>
    </row>
    <row r="822" spans="1:26" x14ac:dyDescent="0.15">
      <c r="A822" s="33"/>
      <c r="B822" s="16"/>
      <c r="C822" s="29"/>
      <c r="D822" s="17"/>
      <c r="E822" s="20"/>
      <c r="F822" s="45">
        <f t="shared" si="712"/>
        <v>0</v>
      </c>
      <c r="G822" s="16"/>
      <c r="H822" s="29"/>
      <c r="I822" s="17"/>
      <c r="J822" s="20"/>
      <c r="K822" s="45">
        <f t="shared" si="713"/>
        <v>0</v>
      </c>
      <c r="L822" s="104">
        <f t="shared" si="697"/>
        <v>0</v>
      </c>
      <c r="N822" s="72"/>
      <c r="O822" s="16"/>
      <c r="P822" s="29"/>
      <c r="Q822" s="17"/>
      <c r="R822" s="32"/>
      <c r="S822" s="9">
        <f t="shared" ref="S822:S833" si="718">SUM(O822:R822)</f>
        <v>0</v>
      </c>
      <c r="T822" s="16"/>
      <c r="U822" s="29"/>
      <c r="V822" s="17"/>
      <c r="W822" s="32"/>
      <c r="X822" s="9">
        <f t="shared" ref="X822:X833" si="719">SUM(T822:W822)</f>
        <v>0</v>
      </c>
      <c r="Y822" s="104">
        <f t="shared" si="706"/>
        <v>0</v>
      </c>
    </row>
    <row r="823" spans="1:26" x14ac:dyDescent="0.15">
      <c r="A823" s="47"/>
      <c r="B823" s="16"/>
      <c r="C823" s="29"/>
      <c r="D823" s="17"/>
      <c r="E823" s="20"/>
      <c r="F823" s="45">
        <f t="shared" si="712"/>
        <v>0</v>
      </c>
      <c r="G823" s="16"/>
      <c r="H823" s="29"/>
      <c r="I823" s="17"/>
      <c r="J823" s="20"/>
      <c r="K823" s="45">
        <f t="shared" si="713"/>
        <v>0</v>
      </c>
      <c r="L823" s="104">
        <f t="shared" si="697"/>
        <v>0</v>
      </c>
      <c r="N823" s="72"/>
      <c r="O823" s="16"/>
      <c r="P823" s="29"/>
      <c r="Q823" s="17"/>
      <c r="R823" s="32"/>
      <c r="S823" s="9">
        <f t="shared" si="718"/>
        <v>0</v>
      </c>
      <c r="T823" s="16"/>
      <c r="U823" s="29"/>
      <c r="V823" s="17"/>
      <c r="W823" s="32"/>
      <c r="X823" s="9">
        <f t="shared" si="719"/>
        <v>0</v>
      </c>
      <c r="Y823" s="104">
        <f t="shared" si="706"/>
        <v>0</v>
      </c>
    </row>
    <row r="824" spans="1:26" x14ac:dyDescent="0.15">
      <c r="A824" s="47"/>
      <c r="B824" s="16"/>
      <c r="C824" s="29"/>
      <c r="D824" s="17"/>
      <c r="E824" s="20"/>
      <c r="F824" s="45">
        <f t="shared" si="712"/>
        <v>0</v>
      </c>
      <c r="G824" s="16"/>
      <c r="H824" s="29"/>
      <c r="I824" s="17"/>
      <c r="J824" s="20"/>
      <c r="K824" s="45">
        <f t="shared" si="713"/>
        <v>0</v>
      </c>
      <c r="L824" s="104">
        <f t="shared" si="697"/>
        <v>0</v>
      </c>
      <c r="N824" s="72"/>
      <c r="O824" s="16"/>
      <c r="P824" s="29"/>
      <c r="Q824" s="17"/>
      <c r="R824" s="32"/>
      <c r="S824" s="9">
        <f t="shared" si="718"/>
        <v>0</v>
      </c>
      <c r="T824" s="16"/>
      <c r="U824" s="29"/>
      <c r="V824" s="17"/>
      <c r="W824" s="32"/>
      <c r="X824" s="9">
        <f t="shared" si="719"/>
        <v>0</v>
      </c>
      <c r="Y824" s="104">
        <f t="shared" si="706"/>
        <v>0</v>
      </c>
    </row>
    <row r="825" spans="1:26" x14ac:dyDescent="0.15">
      <c r="A825" s="47"/>
      <c r="B825" s="16"/>
      <c r="C825" s="29"/>
      <c r="D825" s="17"/>
      <c r="E825" s="20"/>
      <c r="F825" s="45">
        <f t="shared" si="712"/>
        <v>0</v>
      </c>
      <c r="G825" s="16"/>
      <c r="H825" s="29"/>
      <c r="I825" s="17"/>
      <c r="J825" s="20"/>
      <c r="K825" s="45">
        <f t="shared" si="713"/>
        <v>0</v>
      </c>
      <c r="L825" s="104">
        <f t="shared" si="697"/>
        <v>0</v>
      </c>
      <c r="N825" s="72"/>
      <c r="O825" s="16"/>
      <c r="P825" s="29"/>
      <c r="Q825" s="17"/>
      <c r="R825" s="32"/>
      <c r="S825" s="9">
        <f t="shared" si="718"/>
        <v>0</v>
      </c>
      <c r="T825" s="16"/>
      <c r="U825" s="29"/>
      <c r="V825" s="17"/>
      <c r="W825" s="32"/>
      <c r="X825" s="9">
        <f t="shared" si="719"/>
        <v>0</v>
      </c>
      <c r="Y825" s="104">
        <f t="shared" si="706"/>
        <v>0</v>
      </c>
    </row>
    <row r="826" spans="1:26" x14ac:dyDescent="0.15">
      <c r="A826" s="47"/>
      <c r="B826" s="16"/>
      <c r="C826" s="29"/>
      <c r="D826" s="17"/>
      <c r="E826" s="20"/>
      <c r="F826" s="45">
        <f t="shared" si="712"/>
        <v>0</v>
      </c>
      <c r="G826" s="16"/>
      <c r="H826" s="29"/>
      <c r="I826" s="17"/>
      <c r="J826" s="20"/>
      <c r="K826" s="45">
        <f t="shared" si="713"/>
        <v>0</v>
      </c>
      <c r="L826" s="104">
        <f t="shared" si="697"/>
        <v>0</v>
      </c>
      <c r="N826" s="72"/>
      <c r="O826" s="16"/>
      <c r="P826" s="29"/>
      <c r="Q826" s="17"/>
      <c r="R826" s="32"/>
      <c r="S826" s="9">
        <f t="shared" si="718"/>
        <v>0</v>
      </c>
      <c r="T826" s="16"/>
      <c r="U826" s="29"/>
      <c r="V826" s="17"/>
      <c r="W826" s="32"/>
      <c r="X826" s="9">
        <f t="shared" si="719"/>
        <v>0</v>
      </c>
      <c r="Y826" s="104">
        <f t="shared" si="706"/>
        <v>0</v>
      </c>
    </row>
    <row r="827" spans="1:26" x14ac:dyDescent="0.15">
      <c r="A827" s="47"/>
      <c r="B827" s="16"/>
      <c r="C827" s="29"/>
      <c r="D827" s="17"/>
      <c r="E827" s="20"/>
      <c r="F827" s="45">
        <f t="shared" si="712"/>
        <v>0</v>
      </c>
      <c r="G827" s="16"/>
      <c r="H827" s="29"/>
      <c r="I827" s="17"/>
      <c r="J827" s="20"/>
      <c r="K827" s="45">
        <f t="shared" si="713"/>
        <v>0</v>
      </c>
      <c r="L827" s="104">
        <f t="shared" si="697"/>
        <v>0</v>
      </c>
      <c r="N827" s="72"/>
      <c r="O827" s="16"/>
      <c r="P827" s="29"/>
      <c r="Q827" s="17"/>
      <c r="R827" s="32"/>
      <c r="S827" s="9">
        <f t="shared" ref="S827:S828" si="720">SUM(O827:R827)</f>
        <v>0</v>
      </c>
      <c r="T827" s="16"/>
      <c r="U827" s="29"/>
      <c r="V827" s="17"/>
      <c r="W827" s="32"/>
      <c r="X827" s="9">
        <f t="shared" ref="X827:X828" si="721">SUM(T827:W827)</f>
        <v>0</v>
      </c>
      <c r="Y827" s="104">
        <f t="shared" ref="Y827:Y828" si="722">S827+X827</f>
        <v>0</v>
      </c>
    </row>
    <row r="828" spans="1:26" x14ac:dyDescent="0.15">
      <c r="A828" s="47"/>
      <c r="B828" s="16"/>
      <c r="C828" s="29"/>
      <c r="D828" s="17"/>
      <c r="E828" s="20"/>
      <c r="F828" s="45">
        <f t="shared" si="712"/>
        <v>0</v>
      </c>
      <c r="G828" s="16"/>
      <c r="H828" s="29"/>
      <c r="I828" s="17"/>
      <c r="J828" s="20"/>
      <c r="K828" s="45">
        <f t="shared" si="713"/>
        <v>0</v>
      </c>
      <c r="L828" s="104">
        <f t="shared" si="697"/>
        <v>0</v>
      </c>
      <c r="N828" s="72"/>
      <c r="O828" s="16"/>
      <c r="P828" s="29"/>
      <c r="Q828" s="17"/>
      <c r="R828" s="32"/>
      <c r="S828" s="9">
        <f t="shared" si="720"/>
        <v>0</v>
      </c>
      <c r="T828" s="16"/>
      <c r="U828" s="29"/>
      <c r="V828" s="17"/>
      <c r="W828" s="32"/>
      <c r="X828" s="9">
        <f t="shared" si="721"/>
        <v>0</v>
      </c>
      <c r="Y828" s="104">
        <f t="shared" si="722"/>
        <v>0</v>
      </c>
    </row>
    <row r="829" spans="1:26" x14ac:dyDescent="0.15">
      <c r="A829" s="47"/>
      <c r="B829" s="16"/>
      <c r="C829" s="29"/>
      <c r="D829" s="17"/>
      <c r="E829" s="20"/>
      <c r="F829" s="45">
        <f t="shared" si="712"/>
        <v>0</v>
      </c>
      <c r="G829" s="16"/>
      <c r="H829" s="29"/>
      <c r="I829" s="17"/>
      <c r="J829" s="20"/>
      <c r="K829" s="45">
        <f t="shared" si="713"/>
        <v>0</v>
      </c>
      <c r="L829" s="104">
        <f t="shared" si="697"/>
        <v>0</v>
      </c>
      <c r="N829" s="138" t="s">
        <v>1174</v>
      </c>
      <c r="O829" s="145">
        <v>0</v>
      </c>
      <c r="P829" s="146">
        <v>0</v>
      </c>
      <c r="Q829" s="147">
        <v>0</v>
      </c>
      <c r="R829" s="247"/>
      <c r="S829" s="215">
        <f t="shared" ref="S829:S830" si="723">SUM(O829:R829)</f>
        <v>0</v>
      </c>
      <c r="T829" s="242"/>
      <c r="U829" s="243"/>
      <c r="V829" s="244"/>
      <c r="W829" s="310"/>
      <c r="X829" s="215">
        <f t="shared" ref="X829:X830" si="724">SUM(T829:W829)</f>
        <v>0</v>
      </c>
      <c r="Y829" s="144">
        <f t="shared" ref="Y829:Y830" si="725">S829+X829</f>
        <v>0</v>
      </c>
      <c r="Z829" s="225"/>
    </row>
    <row r="830" spans="1:26" x14ac:dyDescent="0.15">
      <c r="A830" s="47"/>
      <c r="B830" s="16"/>
      <c r="C830" s="29"/>
      <c r="D830" s="17"/>
      <c r="E830" s="20"/>
      <c r="F830" s="45">
        <f t="shared" si="712"/>
        <v>0</v>
      </c>
      <c r="G830" s="16"/>
      <c r="H830" s="29"/>
      <c r="I830" s="17"/>
      <c r="J830" s="20"/>
      <c r="K830" s="45">
        <f t="shared" si="713"/>
        <v>0</v>
      </c>
      <c r="L830" s="104">
        <f t="shared" si="697"/>
        <v>0</v>
      </c>
      <c r="N830" s="114" t="s">
        <v>1175</v>
      </c>
      <c r="O830" s="91">
        <v>5</v>
      </c>
      <c r="P830" s="92">
        <v>10</v>
      </c>
      <c r="Q830" s="93">
        <v>15</v>
      </c>
      <c r="R830" s="236"/>
      <c r="S830" s="97">
        <f t="shared" si="723"/>
        <v>30</v>
      </c>
      <c r="T830" s="211"/>
      <c r="U830" s="212"/>
      <c r="V830" s="213"/>
      <c r="W830" s="236"/>
      <c r="X830" s="97">
        <f t="shared" si="724"/>
        <v>0</v>
      </c>
      <c r="Y830" s="107">
        <f t="shared" si="725"/>
        <v>30</v>
      </c>
      <c r="Z830" s="50" t="s">
        <v>1173</v>
      </c>
    </row>
    <row r="831" spans="1:26" x14ac:dyDescent="0.15">
      <c r="A831" s="47"/>
      <c r="B831" s="16"/>
      <c r="C831" s="29"/>
      <c r="D831" s="17"/>
      <c r="E831" s="20"/>
      <c r="F831" s="45">
        <f t="shared" si="712"/>
        <v>0</v>
      </c>
      <c r="G831" s="16"/>
      <c r="H831" s="29"/>
      <c r="I831" s="17"/>
      <c r="J831" s="20"/>
      <c r="K831" s="45">
        <f t="shared" si="713"/>
        <v>0</v>
      </c>
      <c r="L831" s="104">
        <f t="shared" si="697"/>
        <v>0</v>
      </c>
      <c r="N831" s="138" t="s">
        <v>1157</v>
      </c>
      <c r="O831" s="145">
        <v>-19</v>
      </c>
      <c r="P831" s="146">
        <v>-12</v>
      </c>
      <c r="Q831" s="147">
        <v>-4</v>
      </c>
      <c r="R831" s="148">
        <v>-8</v>
      </c>
      <c r="S831" s="215">
        <f t="shared" si="718"/>
        <v>-43</v>
      </c>
      <c r="T831" s="145">
        <v>-12</v>
      </c>
      <c r="U831" s="146">
        <v>-10</v>
      </c>
      <c r="V831" s="147">
        <v>-12</v>
      </c>
      <c r="W831" s="303">
        <v>-25</v>
      </c>
      <c r="X831" s="215">
        <f t="shared" si="719"/>
        <v>-59</v>
      </c>
      <c r="Y831" s="144">
        <f t="shared" si="706"/>
        <v>-102</v>
      </c>
      <c r="Z831" s="225"/>
    </row>
    <row r="832" spans="1:26" ht="14.25" thickBot="1" x14ac:dyDescent="0.2">
      <c r="A832" s="47"/>
      <c r="B832" s="37"/>
      <c r="C832" s="38"/>
      <c r="D832" s="39"/>
      <c r="E832" s="40"/>
      <c r="F832" s="45">
        <f t="shared" si="712"/>
        <v>0</v>
      </c>
      <c r="G832" s="37"/>
      <c r="H832" s="38"/>
      <c r="I832" s="39"/>
      <c r="J832" s="40"/>
      <c r="K832" s="45">
        <f t="shared" si="713"/>
        <v>0</v>
      </c>
      <c r="L832" s="104">
        <f t="shared" si="697"/>
        <v>0</v>
      </c>
      <c r="N832" s="177" t="s">
        <v>1152</v>
      </c>
      <c r="O832" s="85">
        <v>25</v>
      </c>
      <c r="P832" s="86">
        <v>60</v>
      </c>
      <c r="Q832" s="87">
        <v>70</v>
      </c>
      <c r="R832" s="88">
        <v>50</v>
      </c>
      <c r="S832" s="89">
        <f t="shared" si="718"/>
        <v>205</v>
      </c>
      <c r="T832" s="85">
        <v>15</v>
      </c>
      <c r="U832" s="86">
        <v>15</v>
      </c>
      <c r="V832" s="87">
        <v>25</v>
      </c>
      <c r="W832" s="88">
        <v>5</v>
      </c>
      <c r="X832" s="89">
        <f t="shared" si="719"/>
        <v>60</v>
      </c>
      <c r="Y832" s="127">
        <f t="shared" si="706"/>
        <v>265</v>
      </c>
      <c r="Z832" s="50" t="s">
        <v>1151</v>
      </c>
    </row>
    <row r="833" spans="1:25" ht="14.25" thickBot="1" x14ac:dyDescent="0.2">
      <c r="A833" s="13" t="s">
        <v>8</v>
      </c>
      <c r="B833" s="22">
        <f>SUM(B808:B832)</f>
        <v>0</v>
      </c>
      <c r="C833" s="30">
        <f>SUM(C808:C832)</f>
        <v>0</v>
      </c>
      <c r="D833" s="23">
        <f>SUM(D808:D832)</f>
        <v>0</v>
      </c>
      <c r="E833" s="24">
        <f>SUM(E808:E832)</f>
        <v>0</v>
      </c>
      <c r="F833" s="21">
        <f t="shared" si="712"/>
        <v>0</v>
      </c>
      <c r="G833" s="22">
        <f>SUM(G808:G832)</f>
        <v>0</v>
      </c>
      <c r="H833" s="30">
        <f>SUM(H808:H832)</f>
        <v>0</v>
      </c>
      <c r="I833" s="23">
        <f>SUM(I808:I832)</f>
        <v>0</v>
      </c>
      <c r="J833" s="24">
        <f>SUM(J808:J832)</f>
        <v>0</v>
      </c>
      <c r="K833" s="21">
        <f t="shared" si="713"/>
        <v>0</v>
      </c>
      <c r="L833" s="105">
        <f t="shared" si="697"/>
        <v>0</v>
      </c>
      <c r="N833" s="49" t="s">
        <v>8</v>
      </c>
      <c r="O833" s="22">
        <f>SUM(O808:O832)</f>
        <v>11</v>
      </c>
      <c r="P833" s="30">
        <f>SUM(P808:P832)</f>
        <v>58</v>
      </c>
      <c r="Q833" s="23">
        <f>SUM(Q808:Q832)</f>
        <v>81</v>
      </c>
      <c r="R833" s="24">
        <f>SUM(R808:R832)</f>
        <v>42</v>
      </c>
      <c r="S833" s="48">
        <f t="shared" si="718"/>
        <v>192</v>
      </c>
      <c r="T833" s="22">
        <f>SUM(T808:T832)</f>
        <v>3</v>
      </c>
      <c r="U833" s="30">
        <f>SUM(U808:U832)</f>
        <v>5</v>
      </c>
      <c r="V833" s="23">
        <f>SUM(V808:V832)</f>
        <v>13</v>
      </c>
      <c r="W833" s="24">
        <f>SUM(W808:W832)</f>
        <v>-20</v>
      </c>
      <c r="X833" s="48">
        <f t="shared" si="719"/>
        <v>1</v>
      </c>
      <c r="Y833" s="122">
        <f t="shared" si="706"/>
        <v>193</v>
      </c>
    </row>
    <row r="834" spans="1:25" ht="14.25" thickBot="1" x14ac:dyDescent="0.2">
      <c r="A834" s="14" t="s">
        <v>9</v>
      </c>
      <c r="B834" s="25">
        <f t="shared" ref="B834:K834" si="726">B807-B833</f>
        <v>8</v>
      </c>
      <c r="C834" s="31">
        <f t="shared" si="726"/>
        <v>7</v>
      </c>
      <c r="D834" s="26">
        <f t="shared" si="726"/>
        <v>8</v>
      </c>
      <c r="E834" s="27">
        <f t="shared" si="726"/>
        <v>9</v>
      </c>
      <c r="F834" s="83">
        <f t="shared" si="726"/>
        <v>32</v>
      </c>
      <c r="G834" s="25">
        <f t="shared" si="726"/>
        <v>6</v>
      </c>
      <c r="H834" s="31">
        <f t="shared" si="726"/>
        <v>10</v>
      </c>
      <c r="I834" s="26">
        <f t="shared" si="726"/>
        <v>8</v>
      </c>
      <c r="J834" s="27">
        <f t="shared" si="726"/>
        <v>6</v>
      </c>
      <c r="K834" s="83">
        <f t="shared" si="726"/>
        <v>30</v>
      </c>
      <c r="L834" s="102">
        <f t="shared" si="697"/>
        <v>62</v>
      </c>
      <c r="N834" s="13" t="s">
        <v>9</v>
      </c>
      <c r="O834" s="25">
        <f t="shared" ref="O834:X834" si="727">O807-O833</f>
        <v>227</v>
      </c>
      <c r="P834" s="31">
        <f t="shared" si="727"/>
        <v>290</v>
      </c>
      <c r="Q834" s="26">
        <f t="shared" si="727"/>
        <v>191</v>
      </c>
      <c r="R834" s="27">
        <f t="shared" si="727"/>
        <v>287</v>
      </c>
      <c r="S834" s="36">
        <f t="shared" si="727"/>
        <v>995</v>
      </c>
      <c r="T834" s="25">
        <f t="shared" si="727"/>
        <v>82</v>
      </c>
      <c r="U834" s="31">
        <f t="shared" si="727"/>
        <v>81</v>
      </c>
      <c r="V834" s="26">
        <f t="shared" si="727"/>
        <v>44</v>
      </c>
      <c r="W834" s="27">
        <f t="shared" si="727"/>
        <v>117</v>
      </c>
      <c r="X834" s="36">
        <f t="shared" si="727"/>
        <v>324</v>
      </c>
      <c r="Y834" s="102">
        <f t="shared" si="706"/>
        <v>1319</v>
      </c>
    </row>
    <row r="835" spans="1:25" x14ac:dyDescent="0.15">
      <c r="N835" s="307" t="s">
        <v>313</v>
      </c>
      <c r="O835" s="71">
        <f>O834/$S$834*100</f>
        <v>22.814070351758794</v>
      </c>
      <c r="P835" s="71">
        <f t="shared" ref="P835:S835" si="728">P834/$S$834*100</f>
        <v>29.145728643216078</v>
      </c>
      <c r="Q835" s="71">
        <f t="shared" si="728"/>
        <v>19.195979899497488</v>
      </c>
      <c r="R835" s="71">
        <f t="shared" si="728"/>
        <v>28.844221105527641</v>
      </c>
      <c r="S835" s="71">
        <f t="shared" si="728"/>
        <v>100</v>
      </c>
    </row>
    <row r="836" spans="1:25" x14ac:dyDescent="0.15">
      <c r="N836" s="305" t="s">
        <v>597</v>
      </c>
      <c r="O836" s="116">
        <v>17.100000000000001</v>
      </c>
      <c r="P836" s="116">
        <v>30.4</v>
      </c>
      <c r="Q836" s="116">
        <v>24.1</v>
      </c>
      <c r="R836" s="149">
        <v>28.4</v>
      </c>
      <c r="S836" s="149">
        <f>SUM(O836:R836)</f>
        <v>100</v>
      </c>
    </row>
    <row r="837" spans="1:25" ht="19.5" thickBot="1" x14ac:dyDescent="0.25">
      <c r="A837" s="2" t="s">
        <v>18</v>
      </c>
      <c r="B837" s="2"/>
      <c r="C837" s="1"/>
      <c r="D837" s="1"/>
      <c r="E837" s="1"/>
      <c r="F837" s="84"/>
      <c r="G837" s="2"/>
      <c r="H837" s="1" t="s">
        <v>157</v>
      </c>
      <c r="I837" s="1"/>
      <c r="J837" s="1"/>
      <c r="K837" s="84" t="s">
        <v>13</v>
      </c>
      <c r="L837" s="84"/>
      <c r="N837" s="2" t="s">
        <v>19</v>
      </c>
      <c r="O837" s="71"/>
      <c r="P837" s="71"/>
      <c r="Q837" s="71"/>
      <c r="R837" s="71"/>
      <c r="S837" s="84"/>
      <c r="T837" s="1" t="s">
        <v>157</v>
      </c>
      <c r="U837" s="71"/>
      <c r="V837" s="71"/>
      <c r="W837" s="71"/>
      <c r="X837" s="84" t="s">
        <v>13</v>
      </c>
    </row>
    <row r="838" spans="1:25" ht="14.25" thickBot="1" x14ac:dyDescent="0.2">
      <c r="A838" s="5" t="s">
        <v>0</v>
      </c>
      <c r="B838" s="322" t="s">
        <v>32</v>
      </c>
      <c r="C838" s="323"/>
      <c r="D838" s="323"/>
      <c r="E838" s="323"/>
      <c r="F838" s="324"/>
      <c r="G838" s="325" t="s">
        <v>31</v>
      </c>
      <c r="H838" s="326"/>
      <c r="I838" s="326"/>
      <c r="J838" s="326"/>
      <c r="K838" s="327"/>
      <c r="L838" s="320" t="s">
        <v>30</v>
      </c>
      <c r="N838" s="5" t="s">
        <v>0</v>
      </c>
      <c r="O838" s="322" t="s">
        <v>200</v>
      </c>
      <c r="P838" s="323"/>
      <c r="Q838" s="323"/>
      <c r="R838" s="323"/>
      <c r="S838" s="324"/>
      <c r="T838" s="325" t="s">
        <v>201</v>
      </c>
      <c r="U838" s="326"/>
      <c r="V838" s="326"/>
      <c r="W838" s="326"/>
      <c r="X838" s="327"/>
      <c r="Y838" s="320" t="s">
        <v>30</v>
      </c>
    </row>
    <row r="839" spans="1:25" ht="14.25" thickBot="1" x14ac:dyDescent="0.2">
      <c r="A839" s="5" t="s">
        <v>1</v>
      </c>
      <c r="B839" s="3" t="s">
        <v>22</v>
      </c>
      <c r="C839" s="28" t="s">
        <v>23</v>
      </c>
      <c r="D839" s="4" t="s">
        <v>24</v>
      </c>
      <c r="E839" s="15" t="s">
        <v>25</v>
      </c>
      <c r="F839" s="19" t="s">
        <v>2</v>
      </c>
      <c r="G839" s="3" t="s">
        <v>22</v>
      </c>
      <c r="H839" s="28" t="s">
        <v>23</v>
      </c>
      <c r="I839" s="4" t="s">
        <v>24</v>
      </c>
      <c r="J839" s="15" t="s">
        <v>25</v>
      </c>
      <c r="K839" s="19" t="s">
        <v>2</v>
      </c>
      <c r="L839" s="321"/>
      <c r="N839" s="5" t="s">
        <v>1</v>
      </c>
      <c r="O839" s="3" t="s">
        <v>22</v>
      </c>
      <c r="P839" s="28" t="s">
        <v>23</v>
      </c>
      <c r="Q839" s="4" t="s">
        <v>24</v>
      </c>
      <c r="R839" s="15" t="s">
        <v>25</v>
      </c>
      <c r="S839" s="19" t="s">
        <v>2</v>
      </c>
      <c r="T839" s="3" t="s">
        <v>22</v>
      </c>
      <c r="U839" s="28" t="s">
        <v>23</v>
      </c>
      <c r="V839" s="4" t="s">
        <v>24</v>
      </c>
      <c r="W839" s="15" t="s">
        <v>25</v>
      </c>
      <c r="X839" s="19" t="s">
        <v>2</v>
      </c>
      <c r="Y839" s="321"/>
    </row>
    <row r="840" spans="1:25" x14ac:dyDescent="0.15">
      <c r="A840" s="78" t="s">
        <v>10</v>
      </c>
      <c r="B840" s="79">
        <f>B834</f>
        <v>8</v>
      </c>
      <c r="C840" s="80">
        <f>C834</f>
        <v>7</v>
      </c>
      <c r="D840" s="80">
        <f>D834</f>
        <v>8</v>
      </c>
      <c r="E840" s="81">
        <f>E834</f>
        <v>9</v>
      </c>
      <c r="F840" s="82">
        <f>SUM(B840:E840)</f>
        <v>32</v>
      </c>
      <c r="G840" s="79">
        <f>G834</f>
        <v>6</v>
      </c>
      <c r="H840" s="80">
        <f>H834</f>
        <v>10</v>
      </c>
      <c r="I840" s="80">
        <f>I834</f>
        <v>8</v>
      </c>
      <c r="J840" s="81">
        <f>J834</f>
        <v>6</v>
      </c>
      <c r="K840" s="82">
        <f>SUM(G840:J840)</f>
        <v>30</v>
      </c>
      <c r="L840" s="98">
        <f t="shared" ref="L840:L872" si="729">F840+K840</f>
        <v>62</v>
      </c>
      <c r="N840" s="78" t="s">
        <v>10</v>
      </c>
      <c r="O840" s="79">
        <f>O834</f>
        <v>227</v>
      </c>
      <c r="P840" s="80">
        <f>P834</f>
        <v>290</v>
      </c>
      <c r="Q840" s="80">
        <f>Q834</f>
        <v>191</v>
      </c>
      <c r="R840" s="81">
        <f>R834</f>
        <v>287</v>
      </c>
      <c r="S840" s="82">
        <f>SUM(O840:R840)</f>
        <v>995</v>
      </c>
      <c r="T840" s="79">
        <f>T834</f>
        <v>82</v>
      </c>
      <c r="U840" s="80">
        <f>U834</f>
        <v>81</v>
      </c>
      <c r="V840" s="80">
        <f>V834</f>
        <v>44</v>
      </c>
      <c r="W840" s="81">
        <f>W834</f>
        <v>117</v>
      </c>
      <c r="X840" s="82">
        <f>SUM(T840:W840)</f>
        <v>324</v>
      </c>
      <c r="Y840" s="98">
        <f>S840+X840</f>
        <v>1319</v>
      </c>
    </row>
    <row r="841" spans="1:25" x14ac:dyDescent="0.15">
      <c r="A841" s="47" t="s">
        <v>3</v>
      </c>
      <c r="B841" s="51"/>
      <c r="C841" s="52"/>
      <c r="D841" s="53"/>
      <c r="E841" s="54"/>
      <c r="F841" s="61">
        <f>SUM(B841:E841)</f>
        <v>0</v>
      </c>
      <c r="G841" s="51"/>
      <c r="H841" s="52"/>
      <c r="I841" s="53"/>
      <c r="J841" s="54"/>
      <c r="K841" s="61">
        <f>SUM(G841:J841)</f>
        <v>0</v>
      </c>
      <c r="L841" s="99">
        <f t="shared" si="729"/>
        <v>0</v>
      </c>
      <c r="N841" s="12" t="s">
        <v>3</v>
      </c>
      <c r="O841" s="16"/>
      <c r="P841" s="29"/>
      <c r="Q841" s="17"/>
      <c r="R841" s="20"/>
      <c r="S841" s="45">
        <f t="shared" ref="S841:S842" si="730">SUM(O841:R841)</f>
        <v>0</v>
      </c>
      <c r="T841" s="16"/>
      <c r="U841" s="29"/>
      <c r="V841" s="17"/>
      <c r="W841" s="20"/>
      <c r="X841" s="45">
        <f t="shared" ref="X841:X842" si="731">SUM(T841:W841)</f>
        <v>0</v>
      </c>
      <c r="Y841" s="100">
        <f t="shared" ref="Y841:Y842" si="732">S841+X841</f>
        <v>0</v>
      </c>
    </row>
    <row r="842" spans="1:25" x14ac:dyDescent="0.15">
      <c r="A842" s="12" t="s">
        <v>4</v>
      </c>
      <c r="B842" s="6"/>
      <c r="C842" s="18"/>
      <c r="D842" s="7"/>
      <c r="E842" s="8"/>
      <c r="F842" s="9">
        <f>SUM(B842:E842)</f>
        <v>0</v>
      </c>
      <c r="G842" s="6"/>
      <c r="H842" s="18"/>
      <c r="I842" s="7"/>
      <c r="J842" s="8"/>
      <c r="K842" s="9">
        <f>SUM(G842:J842)</f>
        <v>0</v>
      </c>
      <c r="L842" s="100">
        <f t="shared" si="729"/>
        <v>0</v>
      </c>
      <c r="N842" s="12" t="s">
        <v>4</v>
      </c>
      <c r="O842" s="16"/>
      <c r="P842" s="29"/>
      <c r="Q842" s="17"/>
      <c r="R842" s="20"/>
      <c r="S842" s="45">
        <f t="shared" si="730"/>
        <v>0</v>
      </c>
      <c r="T842" s="16"/>
      <c r="U842" s="29"/>
      <c r="V842" s="17"/>
      <c r="W842" s="20"/>
      <c r="X842" s="45">
        <f t="shared" si="731"/>
        <v>0</v>
      </c>
      <c r="Y842" s="100">
        <f t="shared" si="732"/>
        <v>0</v>
      </c>
    </row>
    <row r="843" spans="1:25" x14ac:dyDescent="0.15">
      <c r="A843" s="12" t="s">
        <v>5</v>
      </c>
      <c r="B843" s="6"/>
      <c r="C843" s="18"/>
      <c r="D843" s="7"/>
      <c r="E843" s="8"/>
      <c r="F843" s="9">
        <f>SUM(B843:E843)</f>
        <v>0</v>
      </c>
      <c r="G843" s="6"/>
      <c r="H843" s="18"/>
      <c r="I843" s="7"/>
      <c r="J843" s="8"/>
      <c r="K843" s="9">
        <f>SUM(G843:J843)</f>
        <v>0</v>
      </c>
      <c r="L843" s="100">
        <f t="shared" si="729"/>
        <v>0</v>
      </c>
      <c r="N843" s="12" t="s">
        <v>5</v>
      </c>
      <c r="O843" s="16"/>
      <c r="P843" s="29"/>
      <c r="Q843" s="17"/>
      <c r="R843" s="20"/>
      <c r="S843" s="45">
        <f t="shared" ref="S843" si="733">SUM(O843:R843)</f>
        <v>0</v>
      </c>
      <c r="T843" s="16"/>
      <c r="U843" s="29"/>
      <c r="V843" s="17"/>
      <c r="W843" s="20"/>
      <c r="X843" s="45">
        <f t="shared" ref="X843" si="734">SUM(T843:W843)</f>
        <v>0</v>
      </c>
      <c r="Y843" s="100">
        <f t="shared" ref="Y843" si="735">S843+X843</f>
        <v>0</v>
      </c>
    </row>
    <row r="844" spans="1:25" ht="14.25" thickBot="1" x14ac:dyDescent="0.2">
      <c r="A844" s="12" t="s">
        <v>6</v>
      </c>
      <c r="B844" s="6"/>
      <c r="C844" s="18"/>
      <c r="D844" s="7"/>
      <c r="E844" s="8"/>
      <c r="F844" s="10">
        <f>SUM(B844:E844)</f>
        <v>0</v>
      </c>
      <c r="G844" s="6"/>
      <c r="H844" s="18"/>
      <c r="I844" s="7"/>
      <c r="J844" s="8"/>
      <c r="K844" s="10">
        <f>SUM(G844:J844)</f>
        <v>0</v>
      </c>
      <c r="L844" s="101">
        <f t="shared" si="729"/>
        <v>0</v>
      </c>
      <c r="N844" s="12" t="s">
        <v>6</v>
      </c>
      <c r="O844" s="16"/>
      <c r="P844" s="29"/>
      <c r="Q844" s="17"/>
      <c r="R844" s="20"/>
      <c r="S844" s="45">
        <f t="shared" ref="S844" si="736">SUM(O844:R844)</f>
        <v>0</v>
      </c>
      <c r="T844" s="16"/>
      <c r="U844" s="29"/>
      <c r="V844" s="17"/>
      <c r="W844" s="20"/>
      <c r="X844" s="45">
        <f t="shared" ref="X844" si="737">SUM(T844:W844)</f>
        <v>0</v>
      </c>
      <c r="Y844" s="100">
        <f t="shared" ref="Y844:Y872" si="738">S844+X844</f>
        <v>0</v>
      </c>
    </row>
    <row r="845" spans="1:25" ht="14.25" thickBot="1" x14ac:dyDescent="0.2">
      <c r="A845" s="14" t="s">
        <v>7</v>
      </c>
      <c r="B845" s="62">
        <f t="shared" ref="B845:K845" si="739">SUM(B840:B844)</f>
        <v>8</v>
      </c>
      <c r="C845" s="63">
        <f t="shared" si="739"/>
        <v>7</v>
      </c>
      <c r="D845" s="64">
        <f t="shared" si="739"/>
        <v>8</v>
      </c>
      <c r="E845" s="65">
        <f t="shared" si="739"/>
        <v>9</v>
      </c>
      <c r="F845" s="66">
        <f t="shared" si="739"/>
        <v>32</v>
      </c>
      <c r="G845" s="62">
        <f t="shared" si="739"/>
        <v>6</v>
      </c>
      <c r="H845" s="63">
        <f t="shared" si="739"/>
        <v>10</v>
      </c>
      <c r="I845" s="64">
        <f t="shared" si="739"/>
        <v>8</v>
      </c>
      <c r="J845" s="65">
        <f t="shared" si="739"/>
        <v>6</v>
      </c>
      <c r="K845" s="66">
        <f t="shared" si="739"/>
        <v>30</v>
      </c>
      <c r="L845" s="102">
        <f t="shared" si="729"/>
        <v>62</v>
      </c>
      <c r="N845" s="13" t="s">
        <v>7</v>
      </c>
      <c r="O845" s="25">
        <f t="shared" ref="O845:X845" si="740">SUM(O840:O844)</f>
        <v>227</v>
      </c>
      <c r="P845" s="31">
        <f t="shared" si="740"/>
        <v>290</v>
      </c>
      <c r="Q845" s="26">
        <f t="shared" si="740"/>
        <v>191</v>
      </c>
      <c r="R845" s="67">
        <f t="shared" si="740"/>
        <v>287</v>
      </c>
      <c r="S845" s="68">
        <f t="shared" si="740"/>
        <v>995</v>
      </c>
      <c r="T845" s="25">
        <f t="shared" si="740"/>
        <v>82</v>
      </c>
      <c r="U845" s="31">
        <f t="shared" si="740"/>
        <v>81</v>
      </c>
      <c r="V845" s="26">
        <f t="shared" si="740"/>
        <v>44</v>
      </c>
      <c r="W845" s="67">
        <f t="shared" si="740"/>
        <v>117</v>
      </c>
      <c r="X845" s="68">
        <f t="shared" si="740"/>
        <v>324</v>
      </c>
      <c r="Y845" s="102">
        <f t="shared" si="738"/>
        <v>1319</v>
      </c>
    </row>
    <row r="846" spans="1:25" x14ac:dyDescent="0.15">
      <c r="A846" s="47"/>
      <c r="B846" s="41"/>
      <c r="C846" s="42"/>
      <c r="D846" s="43"/>
      <c r="E846" s="44"/>
      <c r="F846" s="70">
        <f t="shared" ref="F846:F871" si="741">SUM(B846:E846)</f>
        <v>0</v>
      </c>
      <c r="G846" s="41"/>
      <c r="H846" s="42"/>
      <c r="I846" s="43"/>
      <c r="J846" s="44"/>
      <c r="K846" s="70">
        <f t="shared" ref="K846:K871" si="742">SUM(G846:J846)</f>
        <v>0</v>
      </c>
      <c r="L846" s="103">
        <f t="shared" si="729"/>
        <v>0</v>
      </c>
      <c r="N846" s="33"/>
      <c r="O846" s="16"/>
      <c r="P846" s="29"/>
      <c r="Q846" s="17"/>
      <c r="R846" s="32"/>
      <c r="S846" s="9">
        <f t="shared" ref="S846:S851" si="743">SUM(O846:R846)</f>
        <v>0</v>
      </c>
      <c r="T846" s="16"/>
      <c r="U846" s="29"/>
      <c r="V846" s="17"/>
      <c r="W846" s="32"/>
      <c r="X846" s="9">
        <f t="shared" ref="X846:X851" si="744">SUM(T846:W846)</f>
        <v>0</v>
      </c>
      <c r="Y846" s="103">
        <f t="shared" si="738"/>
        <v>0</v>
      </c>
    </row>
    <row r="847" spans="1:25" x14ac:dyDescent="0.15">
      <c r="A847" s="47"/>
      <c r="B847" s="16"/>
      <c r="C847" s="29"/>
      <c r="D847" s="17"/>
      <c r="E847" s="20"/>
      <c r="F847" s="45">
        <f t="shared" si="741"/>
        <v>0</v>
      </c>
      <c r="G847" s="16"/>
      <c r="H847" s="29"/>
      <c r="I847" s="17"/>
      <c r="J847" s="20"/>
      <c r="K847" s="45">
        <f t="shared" si="742"/>
        <v>0</v>
      </c>
      <c r="L847" s="104">
        <f t="shared" si="729"/>
        <v>0</v>
      </c>
      <c r="N847" s="33"/>
      <c r="O847" s="16"/>
      <c r="P847" s="29"/>
      <c r="Q847" s="17"/>
      <c r="R847" s="32"/>
      <c r="S847" s="9">
        <f t="shared" si="743"/>
        <v>0</v>
      </c>
      <c r="T847" s="16"/>
      <c r="U847" s="29"/>
      <c r="V847" s="17"/>
      <c r="W847" s="32"/>
      <c r="X847" s="9">
        <f t="shared" si="744"/>
        <v>0</v>
      </c>
      <c r="Y847" s="104">
        <f t="shared" si="738"/>
        <v>0</v>
      </c>
    </row>
    <row r="848" spans="1:25" x14ac:dyDescent="0.15">
      <c r="A848" s="47"/>
      <c r="B848" s="16"/>
      <c r="C848" s="29"/>
      <c r="D848" s="17"/>
      <c r="E848" s="20"/>
      <c r="F848" s="45">
        <f t="shared" si="741"/>
        <v>0</v>
      </c>
      <c r="G848" s="16"/>
      <c r="H848" s="29"/>
      <c r="I848" s="17"/>
      <c r="J848" s="20"/>
      <c r="K848" s="45">
        <f t="shared" si="742"/>
        <v>0</v>
      </c>
      <c r="L848" s="104">
        <f t="shared" si="729"/>
        <v>0</v>
      </c>
      <c r="N848" s="33"/>
      <c r="O848" s="16"/>
      <c r="P848" s="29"/>
      <c r="Q848" s="17"/>
      <c r="R848" s="32"/>
      <c r="S848" s="9">
        <f t="shared" si="743"/>
        <v>0</v>
      </c>
      <c r="T848" s="16"/>
      <c r="U848" s="29"/>
      <c r="V848" s="17"/>
      <c r="W848" s="32"/>
      <c r="X848" s="9">
        <f t="shared" si="744"/>
        <v>0</v>
      </c>
      <c r="Y848" s="104">
        <f t="shared" si="738"/>
        <v>0</v>
      </c>
    </row>
    <row r="849" spans="1:25" x14ac:dyDescent="0.15">
      <c r="A849" s="47"/>
      <c r="B849" s="16"/>
      <c r="C849" s="29"/>
      <c r="D849" s="17"/>
      <c r="E849" s="20"/>
      <c r="F849" s="45">
        <f t="shared" si="741"/>
        <v>0</v>
      </c>
      <c r="G849" s="16"/>
      <c r="H849" s="29"/>
      <c r="I849" s="17"/>
      <c r="J849" s="20"/>
      <c r="K849" s="45">
        <f t="shared" si="742"/>
        <v>0</v>
      </c>
      <c r="L849" s="104">
        <f t="shared" si="729"/>
        <v>0</v>
      </c>
      <c r="N849" s="33"/>
      <c r="O849" s="16"/>
      <c r="P849" s="29"/>
      <c r="Q849" s="17"/>
      <c r="R849" s="32"/>
      <c r="S849" s="9">
        <f t="shared" si="743"/>
        <v>0</v>
      </c>
      <c r="T849" s="16"/>
      <c r="U849" s="29"/>
      <c r="V849" s="17"/>
      <c r="W849" s="32"/>
      <c r="X849" s="9">
        <f t="shared" si="744"/>
        <v>0</v>
      </c>
      <c r="Y849" s="104">
        <f t="shared" si="738"/>
        <v>0</v>
      </c>
    </row>
    <row r="850" spans="1:25" x14ac:dyDescent="0.15">
      <c r="A850" s="47"/>
      <c r="B850" s="16"/>
      <c r="C850" s="29"/>
      <c r="D850" s="17"/>
      <c r="E850" s="20"/>
      <c r="F850" s="45">
        <f t="shared" si="741"/>
        <v>0</v>
      </c>
      <c r="G850" s="16"/>
      <c r="H850" s="29"/>
      <c r="I850" s="17"/>
      <c r="J850" s="20"/>
      <c r="K850" s="45">
        <f t="shared" si="742"/>
        <v>0</v>
      </c>
      <c r="L850" s="104">
        <f t="shared" si="729"/>
        <v>0</v>
      </c>
      <c r="N850" s="33"/>
      <c r="O850" s="16"/>
      <c r="P850" s="29"/>
      <c r="Q850" s="17"/>
      <c r="R850" s="32"/>
      <c r="S850" s="9">
        <f t="shared" si="743"/>
        <v>0</v>
      </c>
      <c r="T850" s="16"/>
      <c r="U850" s="29"/>
      <c r="V850" s="17"/>
      <c r="W850" s="32"/>
      <c r="X850" s="9">
        <f t="shared" si="744"/>
        <v>0</v>
      </c>
      <c r="Y850" s="104">
        <f t="shared" si="738"/>
        <v>0</v>
      </c>
    </row>
    <row r="851" spans="1:25" x14ac:dyDescent="0.15">
      <c r="A851" s="47"/>
      <c r="B851" s="16"/>
      <c r="C851" s="29"/>
      <c r="D851" s="17"/>
      <c r="E851" s="20"/>
      <c r="F851" s="45">
        <f t="shared" si="741"/>
        <v>0</v>
      </c>
      <c r="G851" s="16"/>
      <c r="H851" s="29"/>
      <c r="I851" s="17"/>
      <c r="J851" s="20"/>
      <c r="K851" s="45">
        <f t="shared" si="742"/>
        <v>0</v>
      </c>
      <c r="L851" s="104">
        <f t="shared" si="729"/>
        <v>0</v>
      </c>
      <c r="N851" s="33"/>
      <c r="O851" s="16"/>
      <c r="P851" s="29"/>
      <c r="Q851" s="17"/>
      <c r="R851" s="32"/>
      <c r="S851" s="9">
        <f t="shared" si="743"/>
        <v>0</v>
      </c>
      <c r="T851" s="16"/>
      <c r="U851" s="29"/>
      <c r="V851" s="17"/>
      <c r="W851" s="32"/>
      <c r="X851" s="9">
        <f t="shared" si="744"/>
        <v>0</v>
      </c>
      <c r="Y851" s="104">
        <f t="shared" si="738"/>
        <v>0</v>
      </c>
    </row>
    <row r="852" spans="1:25" x14ac:dyDescent="0.15">
      <c r="A852" s="47"/>
      <c r="B852" s="16"/>
      <c r="C852" s="29"/>
      <c r="D852" s="17"/>
      <c r="E852" s="20"/>
      <c r="F852" s="45">
        <f t="shared" si="741"/>
        <v>0</v>
      </c>
      <c r="G852" s="16"/>
      <c r="H852" s="29"/>
      <c r="I852" s="17"/>
      <c r="J852" s="20"/>
      <c r="K852" s="45">
        <f t="shared" si="742"/>
        <v>0</v>
      </c>
      <c r="L852" s="104">
        <f t="shared" si="729"/>
        <v>0</v>
      </c>
      <c r="N852" s="33"/>
      <c r="O852" s="16"/>
      <c r="P852" s="29"/>
      <c r="Q852" s="17"/>
      <c r="R852" s="32"/>
      <c r="S852" s="9">
        <f>SUM(O852:R852)</f>
        <v>0</v>
      </c>
      <c r="T852" s="16"/>
      <c r="U852" s="29"/>
      <c r="V852" s="17"/>
      <c r="W852" s="32"/>
      <c r="X852" s="9">
        <f>SUM(T852:W852)</f>
        <v>0</v>
      </c>
      <c r="Y852" s="104">
        <f t="shared" si="738"/>
        <v>0</v>
      </c>
    </row>
    <row r="853" spans="1:25" x14ac:dyDescent="0.15">
      <c r="A853" s="47"/>
      <c r="B853" s="16"/>
      <c r="C853" s="29"/>
      <c r="D853" s="17"/>
      <c r="E853" s="20"/>
      <c r="F853" s="45">
        <f t="shared" si="741"/>
        <v>0</v>
      </c>
      <c r="G853" s="16"/>
      <c r="H853" s="29"/>
      <c r="I853" s="17"/>
      <c r="J853" s="20"/>
      <c r="K853" s="45">
        <f t="shared" si="742"/>
        <v>0</v>
      </c>
      <c r="L853" s="104">
        <f t="shared" si="729"/>
        <v>0</v>
      </c>
      <c r="N853" s="33"/>
      <c r="O853" s="16"/>
      <c r="P853" s="29"/>
      <c r="Q853" s="17"/>
      <c r="R853" s="32"/>
      <c r="S853" s="9">
        <f t="shared" ref="S853:S857" si="745">SUM(O853:R853)</f>
        <v>0</v>
      </c>
      <c r="T853" s="16"/>
      <c r="U853" s="29"/>
      <c r="V853" s="17"/>
      <c r="W853" s="32"/>
      <c r="X853" s="9">
        <f t="shared" ref="X853:X857" si="746">SUM(T853:W853)</f>
        <v>0</v>
      </c>
      <c r="Y853" s="104">
        <f t="shared" si="738"/>
        <v>0</v>
      </c>
    </row>
    <row r="854" spans="1:25" x14ac:dyDescent="0.15">
      <c r="A854" s="47"/>
      <c r="B854" s="16"/>
      <c r="C854" s="29"/>
      <c r="D854" s="17"/>
      <c r="E854" s="20"/>
      <c r="F854" s="45">
        <f t="shared" si="741"/>
        <v>0</v>
      </c>
      <c r="G854" s="16"/>
      <c r="H854" s="29"/>
      <c r="I854" s="17"/>
      <c r="J854" s="20"/>
      <c r="K854" s="45">
        <f t="shared" si="742"/>
        <v>0</v>
      </c>
      <c r="L854" s="104">
        <f t="shared" si="729"/>
        <v>0</v>
      </c>
      <c r="N854" s="33"/>
      <c r="O854" s="16"/>
      <c r="P854" s="29"/>
      <c r="Q854" s="17"/>
      <c r="R854" s="32"/>
      <c r="S854" s="9">
        <f t="shared" si="745"/>
        <v>0</v>
      </c>
      <c r="T854" s="16"/>
      <c r="U854" s="29"/>
      <c r="V854" s="17"/>
      <c r="W854" s="32"/>
      <c r="X854" s="9">
        <f t="shared" si="746"/>
        <v>0</v>
      </c>
      <c r="Y854" s="104">
        <f t="shared" si="738"/>
        <v>0</v>
      </c>
    </row>
    <row r="855" spans="1:25" x14ac:dyDescent="0.15">
      <c r="A855" s="33"/>
      <c r="B855" s="16"/>
      <c r="C855" s="29"/>
      <c r="D855" s="17"/>
      <c r="E855" s="20"/>
      <c r="F855" s="45">
        <f t="shared" si="741"/>
        <v>0</v>
      </c>
      <c r="G855" s="16"/>
      <c r="H855" s="29"/>
      <c r="I855" s="17"/>
      <c r="J855" s="20"/>
      <c r="K855" s="45">
        <f t="shared" si="742"/>
        <v>0</v>
      </c>
      <c r="L855" s="104">
        <f t="shared" si="729"/>
        <v>0</v>
      </c>
      <c r="N855" s="33"/>
      <c r="O855" s="16"/>
      <c r="P855" s="29"/>
      <c r="Q855" s="17"/>
      <c r="R855" s="32"/>
      <c r="S855" s="9">
        <f t="shared" si="745"/>
        <v>0</v>
      </c>
      <c r="T855" s="16"/>
      <c r="U855" s="29"/>
      <c r="V855" s="17"/>
      <c r="W855" s="32"/>
      <c r="X855" s="9">
        <f t="shared" si="746"/>
        <v>0</v>
      </c>
      <c r="Y855" s="104">
        <f t="shared" si="738"/>
        <v>0</v>
      </c>
    </row>
    <row r="856" spans="1:25" x14ac:dyDescent="0.15">
      <c r="A856" s="47"/>
      <c r="B856" s="16"/>
      <c r="C856" s="29"/>
      <c r="D856" s="17"/>
      <c r="E856" s="20"/>
      <c r="F856" s="45">
        <f t="shared" si="741"/>
        <v>0</v>
      </c>
      <c r="G856" s="16"/>
      <c r="H856" s="29"/>
      <c r="I856" s="17"/>
      <c r="J856" s="20"/>
      <c r="K856" s="45">
        <f t="shared" si="742"/>
        <v>0</v>
      </c>
      <c r="L856" s="104">
        <f t="shared" si="729"/>
        <v>0</v>
      </c>
      <c r="N856" s="33"/>
      <c r="O856" s="16"/>
      <c r="P856" s="29"/>
      <c r="Q856" s="17"/>
      <c r="R856" s="32"/>
      <c r="S856" s="9">
        <f t="shared" si="745"/>
        <v>0</v>
      </c>
      <c r="T856" s="16"/>
      <c r="U856" s="29"/>
      <c r="V856" s="17"/>
      <c r="W856" s="32"/>
      <c r="X856" s="9">
        <f t="shared" si="746"/>
        <v>0</v>
      </c>
      <c r="Y856" s="104">
        <f t="shared" si="738"/>
        <v>0</v>
      </c>
    </row>
    <row r="857" spans="1:25" x14ac:dyDescent="0.15">
      <c r="A857" s="47"/>
      <c r="B857" s="16"/>
      <c r="C857" s="29"/>
      <c r="D857" s="17"/>
      <c r="E857" s="20"/>
      <c r="F857" s="45">
        <f t="shared" si="741"/>
        <v>0</v>
      </c>
      <c r="G857" s="16"/>
      <c r="H857" s="29"/>
      <c r="I857" s="17"/>
      <c r="J857" s="20"/>
      <c r="K857" s="45">
        <f t="shared" si="742"/>
        <v>0</v>
      </c>
      <c r="L857" s="104">
        <f t="shared" si="729"/>
        <v>0</v>
      </c>
      <c r="N857" s="72"/>
      <c r="O857" s="16"/>
      <c r="P857" s="29"/>
      <c r="Q857" s="17"/>
      <c r="R857" s="32"/>
      <c r="S857" s="9">
        <f t="shared" si="745"/>
        <v>0</v>
      </c>
      <c r="T857" s="16"/>
      <c r="U857" s="29"/>
      <c r="V857" s="17"/>
      <c r="W857" s="32"/>
      <c r="X857" s="9">
        <f t="shared" si="746"/>
        <v>0</v>
      </c>
      <c r="Y857" s="104">
        <f t="shared" si="738"/>
        <v>0</v>
      </c>
    </row>
    <row r="858" spans="1:25" x14ac:dyDescent="0.15">
      <c r="A858" s="47"/>
      <c r="B858" s="16"/>
      <c r="C858" s="29"/>
      <c r="D858" s="17"/>
      <c r="E858" s="20"/>
      <c r="F858" s="45">
        <f t="shared" si="741"/>
        <v>0</v>
      </c>
      <c r="G858" s="16"/>
      <c r="H858" s="29"/>
      <c r="I858" s="17"/>
      <c r="J858" s="20"/>
      <c r="K858" s="45">
        <f t="shared" si="742"/>
        <v>0</v>
      </c>
      <c r="L858" s="104">
        <f t="shared" si="729"/>
        <v>0</v>
      </c>
      <c r="N858" s="33"/>
      <c r="O858" s="16"/>
      <c r="P858" s="29"/>
      <c r="Q858" s="17"/>
      <c r="R858" s="32"/>
      <c r="S858" s="9">
        <f>SUM(O858:R858)</f>
        <v>0</v>
      </c>
      <c r="T858" s="16"/>
      <c r="U858" s="29"/>
      <c r="V858" s="17"/>
      <c r="W858" s="32"/>
      <c r="X858" s="9">
        <f>SUM(T858:W858)</f>
        <v>0</v>
      </c>
      <c r="Y858" s="104">
        <f t="shared" si="738"/>
        <v>0</v>
      </c>
    </row>
    <row r="859" spans="1:25" x14ac:dyDescent="0.15">
      <c r="A859" s="47"/>
      <c r="B859" s="16"/>
      <c r="C859" s="29"/>
      <c r="D859" s="17"/>
      <c r="E859" s="20"/>
      <c r="F859" s="45">
        <f t="shared" si="741"/>
        <v>0</v>
      </c>
      <c r="G859" s="16"/>
      <c r="H859" s="29"/>
      <c r="I859" s="17"/>
      <c r="J859" s="20"/>
      <c r="K859" s="45">
        <f t="shared" si="742"/>
        <v>0</v>
      </c>
      <c r="L859" s="104">
        <f t="shared" si="729"/>
        <v>0</v>
      </c>
      <c r="N859" s="72"/>
      <c r="O859" s="16"/>
      <c r="P859" s="29"/>
      <c r="Q859" s="17"/>
      <c r="R859" s="32"/>
      <c r="S859" s="9">
        <f>SUM(O859:R859)</f>
        <v>0</v>
      </c>
      <c r="T859" s="16"/>
      <c r="U859" s="29"/>
      <c r="V859" s="17"/>
      <c r="W859" s="32"/>
      <c r="X859" s="9">
        <f>SUM(T859:W859)</f>
        <v>0</v>
      </c>
      <c r="Y859" s="104">
        <f t="shared" si="738"/>
        <v>0</v>
      </c>
    </row>
    <row r="860" spans="1:25" x14ac:dyDescent="0.15">
      <c r="A860" s="33"/>
      <c r="B860" s="16"/>
      <c r="C860" s="29"/>
      <c r="D860" s="17"/>
      <c r="E860" s="20"/>
      <c r="F860" s="45">
        <f t="shared" si="741"/>
        <v>0</v>
      </c>
      <c r="G860" s="16"/>
      <c r="H860" s="29"/>
      <c r="I860" s="17"/>
      <c r="J860" s="20"/>
      <c r="K860" s="45">
        <f t="shared" si="742"/>
        <v>0</v>
      </c>
      <c r="L860" s="104">
        <f t="shared" si="729"/>
        <v>0</v>
      </c>
      <c r="N860" s="72"/>
      <c r="O860" s="16"/>
      <c r="P860" s="29"/>
      <c r="Q860" s="17"/>
      <c r="R860" s="32"/>
      <c r="S860" s="9">
        <f t="shared" ref="S860:S871" si="747">SUM(O860:R860)</f>
        <v>0</v>
      </c>
      <c r="T860" s="16"/>
      <c r="U860" s="29"/>
      <c r="V860" s="17"/>
      <c r="W860" s="32"/>
      <c r="X860" s="9">
        <f t="shared" ref="X860:X871" si="748">SUM(T860:W860)</f>
        <v>0</v>
      </c>
      <c r="Y860" s="104">
        <f t="shared" si="738"/>
        <v>0</v>
      </c>
    </row>
    <row r="861" spans="1:25" x14ac:dyDescent="0.15">
      <c r="A861" s="47"/>
      <c r="B861" s="16"/>
      <c r="C861" s="29"/>
      <c r="D861" s="17"/>
      <c r="E861" s="20"/>
      <c r="F861" s="45">
        <f t="shared" si="741"/>
        <v>0</v>
      </c>
      <c r="G861" s="16"/>
      <c r="H861" s="29"/>
      <c r="I861" s="17"/>
      <c r="J861" s="20"/>
      <c r="K861" s="45">
        <f t="shared" si="742"/>
        <v>0</v>
      </c>
      <c r="L861" s="104">
        <f t="shared" si="729"/>
        <v>0</v>
      </c>
      <c r="N861" s="72"/>
      <c r="O861" s="16"/>
      <c r="P861" s="29"/>
      <c r="Q861" s="17"/>
      <c r="R861" s="32"/>
      <c r="S861" s="9">
        <f t="shared" si="747"/>
        <v>0</v>
      </c>
      <c r="T861" s="16"/>
      <c r="U861" s="29"/>
      <c r="V861" s="17"/>
      <c r="W861" s="32"/>
      <c r="X861" s="9">
        <f t="shared" si="748"/>
        <v>0</v>
      </c>
      <c r="Y861" s="104">
        <f t="shared" si="738"/>
        <v>0</v>
      </c>
    </row>
    <row r="862" spans="1:25" x14ac:dyDescent="0.15">
      <c r="A862" s="47"/>
      <c r="B862" s="16"/>
      <c r="C862" s="29"/>
      <c r="D862" s="17"/>
      <c r="E862" s="20"/>
      <c r="F862" s="45">
        <f t="shared" si="741"/>
        <v>0</v>
      </c>
      <c r="G862" s="16"/>
      <c r="H862" s="29"/>
      <c r="I862" s="17"/>
      <c r="J862" s="20"/>
      <c r="K862" s="45">
        <f t="shared" si="742"/>
        <v>0</v>
      </c>
      <c r="L862" s="104">
        <f t="shared" si="729"/>
        <v>0</v>
      </c>
      <c r="N862" s="72"/>
      <c r="O862" s="16"/>
      <c r="P862" s="29"/>
      <c r="Q862" s="17"/>
      <c r="R862" s="32"/>
      <c r="S862" s="9">
        <f t="shared" si="747"/>
        <v>0</v>
      </c>
      <c r="T862" s="16"/>
      <c r="U862" s="29"/>
      <c r="V862" s="17"/>
      <c r="W862" s="32"/>
      <c r="X862" s="9">
        <f t="shared" si="748"/>
        <v>0</v>
      </c>
      <c r="Y862" s="104">
        <f t="shared" si="738"/>
        <v>0</v>
      </c>
    </row>
    <row r="863" spans="1:25" x14ac:dyDescent="0.15">
      <c r="A863" s="47"/>
      <c r="B863" s="16"/>
      <c r="C863" s="29"/>
      <c r="D863" s="17"/>
      <c r="E863" s="20"/>
      <c r="F863" s="45">
        <f t="shared" si="741"/>
        <v>0</v>
      </c>
      <c r="G863" s="16"/>
      <c r="H863" s="29"/>
      <c r="I863" s="17"/>
      <c r="J863" s="20"/>
      <c r="K863" s="45">
        <f t="shared" si="742"/>
        <v>0</v>
      </c>
      <c r="L863" s="104">
        <f t="shared" si="729"/>
        <v>0</v>
      </c>
      <c r="N863" s="72"/>
      <c r="O863" s="16"/>
      <c r="P863" s="29"/>
      <c r="Q863" s="17"/>
      <c r="R863" s="32"/>
      <c r="S863" s="9">
        <f t="shared" si="747"/>
        <v>0</v>
      </c>
      <c r="T863" s="16"/>
      <c r="U863" s="29"/>
      <c r="V863" s="17"/>
      <c r="W863" s="32"/>
      <c r="X863" s="9">
        <f t="shared" si="748"/>
        <v>0</v>
      </c>
      <c r="Y863" s="104">
        <f t="shared" si="738"/>
        <v>0</v>
      </c>
    </row>
    <row r="864" spans="1:25" x14ac:dyDescent="0.15">
      <c r="A864" s="47"/>
      <c r="B864" s="16"/>
      <c r="C864" s="29"/>
      <c r="D864" s="17"/>
      <c r="E864" s="20"/>
      <c r="F864" s="45">
        <f t="shared" si="741"/>
        <v>0</v>
      </c>
      <c r="G864" s="16"/>
      <c r="H864" s="29"/>
      <c r="I864" s="17"/>
      <c r="J864" s="20"/>
      <c r="K864" s="45">
        <f t="shared" si="742"/>
        <v>0</v>
      </c>
      <c r="L864" s="104">
        <f t="shared" si="729"/>
        <v>0</v>
      </c>
      <c r="N864" s="72"/>
      <c r="O864" s="16"/>
      <c r="P864" s="29"/>
      <c r="Q864" s="17"/>
      <c r="R864" s="32"/>
      <c r="S864" s="9">
        <f t="shared" si="747"/>
        <v>0</v>
      </c>
      <c r="T864" s="16"/>
      <c r="U864" s="29"/>
      <c r="V864" s="17"/>
      <c r="W864" s="32"/>
      <c r="X864" s="9">
        <f t="shared" si="748"/>
        <v>0</v>
      </c>
      <c r="Y864" s="104">
        <f t="shared" si="738"/>
        <v>0</v>
      </c>
    </row>
    <row r="865" spans="1:26" x14ac:dyDescent="0.15">
      <c r="A865" s="47"/>
      <c r="B865" s="16"/>
      <c r="C865" s="29"/>
      <c r="D865" s="17"/>
      <c r="E865" s="20"/>
      <c r="F865" s="45">
        <f t="shared" si="741"/>
        <v>0</v>
      </c>
      <c r="G865" s="16"/>
      <c r="H865" s="29"/>
      <c r="I865" s="17"/>
      <c r="J865" s="20"/>
      <c r="K865" s="45">
        <f t="shared" si="742"/>
        <v>0</v>
      </c>
      <c r="L865" s="104">
        <f t="shared" si="729"/>
        <v>0</v>
      </c>
      <c r="N865" s="72"/>
      <c r="O865" s="16"/>
      <c r="P865" s="29"/>
      <c r="Q865" s="17"/>
      <c r="R865" s="32"/>
      <c r="S865" s="9">
        <f t="shared" si="747"/>
        <v>0</v>
      </c>
      <c r="T865" s="16"/>
      <c r="U865" s="29"/>
      <c r="V865" s="17"/>
      <c r="W865" s="32"/>
      <c r="X865" s="9">
        <f t="shared" si="748"/>
        <v>0</v>
      </c>
      <c r="Y865" s="104">
        <f t="shared" si="738"/>
        <v>0</v>
      </c>
    </row>
    <row r="866" spans="1:26" x14ac:dyDescent="0.15">
      <c r="A866" s="47"/>
      <c r="B866" s="16"/>
      <c r="C866" s="29"/>
      <c r="D866" s="17"/>
      <c r="E866" s="20"/>
      <c r="F866" s="45">
        <f t="shared" si="741"/>
        <v>0</v>
      </c>
      <c r="G866" s="16"/>
      <c r="H866" s="29"/>
      <c r="I866" s="17"/>
      <c r="J866" s="20"/>
      <c r="K866" s="45">
        <f t="shared" si="742"/>
        <v>0</v>
      </c>
      <c r="L866" s="104">
        <f t="shared" si="729"/>
        <v>0</v>
      </c>
      <c r="N866" s="72"/>
      <c r="O866" s="16"/>
      <c r="P866" s="29"/>
      <c r="Q866" s="17"/>
      <c r="R866" s="32"/>
      <c r="S866" s="9">
        <f t="shared" si="747"/>
        <v>0</v>
      </c>
      <c r="T866" s="16"/>
      <c r="U866" s="29"/>
      <c r="V866" s="17"/>
      <c r="W866" s="32"/>
      <c r="X866" s="9">
        <f t="shared" si="748"/>
        <v>0</v>
      </c>
      <c r="Y866" s="104">
        <f t="shared" si="738"/>
        <v>0</v>
      </c>
    </row>
    <row r="867" spans="1:26" x14ac:dyDescent="0.15">
      <c r="A867" s="47"/>
      <c r="B867" s="16"/>
      <c r="C867" s="29"/>
      <c r="D867" s="17"/>
      <c r="E867" s="20"/>
      <c r="F867" s="45">
        <f t="shared" si="741"/>
        <v>0</v>
      </c>
      <c r="G867" s="16"/>
      <c r="H867" s="29"/>
      <c r="I867" s="17"/>
      <c r="J867" s="20"/>
      <c r="K867" s="45">
        <f t="shared" si="742"/>
        <v>0</v>
      </c>
      <c r="L867" s="104">
        <f t="shared" si="729"/>
        <v>0</v>
      </c>
      <c r="N867" s="72"/>
      <c r="O867" s="16"/>
      <c r="P867" s="29"/>
      <c r="Q867" s="17"/>
      <c r="R867" s="32"/>
      <c r="S867" s="9">
        <f t="shared" si="747"/>
        <v>0</v>
      </c>
      <c r="T867" s="16"/>
      <c r="U867" s="29"/>
      <c r="V867" s="17"/>
      <c r="W867" s="32"/>
      <c r="X867" s="9">
        <f t="shared" si="748"/>
        <v>0</v>
      </c>
      <c r="Y867" s="104">
        <f t="shared" si="738"/>
        <v>0</v>
      </c>
    </row>
    <row r="868" spans="1:26" x14ac:dyDescent="0.15">
      <c r="A868" s="47"/>
      <c r="B868" s="16"/>
      <c r="C868" s="29"/>
      <c r="D868" s="17"/>
      <c r="E868" s="20"/>
      <c r="F868" s="45">
        <f t="shared" si="741"/>
        <v>0</v>
      </c>
      <c r="G868" s="16"/>
      <c r="H868" s="29"/>
      <c r="I868" s="17"/>
      <c r="J868" s="20"/>
      <c r="K868" s="45">
        <f t="shared" si="742"/>
        <v>0</v>
      </c>
      <c r="L868" s="104">
        <f t="shared" si="729"/>
        <v>0</v>
      </c>
      <c r="N868" s="72"/>
      <c r="O868" s="16"/>
      <c r="P868" s="29"/>
      <c r="Q868" s="17"/>
      <c r="R868" s="32"/>
      <c r="S868" s="9">
        <f t="shared" si="747"/>
        <v>0</v>
      </c>
      <c r="T868" s="16"/>
      <c r="U868" s="29"/>
      <c r="V868" s="17"/>
      <c r="W868" s="32"/>
      <c r="X868" s="9">
        <f t="shared" si="748"/>
        <v>0</v>
      </c>
      <c r="Y868" s="104">
        <f t="shared" si="738"/>
        <v>0</v>
      </c>
    </row>
    <row r="869" spans="1:26" x14ac:dyDescent="0.15">
      <c r="A869" s="47"/>
      <c r="B869" s="16"/>
      <c r="C869" s="29"/>
      <c r="D869" s="17"/>
      <c r="E869" s="20"/>
      <c r="F869" s="45">
        <f t="shared" si="741"/>
        <v>0</v>
      </c>
      <c r="G869" s="16"/>
      <c r="H869" s="29"/>
      <c r="I869" s="17"/>
      <c r="J869" s="20"/>
      <c r="K869" s="45">
        <f t="shared" si="742"/>
        <v>0</v>
      </c>
      <c r="L869" s="104">
        <f t="shared" si="729"/>
        <v>0</v>
      </c>
      <c r="N869" s="234" t="s">
        <v>973</v>
      </c>
      <c r="O869" s="139">
        <v>-30</v>
      </c>
      <c r="P869" s="140">
        <v>-40</v>
      </c>
      <c r="Q869" s="141">
        <v>-40</v>
      </c>
      <c r="R869" s="142">
        <v>-50</v>
      </c>
      <c r="S869" s="143">
        <f t="shared" si="747"/>
        <v>-160</v>
      </c>
      <c r="T869" s="293"/>
      <c r="U869" s="294"/>
      <c r="V869" s="295"/>
      <c r="W869" s="296"/>
      <c r="X869" s="143">
        <f t="shared" si="748"/>
        <v>0</v>
      </c>
      <c r="Y869" s="299">
        <f t="shared" si="738"/>
        <v>-160</v>
      </c>
      <c r="Z869" s="227"/>
    </row>
    <row r="870" spans="1:26" ht="14.25" thickBot="1" x14ac:dyDescent="0.2">
      <c r="A870" s="47"/>
      <c r="B870" s="37"/>
      <c r="C870" s="38"/>
      <c r="D870" s="39"/>
      <c r="E870" s="40"/>
      <c r="F870" s="45">
        <f t="shared" si="741"/>
        <v>0</v>
      </c>
      <c r="G870" s="37"/>
      <c r="H870" s="38"/>
      <c r="I870" s="39"/>
      <c r="J870" s="40"/>
      <c r="K870" s="45">
        <f t="shared" si="742"/>
        <v>0</v>
      </c>
      <c r="L870" s="104">
        <f t="shared" si="729"/>
        <v>0</v>
      </c>
      <c r="N870" s="49" t="s">
        <v>972</v>
      </c>
      <c r="O870" s="85">
        <v>211</v>
      </c>
      <c r="P870" s="86">
        <v>398</v>
      </c>
      <c r="Q870" s="87">
        <v>320</v>
      </c>
      <c r="R870" s="311">
        <v>407</v>
      </c>
      <c r="S870" s="89">
        <f t="shared" si="747"/>
        <v>1336</v>
      </c>
      <c r="T870" s="109"/>
      <c r="U870" s="111"/>
      <c r="V870" s="110"/>
      <c r="W870" s="130"/>
      <c r="X870" s="89">
        <f t="shared" si="748"/>
        <v>0</v>
      </c>
      <c r="Y870" s="127">
        <f t="shared" si="738"/>
        <v>1336</v>
      </c>
      <c r="Z870" s="227" t="s">
        <v>1168</v>
      </c>
    </row>
    <row r="871" spans="1:26" ht="14.25" thickBot="1" x14ac:dyDescent="0.2">
      <c r="A871" s="13" t="s">
        <v>8</v>
      </c>
      <c r="B871" s="22">
        <f>SUM(B846:B870)</f>
        <v>0</v>
      </c>
      <c r="C871" s="30">
        <f>SUM(C846:C870)</f>
        <v>0</v>
      </c>
      <c r="D871" s="23">
        <f>SUM(D846:D870)</f>
        <v>0</v>
      </c>
      <c r="E871" s="24">
        <f>SUM(E846:E870)</f>
        <v>0</v>
      </c>
      <c r="F871" s="21">
        <f t="shared" si="741"/>
        <v>0</v>
      </c>
      <c r="G871" s="22">
        <f>SUM(G846:G870)</f>
        <v>0</v>
      </c>
      <c r="H871" s="30">
        <f>SUM(H846:H870)</f>
        <v>0</v>
      </c>
      <c r="I871" s="23">
        <f>SUM(I846:I870)</f>
        <v>0</v>
      </c>
      <c r="J871" s="24">
        <f>SUM(J846:J870)</f>
        <v>0</v>
      </c>
      <c r="K871" s="21">
        <f t="shared" si="742"/>
        <v>0</v>
      </c>
      <c r="L871" s="105">
        <f t="shared" si="729"/>
        <v>0</v>
      </c>
      <c r="N871" s="49" t="s">
        <v>8</v>
      </c>
      <c r="O871" s="22">
        <f>SUM(O846:O870)</f>
        <v>181</v>
      </c>
      <c r="P871" s="30">
        <f>SUM(P846:P870)</f>
        <v>358</v>
      </c>
      <c r="Q871" s="23">
        <f>SUM(Q846:Q870)</f>
        <v>280</v>
      </c>
      <c r="R871" s="24">
        <f>SUM(R846:R870)</f>
        <v>357</v>
      </c>
      <c r="S871" s="48">
        <f t="shared" si="747"/>
        <v>1176</v>
      </c>
      <c r="T871" s="22">
        <f>SUM(T846:T870)</f>
        <v>0</v>
      </c>
      <c r="U871" s="30">
        <f>SUM(U846:U870)</f>
        <v>0</v>
      </c>
      <c r="V871" s="23">
        <f>SUM(V846:V870)</f>
        <v>0</v>
      </c>
      <c r="W871" s="24">
        <f>SUM(W846:W870)</f>
        <v>0</v>
      </c>
      <c r="X871" s="48">
        <f t="shared" si="748"/>
        <v>0</v>
      </c>
      <c r="Y871" s="122">
        <f t="shared" si="738"/>
        <v>1176</v>
      </c>
    </row>
    <row r="872" spans="1:26" ht="14.25" thickBot="1" x14ac:dyDescent="0.2">
      <c r="A872" s="14" t="s">
        <v>9</v>
      </c>
      <c r="B872" s="25">
        <f t="shared" ref="B872:K872" si="749">B845-B871</f>
        <v>8</v>
      </c>
      <c r="C872" s="31">
        <f t="shared" si="749"/>
        <v>7</v>
      </c>
      <c r="D872" s="26">
        <f t="shared" si="749"/>
        <v>8</v>
      </c>
      <c r="E872" s="27">
        <f t="shared" si="749"/>
        <v>9</v>
      </c>
      <c r="F872" s="83">
        <f t="shared" si="749"/>
        <v>32</v>
      </c>
      <c r="G872" s="25">
        <f t="shared" si="749"/>
        <v>6</v>
      </c>
      <c r="H872" s="31">
        <f t="shared" si="749"/>
        <v>10</v>
      </c>
      <c r="I872" s="26">
        <f t="shared" si="749"/>
        <v>8</v>
      </c>
      <c r="J872" s="27">
        <f t="shared" si="749"/>
        <v>6</v>
      </c>
      <c r="K872" s="83">
        <f t="shared" si="749"/>
        <v>30</v>
      </c>
      <c r="L872" s="102">
        <f t="shared" si="729"/>
        <v>62</v>
      </c>
      <c r="N872" s="13" t="s">
        <v>9</v>
      </c>
      <c r="O872" s="25">
        <f t="shared" ref="O872:X872" si="750">O845-O871</f>
        <v>46</v>
      </c>
      <c r="P872" s="31">
        <f t="shared" si="750"/>
        <v>-68</v>
      </c>
      <c r="Q872" s="26">
        <f t="shared" si="750"/>
        <v>-89</v>
      </c>
      <c r="R872" s="27">
        <f t="shared" si="750"/>
        <v>-70</v>
      </c>
      <c r="S872" s="36">
        <f t="shared" si="750"/>
        <v>-181</v>
      </c>
      <c r="T872" s="25">
        <f t="shared" si="750"/>
        <v>82</v>
      </c>
      <c r="U872" s="31">
        <f t="shared" si="750"/>
        <v>81</v>
      </c>
      <c r="V872" s="26">
        <f t="shared" si="750"/>
        <v>44</v>
      </c>
      <c r="W872" s="27">
        <f t="shared" si="750"/>
        <v>117</v>
      </c>
      <c r="X872" s="36">
        <f t="shared" si="750"/>
        <v>324</v>
      </c>
      <c r="Y872" s="102">
        <f t="shared" si="738"/>
        <v>143</v>
      </c>
    </row>
    <row r="875" spans="1:26" ht="19.5" thickBot="1" x14ac:dyDescent="0.25">
      <c r="A875" s="2" t="s">
        <v>18</v>
      </c>
      <c r="B875" s="2"/>
      <c r="C875" s="1"/>
      <c r="D875" s="1"/>
      <c r="E875" s="1"/>
      <c r="F875" s="84"/>
      <c r="G875" s="2"/>
      <c r="H875" s="1" t="s">
        <v>157</v>
      </c>
      <c r="I875" s="1"/>
      <c r="J875" s="1"/>
      <c r="K875" s="84" t="s">
        <v>13</v>
      </c>
      <c r="L875" s="84"/>
      <c r="N875" s="2" t="s">
        <v>19</v>
      </c>
      <c r="O875" s="71"/>
      <c r="P875" s="71"/>
      <c r="Q875" s="71"/>
      <c r="R875" s="71"/>
      <c r="S875" s="84"/>
      <c r="T875" s="1" t="s">
        <v>157</v>
      </c>
      <c r="U875" s="71"/>
      <c r="V875" s="71"/>
      <c r="W875" s="71"/>
      <c r="X875" s="84" t="s">
        <v>13</v>
      </c>
    </row>
    <row r="876" spans="1:26" ht="14.25" thickBot="1" x14ac:dyDescent="0.2">
      <c r="A876" s="5" t="s">
        <v>0</v>
      </c>
      <c r="B876" s="322" t="s">
        <v>32</v>
      </c>
      <c r="C876" s="323"/>
      <c r="D876" s="323"/>
      <c r="E876" s="323"/>
      <c r="F876" s="324"/>
      <c r="G876" s="325" t="s">
        <v>31</v>
      </c>
      <c r="H876" s="326"/>
      <c r="I876" s="326"/>
      <c r="J876" s="326"/>
      <c r="K876" s="327"/>
      <c r="L876" s="320" t="s">
        <v>30</v>
      </c>
      <c r="N876" s="5" t="s">
        <v>0</v>
      </c>
      <c r="O876" s="322" t="s">
        <v>200</v>
      </c>
      <c r="P876" s="323"/>
      <c r="Q876" s="323"/>
      <c r="R876" s="323"/>
      <c r="S876" s="324"/>
      <c r="T876" s="325" t="s">
        <v>201</v>
      </c>
      <c r="U876" s="326"/>
      <c r="V876" s="326"/>
      <c r="W876" s="326"/>
      <c r="X876" s="327"/>
      <c r="Y876" s="320" t="s">
        <v>30</v>
      </c>
    </row>
    <row r="877" spans="1:26" ht="14.25" thickBot="1" x14ac:dyDescent="0.2">
      <c r="A877" s="5" t="s">
        <v>1</v>
      </c>
      <c r="B877" s="3" t="s">
        <v>22</v>
      </c>
      <c r="C877" s="28" t="s">
        <v>23</v>
      </c>
      <c r="D877" s="4" t="s">
        <v>24</v>
      </c>
      <c r="E877" s="15" t="s">
        <v>25</v>
      </c>
      <c r="F877" s="19" t="s">
        <v>2</v>
      </c>
      <c r="G877" s="3" t="s">
        <v>22</v>
      </c>
      <c r="H877" s="28" t="s">
        <v>23</v>
      </c>
      <c r="I877" s="4" t="s">
        <v>24</v>
      </c>
      <c r="J877" s="15" t="s">
        <v>25</v>
      </c>
      <c r="K877" s="19" t="s">
        <v>2</v>
      </c>
      <c r="L877" s="321"/>
      <c r="N877" s="5" t="s">
        <v>1</v>
      </c>
      <c r="O877" s="3" t="s">
        <v>22</v>
      </c>
      <c r="P877" s="28" t="s">
        <v>23</v>
      </c>
      <c r="Q877" s="4" t="s">
        <v>24</v>
      </c>
      <c r="R877" s="15" t="s">
        <v>25</v>
      </c>
      <c r="S877" s="19" t="s">
        <v>2</v>
      </c>
      <c r="T877" s="3" t="s">
        <v>22</v>
      </c>
      <c r="U877" s="28" t="s">
        <v>23</v>
      </c>
      <c r="V877" s="4" t="s">
        <v>24</v>
      </c>
      <c r="W877" s="15" t="s">
        <v>25</v>
      </c>
      <c r="X877" s="19" t="s">
        <v>2</v>
      </c>
      <c r="Y877" s="321"/>
    </row>
    <row r="878" spans="1:26" x14ac:dyDescent="0.15">
      <c r="A878" s="78" t="s">
        <v>10</v>
      </c>
      <c r="B878" s="79">
        <f>B872</f>
        <v>8</v>
      </c>
      <c r="C878" s="80">
        <f>C872</f>
        <v>7</v>
      </c>
      <c r="D878" s="80">
        <f>D872</f>
        <v>8</v>
      </c>
      <c r="E878" s="81">
        <f>E872</f>
        <v>9</v>
      </c>
      <c r="F878" s="82">
        <f>SUM(B878:E878)</f>
        <v>32</v>
      </c>
      <c r="G878" s="79">
        <f>G872</f>
        <v>6</v>
      </c>
      <c r="H878" s="80">
        <f>H872</f>
        <v>10</v>
      </c>
      <c r="I878" s="80">
        <f>I872</f>
        <v>8</v>
      </c>
      <c r="J878" s="81">
        <f>J872</f>
        <v>6</v>
      </c>
      <c r="K878" s="82">
        <f>SUM(G878:J878)</f>
        <v>30</v>
      </c>
      <c r="L878" s="98">
        <f t="shared" ref="L878:L910" si="751">F878+K878</f>
        <v>62</v>
      </c>
      <c r="N878" s="78" t="s">
        <v>10</v>
      </c>
      <c r="O878" s="79">
        <f>O872</f>
        <v>46</v>
      </c>
      <c r="P878" s="80">
        <f>P872</f>
        <v>-68</v>
      </c>
      <c r="Q878" s="80">
        <f>Q872</f>
        <v>-89</v>
      </c>
      <c r="R878" s="81">
        <f>R872</f>
        <v>-70</v>
      </c>
      <c r="S878" s="82">
        <f>SUM(O878:R878)</f>
        <v>-181</v>
      </c>
      <c r="T878" s="79">
        <f>T872</f>
        <v>82</v>
      </c>
      <c r="U878" s="80">
        <f>U872</f>
        <v>81</v>
      </c>
      <c r="V878" s="80">
        <f>V872</f>
        <v>44</v>
      </c>
      <c r="W878" s="81">
        <f>W872</f>
        <v>117</v>
      </c>
      <c r="X878" s="82">
        <f>SUM(T878:W878)</f>
        <v>324</v>
      </c>
      <c r="Y878" s="98">
        <f>S878+X878</f>
        <v>143</v>
      </c>
    </row>
    <row r="879" spans="1:26" x14ac:dyDescent="0.15">
      <c r="A879" s="47" t="s">
        <v>3</v>
      </c>
      <c r="B879" s="51"/>
      <c r="C879" s="52"/>
      <c r="D879" s="53"/>
      <c r="E879" s="54"/>
      <c r="F879" s="61">
        <f>SUM(B879:E879)</f>
        <v>0</v>
      </c>
      <c r="G879" s="51"/>
      <c r="H879" s="52"/>
      <c r="I879" s="53"/>
      <c r="J879" s="54"/>
      <c r="K879" s="61">
        <f>SUM(G879:J879)</f>
        <v>0</v>
      </c>
      <c r="L879" s="99">
        <f t="shared" si="751"/>
        <v>0</v>
      </c>
      <c r="N879" s="12" t="s">
        <v>1161</v>
      </c>
      <c r="O879" s="16"/>
      <c r="P879" s="29"/>
      <c r="Q879" s="17"/>
      <c r="R879" s="20"/>
      <c r="S879" s="45">
        <f t="shared" ref="S879:S882" si="752">SUM(O879:R879)</f>
        <v>0</v>
      </c>
      <c r="T879" s="16"/>
      <c r="U879" s="29"/>
      <c r="V879" s="17"/>
      <c r="W879" s="20"/>
      <c r="X879" s="45">
        <f t="shared" ref="X879:X882" si="753">SUM(T879:W879)</f>
        <v>0</v>
      </c>
      <c r="Y879" s="100">
        <f t="shared" ref="Y879:Y910" si="754">S879+X879</f>
        <v>0</v>
      </c>
    </row>
    <row r="880" spans="1:26" x14ac:dyDescent="0.15">
      <c r="A880" s="12" t="s">
        <v>4</v>
      </c>
      <c r="B880" s="6"/>
      <c r="C880" s="18"/>
      <c r="D880" s="7"/>
      <c r="E880" s="8"/>
      <c r="F880" s="9">
        <f>SUM(B880:E880)</f>
        <v>0</v>
      </c>
      <c r="G880" s="6"/>
      <c r="H880" s="18"/>
      <c r="I880" s="7"/>
      <c r="J880" s="8"/>
      <c r="K880" s="9">
        <f>SUM(G880:J880)</f>
        <v>0</v>
      </c>
      <c r="L880" s="100">
        <f t="shared" si="751"/>
        <v>0</v>
      </c>
      <c r="N880" s="90" t="s">
        <v>1169</v>
      </c>
      <c r="O880" s="91">
        <v>50</v>
      </c>
      <c r="P880" s="92">
        <v>100</v>
      </c>
      <c r="Q880" s="93">
        <v>100</v>
      </c>
      <c r="R880" s="94">
        <v>100</v>
      </c>
      <c r="S880" s="95">
        <f t="shared" si="752"/>
        <v>350</v>
      </c>
      <c r="T880" s="91"/>
      <c r="U880" s="92"/>
      <c r="V880" s="93"/>
      <c r="W880" s="94"/>
      <c r="X880" s="95">
        <f t="shared" si="753"/>
        <v>0</v>
      </c>
      <c r="Y880" s="106">
        <f t="shared" si="754"/>
        <v>350</v>
      </c>
      <c r="Z880" s="159">
        <v>46266</v>
      </c>
    </row>
    <row r="881" spans="1:25" x14ac:dyDescent="0.15">
      <c r="A881" s="12" t="s">
        <v>5</v>
      </c>
      <c r="B881" s="6"/>
      <c r="C881" s="18"/>
      <c r="D881" s="7"/>
      <c r="E881" s="8"/>
      <c r="F881" s="9">
        <f>SUM(B881:E881)</f>
        <v>0</v>
      </c>
      <c r="G881" s="6"/>
      <c r="H881" s="18"/>
      <c r="I881" s="7"/>
      <c r="J881" s="8"/>
      <c r="K881" s="9">
        <f>SUM(G881:J881)</f>
        <v>0</v>
      </c>
      <c r="L881" s="100">
        <f t="shared" si="751"/>
        <v>0</v>
      </c>
      <c r="N881" s="12" t="s">
        <v>5</v>
      </c>
      <c r="O881" s="16"/>
      <c r="P881" s="29"/>
      <c r="Q881" s="17"/>
      <c r="R881" s="20"/>
      <c r="S881" s="45">
        <f t="shared" si="752"/>
        <v>0</v>
      </c>
      <c r="T881" s="16"/>
      <c r="U881" s="29"/>
      <c r="V881" s="17"/>
      <c r="W881" s="20"/>
      <c r="X881" s="45">
        <f t="shared" si="753"/>
        <v>0</v>
      </c>
      <c r="Y881" s="100">
        <f t="shared" si="754"/>
        <v>0</v>
      </c>
    </row>
    <row r="882" spans="1:25" ht="14.25" thickBot="1" x14ac:dyDescent="0.2">
      <c r="A882" s="12" t="s">
        <v>6</v>
      </c>
      <c r="B882" s="6"/>
      <c r="C882" s="18"/>
      <c r="D882" s="7"/>
      <c r="E882" s="8"/>
      <c r="F882" s="10">
        <f>SUM(B882:E882)</f>
        <v>0</v>
      </c>
      <c r="G882" s="6"/>
      <c r="H882" s="18"/>
      <c r="I882" s="7"/>
      <c r="J882" s="8"/>
      <c r="K882" s="10">
        <f>SUM(G882:J882)</f>
        <v>0</v>
      </c>
      <c r="L882" s="101">
        <f t="shared" si="751"/>
        <v>0</v>
      </c>
      <c r="N882" s="12" t="s">
        <v>6</v>
      </c>
      <c r="O882" s="16"/>
      <c r="P882" s="29"/>
      <c r="Q882" s="17"/>
      <c r="R882" s="20"/>
      <c r="S882" s="45">
        <f t="shared" si="752"/>
        <v>0</v>
      </c>
      <c r="T882" s="16"/>
      <c r="U882" s="29"/>
      <c r="V882" s="17"/>
      <c r="W882" s="20"/>
      <c r="X882" s="45">
        <f t="shared" si="753"/>
        <v>0</v>
      </c>
      <c r="Y882" s="100">
        <f t="shared" si="754"/>
        <v>0</v>
      </c>
    </row>
    <row r="883" spans="1:25" ht="14.25" thickBot="1" x14ac:dyDescent="0.2">
      <c r="A883" s="14" t="s">
        <v>7</v>
      </c>
      <c r="B883" s="62">
        <f t="shared" ref="B883:K883" si="755">SUM(B878:B882)</f>
        <v>8</v>
      </c>
      <c r="C883" s="63">
        <f t="shared" si="755"/>
        <v>7</v>
      </c>
      <c r="D883" s="64">
        <f t="shared" si="755"/>
        <v>8</v>
      </c>
      <c r="E883" s="65">
        <f t="shared" si="755"/>
        <v>9</v>
      </c>
      <c r="F883" s="66">
        <f t="shared" si="755"/>
        <v>32</v>
      </c>
      <c r="G883" s="62">
        <f t="shared" si="755"/>
        <v>6</v>
      </c>
      <c r="H883" s="63">
        <f t="shared" si="755"/>
        <v>10</v>
      </c>
      <c r="I883" s="64">
        <f t="shared" si="755"/>
        <v>8</v>
      </c>
      <c r="J883" s="65">
        <f t="shared" si="755"/>
        <v>6</v>
      </c>
      <c r="K883" s="66">
        <f t="shared" si="755"/>
        <v>30</v>
      </c>
      <c r="L883" s="102">
        <f t="shared" si="751"/>
        <v>62</v>
      </c>
      <c r="N883" s="13" t="s">
        <v>7</v>
      </c>
      <c r="O883" s="25">
        <f t="shared" ref="O883:X883" si="756">SUM(O878:O882)</f>
        <v>96</v>
      </c>
      <c r="P883" s="31">
        <f t="shared" si="756"/>
        <v>32</v>
      </c>
      <c r="Q883" s="26">
        <f t="shared" si="756"/>
        <v>11</v>
      </c>
      <c r="R883" s="67">
        <f t="shared" si="756"/>
        <v>30</v>
      </c>
      <c r="S883" s="68">
        <f t="shared" si="756"/>
        <v>169</v>
      </c>
      <c r="T883" s="25">
        <f t="shared" si="756"/>
        <v>82</v>
      </c>
      <c r="U883" s="31">
        <f t="shared" si="756"/>
        <v>81</v>
      </c>
      <c r="V883" s="26">
        <f t="shared" si="756"/>
        <v>44</v>
      </c>
      <c r="W883" s="67">
        <f t="shared" si="756"/>
        <v>117</v>
      </c>
      <c r="X883" s="68">
        <f t="shared" si="756"/>
        <v>324</v>
      </c>
      <c r="Y883" s="102">
        <f t="shared" si="754"/>
        <v>493</v>
      </c>
    </row>
    <row r="884" spans="1:25" x14ac:dyDescent="0.15">
      <c r="A884" s="47"/>
      <c r="B884" s="41"/>
      <c r="C884" s="42"/>
      <c r="D884" s="43"/>
      <c r="E884" s="44"/>
      <c r="F884" s="70">
        <f t="shared" ref="F884:F909" si="757">SUM(B884:E884)</f>
        <v>0</v>
      </c>
      <c r="G884" s="41"/>
      <c r="H884" s="42"/>
      <c r="I884" s="43"/>
      <c r="J884" s="44"/>
      <c r="K884" s="70">
        <f t="shared" ref="K884:K909" si="758">SUM(G884:J884)</f>
        <v>0</v>
      </c>
      <c r="L884" s="103">
        <f t="shared" si="751"/>
        <v>0</v>
      </c>
      <c r="N884" s="33"/>
      <c r="O884" s="16"/>
      <c r="P884" s="29"/>
      <c r="Q884" s="17"/>
      <c r="R884" s="32"/>
      <c r="S884" s="9">
        <f t="shared" ref="S884:S889" si="759">SUM(O884:R884)</f>
        <v>0</v>
      </c>
      <c r="T884" s="16"/>
      <c r="U884" s="29"/>
      <c r="V884" s="17"/>
      <c r="W884" s="32"/>
      <c r="X884" s="9">
        <f t="shared" ref="X884:X889" si="760">SUM(T884:W884)</f>
        <v>0</v>
      </c>
      <c r="Y884" s="103">
        <f t="shared" si="754"/>
        <v>0</v>
      </c>
    </row>
    <row r="885" spans="1:25" x14ac:dyDescent="0.15">
      <c r="A885" s="47"/>
      <c r="B885" s="16"/>
      <c r="C885" s="29"/>
      <c r="D885" s="17"/>
      <c r="E885" s="20"/>
      <c r="F885" s="45">
        <f t="shared" si="757"/>
        <v>0</v>
      </c>
      <c r="G885" s="16"/>
      <c r="H885" s="29"/>
      <c r="I885" s="17"/>
      <c r="J885" s="20"/>
      <c r="K885" s="45">
        <f t="shared" si="758"/>
        <v>0</v>
      </c>
      <c r="L885" s="104">
        <f t="shared" si="751"/>
        <v>0</v>
      </c>
      <c r="N885" s="33"/>
      <c r="O885" s="16"/>
      <c r="P885" s="29"/>
      <c r="Q885" s="17"/>
      <c r="R885" s="32"/>
      <c r="S885" s="9">
        <f t="shared" si="759"/>
        <v>0</v>
      </c>
      <c r="T885" s="16"/>
      <c r="U885" s="29"/>
      <c r="V885" s="17"/>
      <c r="W885" s="32"/>
      <c r="X885" s="9">
        <f t="shared" si="760"/>
        <v>0</v>
      </c>
      <c r="Y885" s="104">
        <f t="shared" si="754"/>
        <v>0</v>
      </c>
    </row>
    <row r="886" spans="1:25" x14ac:dyDescent="0.15">
      <c r="A886" s="47"/>
      <c r="B886" s="16"/>
      <c r="C886" s="29"/>
      <c r="D886" s="17"/>
      <c r="E886" s="20"/>
      <c r="F886" s="45">
        <f t="shared" si="757"/>
        <v>0</v>
      </c>
      <c r="G886" s="16"/>
      <c r="H886" s="29"/>
      <c r="I886" s="17"/>
      <c r="J886" s="20"/>
      <c r="K886" s="45">
        <f t="shared" si="758"/>
        <v>0</v>
      </c>
      <c r="L886" s="104">
        <f t="shared" si="751"/>
        <v>0</v>
      </c>
      <c r="N886" s="33"/>
      <c r="O886" s="16"/>
      <c r="P886" s="29"/>
      <c r="Q886" s="17"/>
      <c r="R886" s="32"/>
      <c r="S886" s="9">
        <f t="shared" si="759"/>
        <v>0</v>
      </c>
      <c r="T886" s="16"/>
      <c r="U886" s="29"/>
      <c r="V886" s="17"/>
      <c r="W886" s="32"/>
      <c r="X886" s="9">
        <f t="shared" si="760"/>
        <v>0</v>
      </c>
      <c r="Y886" s="104">
        <f t="shared" si="754"/>
        <v>0</v>
      </c>
    </row>
    <row r="887" spans="1:25" x14ac:dyDescent="0.15">
      <c r="A887" s="47"/>
      <c r="B887" s="16"/>
      <c r="C887" s="29"/>
      <c r="D887" s="17"/>
      <c r="E887" s="20"/>
      <c r="F887" s="45">
        <f t="shared" si="757"/>
        <v>0</v>
      </c>
      <c r="G887" s="16"/>
      <c r="H887" s="29"/>
      <c r="I887" s="17"/>
      <c r="J887" s="20"/>
      <c r="K887" s="45">
        <f t="shared" si="758"/>
        <v>0</v>
      </c>
      <c r="L887" s="104">
        <f t="shared" si="751"/>
        <v>0</v>
      </c>
      <c r="N887" s="33"/>
      <c r="O887" s="16"/>
      <c r="P887" s="29"/>
      <c r="Q887" s="17"/>
      <c r="R887" s="32"/>
      <c r="S887" s="9">
        <f t="shared" si="759"/>
        <v>0</v>
      </c>
      <c r="T887" s="16"/>
      <c r="U887" s="29"/>
      <c r="V887" s="17"/>
      <c r="W887" s="32"/>
      <c r="X887" s="9">
        <f t="shared" si="760"/>
        <v>0</v>
      </c>
      <c r="Y887" s="104">
        <f t="shared" si="754"/>
        <v>0</v>
      </c>
    </row>
    <row r="888" spans="1:25" x14ac:dyDescent="0.15">
      <c r="A888" s="47"/>
      <c r="B888" s="16"/>
      <c r="C888" s="29"/>
      <c r="D888" s="17"/>
      <c r="E888" s="20"/>
      <c r="F888" s="45">
        <f t="shared" si="757"/>
        <v>0</v>
      </c>
      <c r="G888" s="16"/>
      <c r="H888" s="29"/>
      <c r="I888" s="17"/>
      <c r="J888" s="20"/>
      <c r="K888" s="45">
        <f t="shared" si="758"/>
        <v>0</v>
      </c>
      <c r="L888" s="104">
        <f t="shared" si="751"/>
        <v>0</v>
      </c>
      <c r="N888" s="33"/>
      <c r="O888" s="16"/>
      <c r="P888" s="29"/>
      <c r="Q888" s="17"/>
      <c r="R888" s="32"/>
      <c r="S888" s="9">
        <f t="shared" si="759"/>
        <v>0</v>
      </c>
      <c r="T888" s="16"/>
      <c r="U888" s="29"/>
      <c r="V888" s="17"/>
      <c r="W888" s="32"/>
      <c r="X888" s="9">
        <f t="shared" si="760"/>
        <v>0</v>
      </c>
      <c r="Y888" s="104">
        <f t="shared" si="754"/>
        <v>0</v>
      </c>
    </row>
    <row r="889" spans="1:25" x14ac:dyDescent="0.15">
      <c r="A889" s="47"/>
      <c r="B889" s="16"/>
      <c r="C889" s="29"/>
      <c r="D889" s="17"/>
      <c r="E889" s="20"/>
      <c r="F889" s="45">
        <f t="shared" si="757"/>
        <v>0</v>
      </c>
      <c r="G889" s="16"/>
      <c r="H889" s="29"/>
      <c r="I889" s="17"/>
      <c r="J889" s="20"/>
      <c r="K889" s="45">
        <f t="shared" si="758"/>
        <v>0</v>
      </c>
      <c r="L889" s="104">
        <f t="shared" si="751"/>
        <v>0</v>
      </c>
      <c r="N889" s="33"/>
      <c r="O889" s="16"/>
      <c r="P889" s="29"/>
      <c r="Q889" s="17"/>
      <c r="R889" s="32"/>
      <c r="S889" s="9">
        <f t="shared" si="759"/>
        <v>0</v>
      </c>
      <c r="T889" s="16"/>
      <c r="U889" s="29"/>
      <c r="V889" s="17"/>
      <c r="W889" s="32"/>
      <c r="X889" s="9">
        <f t="shared" si="760"/>
        <v>0</v>
      </c>
      <c r="Y889" s="104">
        <f t="shared" si="754"/>
        <v>0</v>
      </c>
    </row>
    <row r="890" spans="1:25" x14ac:dyDescent="0.15">
      <c r="A890" s="47"/>
      <c r="B890" s="16"/>
      <c r="C890" s="29"/>
      <c r="D890" s="17"/>
      <c r="E890" s="20"/>
      <c r="F890" s="45">
        <f t="shared" si="757"/>
        <v>0</v>
      </c>
      <c r="G890" s="16"/>
      <c r="H890" s="29"/>
      <c r="I890" s="17"/>
      <c r="J890" s="20"/>
      <c r="K890" s="45">
        <f t="shared" si="758"/>
        <v>0</v>
      </c>
      <c r="L890" s="104">
        <f t="shared" si="751"/>
        <v>0</v>
      </c>
      <c r="N890" s="33"/>
      <c r="O890" s="16"/>
      <c r="P890" s="29"/>
      <c r="Q890" s="17"/>
      <c r="R890" s="32"/>
      <c r="S890" s="9">
        <f>SUM(O890:R890)</f>
        <v>0</v>
      </c>
      <c r="T890" s="16"/>
      <c r="U890" s="29"/>
      <c r="V890" s="17"/>
      <c r="W890" s="32"/>
      <c r="X890" s="9">
        <f>SUM(T890:W890)</f>
        <v>0</v>
      </c>
      <c r="Y890" s="104">
        <f t="shared" si="754"/>
        <v>0</v>
      </c>
    </row>
    <row r="891" spans="1:25" x14ac:dyDescent="0.15">
      <c r="A891" s="47"/>
      <c r="B891" s="16"/>
      <c r="C891" s="29"/>
      <c r="D891" s="17"/>
      <c r="E891" s="20"/>
      <c r="F891" s="45">
        <f t="shared" si="757"/>
        <v>0</v>
      </c>
      <c r="G891" s="16"/>
      <c r="H891" s="29"/>
      <c r="I891" s="17"/>
      <c r="J891" s="20"/>
      <c r="K891" s="45">
        <f t="shared" si="758"/>
        <v>0</v>
      </c>
      <c r="L891" s="104">
        <f t="shared" si="751"/>
        <v>0</v>
      </c>
      <c r="N891" s="33"/>
      <c r="O891" s="16"/>
      <c r="P891" s="29"/>
      <c r="Q891" s="17"/>
      <c r="R891" s="32"/>
      <c r="S891" s="9">
        <f t="shared" ref="S891:S895" si="761">SUM(O891:R891)</f>
        <v>0</v>
      </c>
      <c r="T891" s="16"/>
      <c r="U891" s="29"/>
      <c r="V891" s="17"/>
      <c r="W891" s="32"/>
      <c r="X891" s="9">
        <f t="shared" ref="X891:X895" si="762">SUM(T891:W891)</f>
        <v>0</v>
      </c>
      <c r="Y891" s="104">
        <f t="shared" si="754"/>
        <v>0</v>
      </c>
    </row>
    <row r="892" spans="1:25" x14ac:dyDescent="0.15">
      <c r="A892" s="47"/>
      <c r="B892" s="16"/>
      <c r="C892" s="29"/>
      <c r="D892" s="17"/>
      <c r="E892" s="20"/>
      <c r="F892" s="45">
        <f t="shared" si="757"/>
        <v>0</v>
      </c>
      <c r="G892" s="16"/>
      <c r="H892" s="29"/>
      <c r="I892" s="17"/>
      <c r="J892" s="20"/>
      <c r="K892" s="45">
        <f t="shared" si="758"/>
        <v>0</v>
      </c>
      <c r="L892" s="104">
        <f t="shared" si="751"/>
        <v>0</v>
      </c>
      <c r="N892" s="33"/>
      <c r="O892" s="16"/>
      <c r="P892" s="29"/>
      <c r="Q892" s="17"/>
      <c r="R892" s="32"/>
      <c r="S892" s="9">
        <f t="shared" si="761"/>
        <v>0</v>
      </c>
      <c r="T892" s="16"/>
      <c r="U892" s="29"/>
      <c r="V892" s="17"/>
      <c r="W892" s="32"/>
      <c r="X892" s="9">
        <f t="shared" si="762"/>
        <v>0</v>
      </c>
      <c r="Y892" s="104">
        <f t="shared" si="754"/>
        <v>0</v>
      </c>
    </row>
    <row r="893" spans="1:25" x14ac:dyDescent="0.15">
      <c r="A893" s="33"/>
      <c r="B893" s="16"/>
      <c r="C893" s="29"/>
      <c r="D893" s="17"/>
      <c r="E893" s="20"/>
      <c r="F893" s="45">
        <f t="shared" si="757"/>
        <v>0</v>
      </c>
      <c r="G893" s="16"/>
      <c r="H893" s="29"/>
      <c r="I893" s="17"/>
      <c r="J893" s="20"/>
      <c r="K893" s="45">
        <f t="shared" si="758"/>
        <v>0</v>
      </c>
      <c r="L893" s="104">
        <f t="shared" si="751"/>
        <v>0</v>
      </c>
      <c r="N893" s="33"/>
      <c r="O893" s="16"/>
      <c r="P893" s="29"/>
      <c r="Q893" s="17"/>
      <c r="R893" s="32"/>
      <c r="S893" s="9">
        <f t="shared" si="761"/>
        <v>0</v>
      </c>
      <c r="T893" s="16"/>
      <c r="U893" s="29"/>
      <c r="V893" s="17"/>
      <c r="W893" s="32"/>
      <c r="X893" s="9">
        <f t="shared" si="762"/>
        <v>0</v>
      </c>
      <c r="Y893" s="104">
        <f t="shared" si="754"/>
        <v>0</v>
      </c>
    </row>
    <row r="894" spans="1:25" x14ac:dyDescent="0.15">
      <c r="A894" s="47"/>
      <c r="B894" s="16"/>
      <c r="C894" s="29"/>
      <c r="D894" s="17"/>
      <c r="E894" s="20"/>
      <c r="F894" s="45">
        <f t="shared" si="757"/>
        <v>0</v>
      </c>
      <c r="G894" s="16"/>
      <c r="H894" s="29"/>
      <c r="I894" s="17"/>
      <c r="J894" s="20"/>
      <c r="K894" s="45">
        <f t="shared" si="758"/>
        <v>0</v>
      </c>
      <c r="L894" s="104">
        <f t="shared" si="751"/>
        <v>0</v>
      </c>
      <c r="N894" s="33"/>
      <c r="O894" s="16"/>
      <c r="P894" s="29"/>
      <c r="Q894" s="17"/>
      <c r="R894" s="32"/>
      <c r="S894" s="9">
        <f t="shared" si="761"/>
        <v>0</v>
      </c>
      <c r="T894" s="16"/>
      <c r="U894" s="29"/>
      <c r="V894" s="17"/>
      <c r="W894" s="32"/>
      <c r="X894" s="9">
        <f t="shared" si="762"/>
        <v>0</v>
      </c>
      <c r="Y894" s="104">
        <f t="shared" si="754"/>
        <v>0</v>
      </c>
    </row>
    <row r="895" spans="1:25" x14ac:dyDescent="0.15">
      <c r="A895" s="47"/>
      <c r="B895" s="16"/>
      <c r="C895" s="29"/>
      <c r="D895" s="17"/>
      <c r="E895" s="20"/>
      <c r="F895" s="45">
        <f t="shared" si="757"/>
        <v>0</v>
      </c>
      <c r="G895" s="16"/>
      <c r="H895" s="29"/>
      <c r="I895" s="17"/>
      <c r="J895" s="20"/>
      <c r="K895" s="45">
        <f t="shared" si="758"/>
        <v>0</v>
      </c>
      <c r="L895" s="104">
        <f t="shared" si="751"/>
        <v>0</v>
      </c>
      <c r="N895" s="72"/>
      <c r="O895" s="16"/>
      <c r="P895" s="29"/>
      <c r="Q895" s="17"/>
      <c r="R895" s="32"/>
      <c r="S895" s="9">
        <f t="shared" si="761"/>
        <v>0</v>
      </c>
      <c r="T895" s="16"/>
      <c r="U895" s="29"/>
      <c r="V895" s="17"/>
      <c r="W895" s="32"/>
      <c r="X895" s="9">
        <f t="shared" si="762"/>
        <v>0</v>
      </c>
      <c r="Y895" s="104">
        <f t="shared" si="754"/>
        <v>0</v>
      </c>
    </row>
    <row r="896" spans="1:25" x14ac:dyDescent="0.15">
      <c r="A896" s="47"/>
      <c r="B896" s="16"/>
      <c r="C896" s="29"/>
      <c r="D896" s="17"/>
      <c r="E896" s="20"/>
      <c r="F896" s="45">
        <f t="shared" si="757"/>
        <v>0</v>
      </c>
      <c r="G896" s="16"/>
      <c r="H896" s="29"/>
      <c r="I896" s="17"/>
      <c r="J896" s="20"/>
      <c r="K896" s="45">
        <f t="shared" si="758"/>
        <v>0</v>
      </c>
      <c r="L896" s="104">
        <f t="shared" si="751"/>
        <v>0</v>
      </c>
      <c r="N896" s="33"/>
      <c r="O896" s="16"/>
      <c r="P896" s="29"/>
      <c r="Q896" s="17"/>
      <c r="R896" s="32"/>
      <c r="S896" s="9">
        <f>SUM(O896:R896)</f>
        <v>0</v>
      </c>
      <c r="T896" s="16"/>
      <c r="U896" s="29"/>
      <c r="V896" s="17"/>
      <c r="W896" s="32"/>
      <c r="X896" s="9">
        <f>SUM(T896:W896)</f>
        <v>0</v>
      </c>
      <c r="Y896" s="104">
        <f t="shared" si="754"/>
        <v>0</v>
      </c>
    </row>
    <row r="897" spans="1:25" x14ac:dyDescent="0.15">
      <c r="A897" s="47"/>
      <c r="B897" s="16"/>
      <c r="C897" s="29"/>
      <c r="D897" s="17"/>
      <c r="E897" s="20"/>
      <c r="F897" s="45">
        <f t="shared" si="757"/>
        <v>0</v>
      </c>
      <c r="G897" s="16"/>
      <c r="H897" s="29"/>
      <c r="I897" s="17"/>
      <c r="J897" s="20"/>
      <c r="K897" s="45">
        <f t="shared" si="758"/>
        <v>0</v>
      </c>
      <c r="L897" s="104">
        <f t="shared" si="751"/>
        <v>0</v>
      </c>
      <c r="N897" s="72"/>
      <c r="O897" s="16"/>
      <c r="P897" s="29"/>
      <c r="Q897" s="17"/>
      <c r="R897" s="32"/>
      <c r="S897" s="9">
        <f>SUM(O897:R897)</f>
        <v>0</v>
      </c>
      <c r="T897" s="16"/>
      <c r="U897" s="29"/>
      <c r="V897" s="17"/>
      <c r="W897" s="32"/>
      <c r="X897" s="9">
        <f>SUM(T897:W897)</f>
        <v>0</v>
      </c>
      <c r="Y897" s="104">
        <f t="shared" si="754"/>
        <v>0</v>
      </c>
    </row>
    <row r="898" spans="1:25" x14ac:dyDescent="0.15">
      <c r="A898" s="33"/>
      <c r="B898" s="16"/>
      <c r="C898" s="29"/>
      <c r="D898" s="17"/>
      <c r="E898" s="20"/>
      <c r="F898" s="45">
        <f t="shared" si="757"/>
        <v>0</v>
      </c>
      <c r="G898" s="16"/>
      <c r="H898" s="29"/>
      <c r="I898" s="17"/>
      <c r="J898" s="20"/>
      <c r="K898" s="45">
        <f t="shared" si="758"/>
        <v>0</v>
      </c>
      <c r="L898" s="104">
        <f t="shared" si="751"/>
        <v>0</v>
      </c>
      <c r="N898" s="72"/>
      <c r="O898" s="16"/>
      <c r="P898" s="29"/>
      <c r="Q898" s="17"/>
      <c r="R898" s="32"/>
      <c r="S898" s="9">
        <f t="shared" ref="S898:S909" si="763">SUM(O898:R898)</f>
        <v>0</v>
      </c>
      <c r="T898" s="16"/>
      <c r="U898" s="29"/>
      <c r="V898" s="17"/>
      <c r="W898" s="32"/>
      <c r="X898" s="9">
        <f t="shared" ref="X898:X909" si="764">SUM(T898:W898)</f>
        <v>0</v>
      </c>
      <c r="Y898" s="104">
        <f t="shared" si="754"/>
        <v>0</v>
      </c>
    </row>
    <row r="899" spans="1:25" x14ac:dyDescent="0.15">
      <c r="A899" s="47"/>
      <c r="B899" s="16"/>
      <c r="C899" s="29"/>
      <c r="D899" s="17"/>
      <c r="E899" s="20"/>
      <c r="F899" s="45">
        <f t="shared" si="757"/>
        <v>0</v>
      </c>
      <c r="G899" s="16"/>
      <c r="H899" s="29"/>
      <c r="I899" s="17"/>
      <c r="J899" s="20"/>
      <c r="K899" s="45">
        <f t="shared" si="758"/>
        <v>0</v>
      </c>
      <c r="L899" s="104">
        <f t="shared" si="751"/>
        <v>0</v>
      </c>
      <c r="N899" s="72"/>
      <c r="O899" s="16"/>
      <c r="P899" s="29"/>
      <c r="Q899" s="17"/>
      <c r="R899" s="32"/>
      <c r="S899" s="9">
        <f t="shared" si="763"/>
        <v>0</v>
      </c>
      <c r="T899" s="16"/>
      <c r="U899" s="29"/>
      <c r="V899" s="17"/>
      <c r="W899" s="32"/>
      <c r="X899" s="9">
        <f t="shared" si="764"/>
        <v>0</v>
      </c>
      <c r="Y899" s="104">
        <f t="shared" si="754"/>
        <v>0</v>
      </c>
    </row>
    <row r="900" spans="1:25" x14ac:dyDescent="0.15">
      <c r="A900" s="47"/>
      <c r="B900" s="16"/>
      <c r="C900" s="29"/>
      <c r="D900" s="17"/>
      <c r="E900" s="20"/>
      <c r="F900" s="45">
        <f t="shared" si="757"/>
        <v>0</v>
      </c>
      <c r="G900" s="16"/>
      <c r="H900" s="29"/>
      <c r="I900" s="17"/>
      <c r="J900" s="20"/>
      <c r="K900" s="45">
        <f t="shared" si="758"/>
        <v>0</v>
      </c>
      <c r="L900" s="104">
        <f t="shared" si="751"/>
        <v>0</v>
      </c>
      <c r="N900" s="72"/>
      <c r="O900" s="16"/>
      <c r="P900" s="29"/>
      <c r="Q900" s="17"/>
      <c r="R900" s="32"/>
      <c r="S900" s="9">
        <f t="shared" si="763"/>
        <v>0</v>
      </c>
      <c r="T900" s="16"/>
      <c r="U900" s="29"/>
      <c r="V900" s="17"/>
      <c r="W900" s="32"/>
      <c r="X900" s="9">
        <f t="shared" si="764"/>
        <v>0</v>
      </c>
      <c r="Y900" s="104">
        <f t="shared" si="754"/>
        <v>0</v>
      </c>
    </row>
    <row r="901" spans="1:25" x14ac:dyDescent="0.15">
      <c r="A901" s="47"/>
      <c r="B901" s="16"/>
      <c r="C901" s="29"/>
      <c r="D901" s="17"/>
      <c r="E901" s="20"/>
      <c r="F901" s="45">
        <f t="shared" si="757"/>
        <v>0</v>
      </c>
      <c r="G901" s="16"/>
      <c r="H901" s="29"/>
      <c r="I901" s="17"/>
      <c r="J901" s="20"/>
      <c r="K901" s="45">
        <f t="shared" si="758"/>
        <v>0</v>
      </c>
      <c r="L901" s="104">
        <f t="shared" si="751"/>
        <v>0</v>
      </c>
      <c r="N901" s="72"/>
      <c r="O901" s="16"/>
      <c r="P901" s="29"/>
      <c r="Q901" s="17"/>
      <c r="R901" s="32"/>
      <c r="S901" s="9">
        <f t="shared" si="763"/>
        <v>0</v>
      </c>
      <c r="T901" s="16"/>
      <c r="U901" s="29"/>
      <c r="V901" s="17"/>
      <c r="W901" s="32"/>
      <c r="X901" s="9">
        <f t="shared" si="764"/>
        <v>0</v>
      </c>
      <c r="Y901" s="104">
        <f t="shared" si="754"/>
        <v>0</v>
      </c>
    </row>
    <row r="902" spans="1:25" x14ac:dyDescent="0.15">
      <c r="A902" s="47"/>
      <c r="B902" s="16"/>
      <c r="C902" s="29"/>
      <c r="D902" s="17"/>
      <c r="E902" s="20"/>
      <c r="F902" s="45">
        <f t="shared" si="757"/>
        <v>0</v>
      </c>
      <c r="G902" s="16"/>
      <c r="H902" s="29"/>
      <c r="I902" s="17"/>
      <c r="J902" s="20"/>
      <c r="K902" s="45">
        <f t="shared" si="758"/>
        <v>0</v>
      </c>
      <c r="L902" s="104">
        <f t="shared" si="751"/>
        <v>0</v>
      </c>
      <c r="N902" s="72"/>
      <c r="O902" s="16"/>
      <c r="P902" s="29"/>
      <c r="Q902" s="17"/>
      <c r="R902" s="32"/>
      <c r="S902" s="9">
        <f t="shared" si="763"/>
        <v>0</v>
      </c>
      <c r="T902" s="16"/>
      <c r="U902" s="29"/>
      <c r="V902" s="17"/>
      <c r="W902" s="32"/>
      <c r="X902" s="9">
        <f t="shared" si="764"/>
        <v>0</v>
      </c>
      <c r="Y902" s="104">
        <f t="shared" si="754"/>
        <v>0</v>
      </c>
    </row>
    <row r="903" spans="1:25" x14ac:dyDescent="0.15">
      <c r="A903" s="47"/>
      <c r="B903" s="16"/>
      <c r="C903" s="29"/>
      <c r="D903" s="17"/>
      <c r="E903" s="20"/>
      <c r="F903" s="45">
        <f t="shared" si="757"/>
        <v>0</v>
      </c>
      <c r="G903" s="16"/>
      <c r="H903" s="29"/>
      <c r="I903" s="17"/>
      <c r="J903" s="20"/>
      <c r="K903" s="45">
        <f t="shared" si="758"/>
        <v>0</v>
      </c>
      <c r="L903" s="104">
        <f t="shared" si="751"/>
        <v>0</v>
      </c>
      <c r="N903" s="72"/>
      <c r="O903" s="16"/>
      <c r="P903" s="29"/>
      <c r="Q903" s="17"/>
      <c r="R903" s="32"/>
      <c r="S903" s="9">
        <f t="shared" si="763"/>
        <v>0</v>
      </c>
      <c r="T903" s="16"/>
      <c r="U903" s="29"/>
      <c r="V903" s="17"/>
      <c r="W903" s="32"/>
      <c r="X903" s="9">
        <f t="shared" si="764"/>
        <v>0</v>
      </c>
      <c r="Y903" s="104">
        <f t="shared" si="754"/>
        <v>0</v>
      </c>
    </row>
    <row r="904" spans="1:25" x14ac:dyDescent="0.15">
      <c r="A904" s="47"/>
      <c r="B904" s="16"/>
      <c r="C904" s="29"/>
      <c r="D904" s="17"/>
      <c r="E904" s="20"/>
      <c r="F904" s="45">
        <f t="shared" si="757"/>
        <v>0</v>
      </c>
      <c r="G904" s="16"/>
      <c r="H904" s="29"/>
      <c r="I904" s="17"/>
      <c r="J904" s="20"/>
      <c r="K904" s="45">
        <f t="shared" si="758"/>
        <v>0</v>
      </c>
      <c r="L904" s="104">
        <f t="shared" si="751"/>
        <v>0</v>
      </c>
      <c r="N904" s="72"/>
      <c r="O904" s="16"/>
      <c r="P904" s="29"/>
      <c r="Q904" s="17"/>
      <c r="R904" s="32"/>
      <c r="S904" s="9">
        <f t="shared" si="763"/>
        <v>0</v>
      </c>
      <c r="T904" s="16"/>
      <c r="U904" s="29"/>
      <c r="V904" s="17"/>
      <c r="W904" s="32"/>
      <c r="X904" s="9">
        <f t="shared" si="764"/>
        <v>0</v>
      </c>
      <c r="Y904" s="104">
        <f t="shared" si="754"/>
        <v>0</v>
      </c>
    </row>
    <row r="905" spans="1:25" x14ac:dyDescent="0.15">
      <c r="A905" s="47"/>
      <c r="B905" s="16"/>
      <c r="C905" s="29"/>
      <c r="D905" s="17"/>
      <c r="E905" s="20"/>
      <c r="F905" s="45">
        <f t="shared" si="757"/>
        <v>0</v>
      </c>
      <c r="G905" s="16"/>
      <c r="H905" s="29"/>
      <c r="I905" s="17"/>
      <c r="J905" s="20"/>
      <c r="K905" s="45">
        <f t="shared" si="758"/>
        <v>0</v>
      </c>
      <c r="L905" s="104">
        <f t="shared" si="751"/>
        <v>0</v>
      </c>
      <c r="N905" s="72"/>
      <c r="O905" s="16"/>
      <c r="P905" s="29"/>
      <c r="Q905" s="17"/>
      <c r="R905" s="32"/>
      <c r="S905" s="9">
        <f t="shared" si="763"/>
        <v>0</v>
      </c>
      <c r="T905" s="16"/>
      <c r="U905" s="29"/>
      <c r="V905" s="17"/>
      <c r="W905" s="32"/>
      <c r="X905" s="9">
        <f t="shared" si="764"/>
        <v>0</v>
      </c>
      <c r="Y905" s="104">
        <f t="shared" si="754"/>
        <v>0</v>
      </c>
    </row>
    <row r="906" spans="1:25" x14ac:dyDescent="0.15">
      <c r="A906" s="47"/>
      <c r="B906" s="16"/>
      <c r="C906" s="29"/>
      <c r="D906" s="17"/>
      <c r="E906" s="20"/>
      <c r="F906" s="45">
        <f t="shared" si="757"/>
        <v>0</v>
      </c>
      <c r="G906" s="16"/>
      <c r="H906" s="29"/>
      <c r="I906" s="17"/>
      <c r="J906" s="20"/>
      <c r="K906" s="45">
        <f t="shared" si="758"/>
        <v>0</v>
      </c>
      <c r="L906" s="104">
        <f t="shared" si="751"/>
        <v>0</v>
      </c>
      <c r="N906" s="72"/>
      <c r="O906" s="16"/>
      <c r="P906" s="29"/>
      <c r="Q906" s="17"/>
      <c r="R906" s="32"/>
      <c r="S906" s="9">
        <f t="shared" si="763"/>
        <v>0</v>
      </c>
      <c r="T906" s="16"/>
      <c r="U906" s="29"/>
      <c r="V906" s="17"/>
      <c r="W906" s="32"/>
      <c r="X906" s="9">
        <f t="shared" si="764"/>
        <v>0</v>
      </c>
      <c r="Y906" s="104">
        <f t="shared" si="754"/>
        <v>0</v>
      </c>
    </row>
    <row r="907" spans="1:25" x14ac:dyDescent="0.15">
      <c r="A907" s="47"/>
      <c r="B907" s="16"/>
      <c r="C907" s="29"/>
      <c r="D907" s="17"/>
      <c r="E907" s="20"/>
      <c r="F907" s="45">
        <f t="shared" si="757"/>
        <v>0</v>
      </c>
      <c r="G907" s="16"/>
      <c r="H907" s="29"/>
      <c r="I907" s="17"/>
      <c r="J907" s="20"/>
      <c r="K907" s="45">
        <f t="shared" si="758"/>
        <v>0</v>
      </c>
      <c r="L907" s="104">
        <f t="shared" si="751"/>
        <v>0</v>
      </c>
      <c r="N907" s="72"/>
      <c r="O907" s="16"/>
      <c r="P907" s="29"/>
      <c r="Q907" s="17"/>
      <c r="R907" s="32"/>
      <c r="S907" s="9">
        <f t="shared" si="763"/>
        <v>0</v>
      </c>
      <c r="T907" s="16"/>
      <c r="U907" s="29"/>
      <c r="V907" s="17"/>
      <c r="W907" s="32"/>
      <c r="X907" s="9">
        <f t="shared" si="764"/>
        <v>0</v>
      </c>
      <c r="Y907" s="104">
        <f t="shared" si="754"/>
        <v>0</v>
      </c>
    </row>
    <row r="908" spans="1:25" ht="14.25" thickBot="1" x14ac:dyDescent="0.2">
      <c r="A908" s="47"/>
      <c r="B908" s="37"/>
      <c r="C908" s="38"/>
      <c r="D908" s="39"/>
      <c r="E908" s="40"/>
      <c r="F908" s="45">
        <f t="shared" si="757"/>
        <v>0</v>
      </c>
      <c r="G908" s="37"/>
      <c r="H908" s="38"/>
      <c r="I908" s="39"/>
      <c r="J908" s="40"/>
      <c r="K908" s="45">
        <f t="shared" si="758"/>
        <v>0</v>
      </c>
      <c r="L908" s="104">
        <f t="shared" si="751"/>
        <v>0</v>
      </c>
      <c r="N908" s="150"/>
      <c r="O908" s="37"/>
      <c r="P908" s="38"/>
      <c r="Q908" s="39"/>
      <c r="R908" s="129"/>
      <c r="S908" s="10">
        <f t="shared" si="763"/>
        <v>0</v>
      </c>
      <c r="T908" s="37"/>
      <c r="U908" s="38"/>
      <c r="V908" s="39"/>
      <c r="W908" s="129"/>
      <c r="X908" s="10">
        <f t="shared" si="764"/>
        <v>0</v>
      </c>
      <c r="Y908" s="101">
        <f t="shared" si="754"/>
        <v>0</v>
      </c>
    </row>
    <row r="909" spans="1:25" ht="14.25" thickBot="1" x14ac:dyDescent="0.2">
      <c r="A909" s="13" t="s">
        <v>8</v>
      </c>
      <c r="B909" s="22">
        <f>SUM(B884:B908)</f>
        <v>0</v>
      </c>
      <c r="C909" s="30">
        <f>SUM(C884:C908)</f>
        <v>0</v>
      </c>
      <c r="D909" s="23">
        <f>SUM(D884:D908)</f>
        <v>0</v>
      </c>
      <c r="E909" s="24">
        <f>SUM(E884:E908)</f>
        <v>0</v>
      </c>
      <c r="F909" s="21">
        <f t="shared" si="757"/>
        <v>0</v>
      </c>
      <c r="G909" s="22">
        <f>SUM(G884:G908)</f>
        <v>0</v>
      </c>
      <c r="H909" s="30">
        <f>SUM(H884:H908)</f>
        <v>0</v>
      </c>
      <c r="I909" s="23">
        <f>SUM(I884:I908)</f>
        <v>0</v>
      </c>
      <c r="J909" s="24">
        <f>SUM(J884:J908)</f>
        <v>0</v>
      </c>
      <c r="K909" s="21">
        <f t="shared" si="758"/>
        <v>0</v>
      </c>
      <c r="L909" s="105">
        <f t="shared" si="751"/>
        <v>0</v>
      </c>
      <c r="N909" s="49" t="s">
        <v>8</v>
      </c>
      <c r="O909" s="22">
        <f>SUM(O884:O908)</f>
        <v>0</v>
      </c>
      <c r="P909" s="30">
        <f>SUM(P884:P908)</f>
        <v>0</v>
      </c>
      <c r="Q909" s="23">
        <f>SUM(Q884:Q908)</f>
        <v>0</v>
      </c>
      <c r="R909" s="24">
        <f>SUM(R884:R908)</f>
        <v>0</v>
      </c>
      <c r="S909" s="48">
        <f t="shared" si="763"/>
        <v>0</v>
      </c>
      <c r="T909" s="22">
        <f>SUM(T884:T908)</f>
        <v>0</v>
      </c>
      <c r="U909" s="30">
        <f>SUM(U884:U908)</f>
        <v>0</v>
      </c>
      <c r="V909" s="23">
        <f>SUM(V884:V908)</f>
        <v>0</v>
      </c>
      <c r="W909" s="24">
        <f>SUM(W884:W908)</f>
        <v>0</v>
      </c>
      <c r="X909" s="48">
        <f t="shared" si="764"/>
        <v>0</v>
      </c>
      <c r="Y909" s="122">
        <f t="shared" si="754"/>
        <v>0</v>
      </c>
    </row>
    <row r="910" spans="1:25" ht="14.25" thickBot="1" x14ac:dyDescent="0.2">
      <c r="A910" s="14" t="s">
        <v>9</v>
      </c>
      <c r="B910" s="25">
        <f t="shared" ref="B910:K910" si="765">B883-B909</f>
        <v>8</v>
      </c>
      <c r="C910" s="31">
        <f t="shared" si="765"/>
        <v>7</v>
      </c>
      <c r="D910" s="26">
        <f t="shared" si="765"/>
        <v>8</v>
      </c>
      <c r="E910" s="27">
        <f t="shared" si="765"/>
        <v>9</v>
      </c>
      <c r="F910" s="83">
        <f t="shared" si="765"/>
        <v>32</v>
      </c>
      <c r="G910" s="25">
        <f t="shared" si="765"/>
        <v>6</v>
      </c>
      <c r="H910" s="31">
        <f t="shared" si="765"/>
        <v>10</v>
      </c>
      <c r="I910" s="26">
        <f t="shared" si="765"/>
        <v>8</v>
      </c>
      <c r="J910" s="27">
        <f t="shared" si="765"/>
        <v>6</v>
      </c>
      <c r="K910" s="83">
        <f t="shared" si="765"/>
        <v>30</v>
      </c>
      <c r="L910" s="102">
        <f t="shared" si="751"/>
        <v>62</v>
      </c>
      <c r="N910" s="13" t="s">
        <v>9</v>
      </c>
      <c r="O910" s="25">
        <f t="shared" ref="O910:X910" si="766">O883-O909</f>
        <v>96</v>
      </c>
      <c r="P910" s="31">
        <f t="shared" si="766"/>
        <v>32</v>
      </c>
      <c r="Q910" s="26">
        <f t="shared" si="766"/>
        <v>11</v>
      </c>
      <c r="R910" s="27">
        <f t="shared" si="766"/>
        <v>30</v>
      </c>
      <c r="S910" s="36">
        <f t="shared" si="766"/>
        <v>169</v>
      </c>
      <c r="T910" s="25">
        <f t="shared" si="766"/>
        <v>82</v>
      </c>
      <c r="U910" s="31">
        <f t="shared" si="766"/>
        <v>81</v>
      </c>
      <c r="V910" s="26">
        <f t="shared" si="766"/>
        <v>44</v>
      </c>
      <c r="W910" s="27">
        <f t="shared" si="766"/>
        <v>117</v>
      </c>
      <c r="X910" s="36">
        <f t="shared" si="766"/>
        <v>324</v>
      </c>
      <c r="Y910" s="102">
        <f t="shared" si="754"/>
        <v>493</v>
      </c>
    </row>
    <row r="913" spans="1:26" ht="19.5" thickBot="1" x14ac:dyDescent="0.25">
      <c r="A913" s="2" t="s">
        <v>18</v>
      </c>
      <c r="B913" s="2"/>
      <c r="C913" s="1"/>
      <c r="D913" s="1"/>
      <c r="E913" s="1"/>
      <c r="F913" s="84"/>
      <c r="G913" s="2"/>
      <c r="H913" s="1" t="s">
        <v>157</v>
      </c>
      <c r="I913" s="1"/>
      <c r="J913" s="1"/>
      <c r="K913" s="84" t="s">
        <v>13</v>
      </c>
      <c r="L913" s="84"/>
      <c r="N913" s="2" t="s">
        <v>19</v>
      </c>
      <c r="O913" s="71"/>
      <c r="P913" s="71"/>
      <c r="Q913" s="71"/>
      <c r="R913" s="71"/>
      <c r="S913" s="84"/>
      <c r="T913" s="1" t="s">
        <v>157</v>
      </c>
      <c r="U913" s="71"/>
      <c r="V913" s="71"/>
      <c r="W913" s="71"/>
      <c r="X913" s="84" t="s">
        <v>13</v>
      </c>
    </row>
    <row r="914" spans="1:26" ht="14.25" thickBot="1" x14ac:dyDescent="0.2">
      <c r="A914" s="5" t="s">
        <v>0</v>
      </c>
      <c r="B914" s="322" t="s">
        <v>32</v>
      </c>
      <c r="C914" s="323"/>
      <c r="D914" s="323"/>
      <c r="E914" s="323"/>
      <c r="F914" s="324"/>
      <c r="G914" s="325" t="s">
        <v>31</v>
      </c>
      <c r="H914" s="326"/>
      <c r="I914" s="326"/>
      <c r="J914" s="326"/>
      <c r="K914" s="327"/>
      <c r="L914" s="320" t="s">
        <v>30</v>
      </c>
      <c r="N914" s="5" t="s">
        <v>0</v>
      </c>
      <c r="O914" s="322" t="s">
        <v>200</v>
      </c>
      <c r="P914" s="323"/>
      <c r="Q914" s="323"/>
      <c r="R914" s="323"/>
      <c r="S914" s="324"/>
      <c r="T914" s="325" t="s">
        <v>201</v>
      </c>
      <c r="U914" s="326"/>
      <c r="V914" s="326"/>
      <c r="W914" s="326"/>
      <c r="X914" s="327"/>
      <c r="Y914" s="320" t="s">
        <v>30</v>
      </c>
    </row>
    <row r="915" spans="1:26" ht="14.25" thickBot="1" x14ac:dyDescent="0.2">
      <c r="A915" s="5" t="s">
        <v>1</v>
      </c>
      <c r="B915" s="3" t="s">
        <v>22</v>
      </c>
      <c r="C915" s="28" t="s">
        <v>23</v>
      </c>
      <c r="D915" s="4" t="s">
        <v>24</v>
      </c>
      <c r="E915" s="15" t="s">
        <v>25</v>
      </c>
      <c r="F915" s="19" t="s">
        <v>2</v>
      </c>
      <c r="G915" s="3" t="s">
        <v>22</v>
      </c>
      <c r="H915" s="28" t="s">
        <v>23</v>
      </c>
      <c r="I915" s="4" t="s">
        <v>24</v>
      </c>
      <c r="J915" s="15" t="s">
        <v>25</v>
      </c>
      <c r="K915" s="19" t="s">
        <v>2</v>
      </c>
      <c r="L915" s="321"/>
      <c r="N915" s="5" t="s">
        <v>1</v>
      </c>
      <c r="O915" s="3" t="s">
        <v>22</v>
      </c>
      <c r="P915" s="28" t="s">
        <v>23</v>
      </c>
      <c r="Q915" s="4" t="s">
        <v>24</v>
      </c>
      <c r="R915" s="15" t="s">
        <v>25</v>
      </c>
      <c r="S915" s="19" t="s">
        <v>2</v>
      </c>
      <c r="T915" s="3" t="s">
        <v>22</v>
      </c>
      <c r="U915" s="28" t="s">
        <v>23</v>
      </c>
      <c r="V915" s="4" t="s">
        <v>24</v>
      </c>
      <c r="W915" s="15" t="s">
        <v>25</v>
      </c>
      <c r="X915" s="19" t="s">
        <v>2</v>
      </c>
      <c r="Y915" s="321"/>
    </row>
    <row r="916" spans="1:26" x14ac:dyDescent="0.15">
      <c r="A916" s="78" t="s">
        <v>10</v>
      </c>
      <c r="B916" s="79">
        <f>B910</f>
        <v>8</v>
      </c>
      <c r="C916" s="80">
        <f>C910</f>
        <v>7</v>
      </c>
      <c r="D916" s="80">
        <f>D910</f>
        <v>8</v>
      </c>
      <c r="E916" s="81">
        <f>E910</f>
        <v>9</v>
      </c>
      <c r="F916" s="82">
        <f>SUM(B916:E916)</f>
        <v>32</v>
      </c>
      <c r="G916" s="79">
        <f>G910</f>
        <v>6</v>
      </c>
      <c r="H916" s="80">
        <f>H910</f>
        <v>10</v>
      </c>
      <c r="I916" s="80">
        <f>I910</f>
        <v>8</v>
      </c>
      <c r="J916" s="81">
        <f>J910</f>
        <v>6</v>
      </c>
      <c r="K916" s="82">
        <f>SUM(G916:J916)</f>
        <v>30</v>
      </c>
      <c r="L916" s="98">
        <f t="shared" ref="L916:L948" si="767">F916+K916</f>
        <v>62</v>
      </c>
      <c r="N916" s="78" t="s">
        <v>10</v>
      </c>
      <c r="O916" s="79">
        <f>O910</f>
        <v>96</v>
      </c>
      <c r="P916" s="80">
        <f>P910</f>
        <v>32</v>
      </c>
      <c r="Q916" s="80">
        <f>Q910</f>
        <v>11</v>
      </c>
      <c r="R916" s="81">
        <f>R910</f>
        <v>30</v>
      </c>
      <c r="S916" s="82">
        <f>SUM(O916:R916)</f>
        <v>169</v>
      </c>
      <c r="T916" s="79">
        <f>T910</f>
        <v>82</v>
      </c>
      <c r="U916" s="80">
        <f>U910</f>
        <v>81</v>
      </c>
      <c r="V916" s="80">
        <f>V910</f>
        <v>44</v>
      </c>
      <c r="W916" s="81">
        <f>W910</f>
        <v>117</v>
      </c>
      <c r="X916" s="82">
        <f>SUM(T916:W916)</f>
        <v>324</v>
      </c>
      <c r="Y916" s="98">
        <f>S916+X916</f>
        <v>493</v>
      </c>
    </row>
    <row r="917" spans="1:26" x14ac:dyDescent="0.15">
      <c r="A917" s="47" t="s">
        <v>3</v>
      </c>
      <c r="B917" s="51"/>
      <c r="C917" s="52"/>
      <c r="D917" s="53"/>
      <c r="E917" s="54"/>
      <c r="F917" s="61">
        <f>SUM(B917:E917)</f>
        <v>0</v>
      </c>
      <c r="G917" s="51"/>
      <c r="H917" s="52"/>
      <c r="I917" s="53"/>
      <c r="J917" s="54"/>
      <c r="K917" s="61">
        <f>SUM(G917:J917)</f>
        <v>0</v>
      </c>
      <c r="L917" s="99">
        <f t="shared" si="767"/>
        <v>0</v>
      </c>
      <c r="N917" s="12" t="s">
        <v>1161</v>
      </c>
      <c r="O917" s="16"/>
      <c r="P917" s="29"/>
      <c r="Q917" s="17"/>
      <c r="R917" s="20"/>
      <c r="S917" s="45">
        <f t="shared" ref="S917:S920" si="768">SUM(O917:R917)</f>
        <v>0</v>
      </c>
      <c r="T917" s="16"/>
      <c r="U917" s="29"/>
      <c r="V917" s="17"/>
      <c r="W917" s="20"/>
      <c r="X917" s="45">
        <f t="shared" ref="X917:X920" si="769">SUM(T917:W917)</f>
        <v>0</v>
      </c>
      <c r="Y917" s="100">
        <f t="shared" ref="Y917:Y948" si="770">S917+X917</f>
        <v>0</v>
      </c>
    </row>
    <row r="918" spans="1:26" x14ac:dyDescent="0.15">
      <c r="A918" s="12" t="s">
        <v>4</v>
      </c>
      <c r="B918" s="6"/>
      <c r="C918" s="18"/>
      <c r="D918" s="7"/>
      <c r="E918" s="8"/>
      <c r="F918" s="9">
        <f>SUM(B918:E918)</f>
        <v>0</v>
      </c>
      <c r="G918" s="6"/>
      <c r="H918" s="18"/>
      <c r="I918" s="7"/>
      <c r="J918" s="8"/>
      <c r="K918" s="9">
        <f>SUM(G918:J918)</f>
        <v>0</v>
      </c>
      <c r="L918" s="100">
        <f t="shared" si="767"/>
        <v>0</v>
      </c>
      <c r="N918" s="90" t="s">
        <v>1170</v>
      </c>
      <c r="O918" s="91">
        <v>50</v>
      </c>
      <c r="P918" s="92">
        <v>120</v>
      </c>
      <c r="Q918" s="93">
        <v>70</v>
      </c>
      <c r="R918" s="94">
        <v>110</v>
      </c>
      <c r="S918" s="95">
        <f t="shared" si="768"/>
        <v>350</v>
      </c>
      <c r="T918" s="91"/>
      <c r="U918" s="92"/>
      <c r="V918" s="93"/>
      <c r="W918" s="94"/>
      <c r="X918" s="95">
        <f t="shared" si="769"/>
        <v>0</v>
      </c>
      <c r="Y918" s="106">
        <f t="shared" si="770"/>
        <v>350</v>
      </c>
      <c r="Z918" s="159">
        <v>46296</v>
      </c>
    </row>
    <row r="919" spans="1:26" x14ac:dyDescent="0.15">
      <c r="A919" s="12" t="s">
        <v>5</v>
      </c>
      <c r="B919" s="6"/>
      <c r="C919" s="18"/>
      <c r="D919" s="7"/>
      <c r="E919" s="8"/>
      <c r="F919" s="9">
        <f>SUM(B919:E919)</f>
        <v>0</v>
      </c>
      <c r="G919" s="6"/>
      <c r="H919" s="18"/>
      <c r="I919" s="7"/>
      <c r="J919" s="8"/>
      <c r="K919" s="9">
        <f>SUM(G919:J919)</f>
        <v>0</v>
      </c>
      <c r="L919" s="100">
        <f t="shared" si="767"/>
        <v>0</v>
      </c>
      <c r="N919" s="12" t="s">
        <v>5</v>
      </c>
      <c r="O919" s="16"/>
      <c r="P919" s="29"/>
      <c r="Q919" s="17"/>
      <c r="R919" s="20"/>
      <c r="S919" s="45">
        <f t="shared" si="768"/>
        <v>0</v>
      </c>
      <c r="T919" s="16"/>
      <c r="U919" s="29"/>
      <c r="V919" s="17"/>
      <c r="W919" s="20"/>
      <c r="X919" s="45">
        <f t="shared" si="769"/>
        <v>0</v>
      </c>
      <c r="Y919" s="100">
        <f t="shared" si="770"/>
        <v>0</v>
      </c>
    </row>
    <row r="920" spans="1:26" ht="14.25" thickBot="1" x14ac:dyDescent="0.2">
      <c r="A920" s="12" t="s">
        <v>6</v>
      </c>
      <c r="B920" s="6"/>
      <c r="C920" s="18"/>
      <c r="D920" s="7"/>
      <c r="E920" s="8"/>
      <c r="F920" s="10">
        <f>SUM(B920:E920)</f>
        <v>0</v>
      </c>
      <c r="G920" s="6"/>
      <c r="H920" s="18"/>
      <c r="I920" s="7"/>
      <c r="J920" s="8"/>
      <c r="K920" s="10">
        <f>SUM(G920:J920)</f>
        <v>0</v>
      </c>
      <c r="L920" s="101">
        <f t="shared" si="767"/>
        <v>0</v>
      </c>
      <c r="N920" s="12" t="s">
        <v>6</v>
      </c>
      <c r="O920" s="16"/>
      <c r="P920" s="29"/>
      <c r="Q920" s="17"/>
      <c r="R920" s="20"/>
      <c r="S920" s="45">
        <f t="shared" si="768"/>
        <v>0</v>
      </c>
      <c r="T920" s="16"/>
      <c r="U920" s="29"/>
      <c r="V920" s="17"/>
      <c r="W920" s="20"/>
      <c r="X920" s="45">
        <f t="shared" si="769"/>
        <v>0</v>
      </c>
      <c r="Y920" s="100">
        <f t="shared" si="770"/>
        <v>0</v>
      </c>
    </row>
    <row r="921" spans="1:26" ht="14.25" thickBot="1" x14ac:dyDescent="0.2">
      <c r="A921" s="14" t="s">
        <v>7</v>
      </c>
      <c r="B921" s="62">
        <f t="shared" ref="B921:K921" si="771">SUM(B916:B920)</f>
        <v>8</v>
      </c>
      <c r="C921" s="63">
        <f t="shared" si="771"/>
        <v>7</v>
      </c>
      <c r="D921" s="64">
        <f t="shared" si="771"/>
        <v>8</v>
      </c>
      <c r="E921" s="65">
        <f t="shared" si="771"/>
        <v>9</v>
      </c>
      <c r="F921" s="66">
        <f t="shared" si="771"/>
        <v>32</v>
      </c>
      <c r="G921" s="62">
        <f t="shared" si="771"/>
        <v>6</v>
      </c>
      <c r="H921" s="63">
        <f t="shared" si="771"/>
        <v>10</v>
      </c>
      <c r="I921" s="64">
        <f t="shared" si="771"/>
        <v>8</v>
      </c>
      <c r="J921" s="65">
        <f t="shared" si="771"/>
        <v>6</v>
      </c>
      <c r="K921" s="66">
        <f t="shared" si="771"/>
        <v>30</v>
      </c>
      <c r="L921" s="102">
        <f t="shared" si="767"/>
        <v>62</v>
      </c>
      <c r="N921" s="13" t="s">
        <v>7</v>
      </c>
      <c r="O921" s="25">
        <f t="shared" ref="O921:X921" si="772">SUM(O916:O920)</f>
        <v>146</v>
      </c>
      <c r="P921" s="31">
        <f t="shared" si="772"/>
        <v>152</v>
      </c>
      <c r="Q921" s="26">
        <f t="shared" si="772"/>
        <v>81</v>
      </c>
      <c r="R921" s="67">
        <f t="shared" si="772"/>
        <v>140</v>
      </c>
      <c r="S921" s="68">
        <f t="shared" si="772"/>
        <v>519</v>
      </c>
      <c r="T921" s="25">
        <f t="shared" si="772"/>
        <v>82</v>
      </c>
      <c r="U921" s="31">
        <f t="shared" si="772"/>
        <v>81</v>
      </c>
      <c r="V921" s="26">
        <f t="shared" si="772"/>
        <v>44</v>
      </c>
      <c r="W921" s="67">
        <f t="shared" si="772"/>
        <v>117</v>
      </c>
      <c r="X921" s="68">
        <f t="shared" si="772"/>
        <v>324</v>
      </c>
      <c r="Y921" s="102">
        <f t="shared" si="770"/>
        <v>843</v>
      </c>
    </row>
    <row r="922" spans="1:26" x14ac:dyDescent="0.15">
      <c r="A922" s="47"/>
      <c r="B922" s="41"/>
      <c r="C922" s="42"/>
      <c r="D922" s="43"/>
      <c r="E922" s="44"/>
      <c r="F922" s="70">
        <f t="shared" ref="F922:F947" si="773">SUM(B922:E922)</f>
        <v>0</v>
      </c>
      <c r="G922" s="41"/>
      <c r="H922" s="42"/>
      <c r="I922" s="43"/>
      <c r="J922" s="44"/>
      <c r="K922" s="70">
        <f t="shared" ref="K922:K947" si="774">SUM(G922:J922)</f>
        <v>0</v>
      </c>
      <c r="L922" s="103">
        <f t="shared" si="767"/>
        <v>0</v>
      </c>
      <c r="N922" s="33"/>
      <c r="O922" s="16"/>
      <c r="P922" s="29"/>
      <c r="Q922" s="17"/>
      <c r="R922" s="32"/>
      <c r="S922" s="9">
        <f t="shared" ref="S922:S927" si="775">SUM(O922:R922)</f>
        <v>0</v>
      </c>
      <c r="T922" s="16"/>
      <c r="U922" s="29"/>
      <c r="V922" s="17"/>
      <c r="W922" s="32"/>
      <c r="X922" s="9">
        <f t="shared" ref="X922:X927" si="776">SUM(T922:W922)</f>
        <v>0</v>
      </c>
      <c r="Y922" s="103">
        <f t="shared" si="770"/>
        <v>0</v>
      </c>
    </row>
    <row r="923" spans="1:26" x14ac:dyDescent="0.15">
      <c r="A923" s="47"/>
      <c r="B923" s="16"/>
      <c r="C923" s="29"/>
      <c r="D923" s="17"/>
      <c r="E923" s="20"/>
      <c r="F923" s="45">
        <f t="shared" si="773"/>
        <v>0</v>
      </c>
      <c r="G923" s="16"/>
      <c r="H923" s="29"/>
      <c r="I923" s="17"/>
      <c r="J923" s="20"/>
      <c r="K923" s="45">
        <f t="shared" si="774"/>
        <v>0</v>
      </c>
      <c r="L923" s="104">
        <f t="shared" si="767"/>
        <v>0</v>
      </c>
      <c r="N923" s="33"/>
      <c r="O923" s="16"/>
      <c r="P923" s="29"/>
      <c r="Q923" s="17"/>
      <c r="R923" s="32"/>
      <c r="S923" s="9">
        <f t="shared" si="775"/>
        <v>0</v>
      </c>
      <c r="T923" s="16"/>
      <c r="U923" s="29"/>
      <c r="V923" s="17"/>
      <c r="W923" s="32"/>
      <c r="X923" s="9">
        <f t="shared" si="776"/>
        <v>0</v>
      </c>
      <c r="Y923" s="104">
        <f t="shared" si="770"/>
        <v>0</v>
      </c>
    </row>
    <row r="924" spans="1:26" x14ac:dyDescent="0.15">
      <c r="A924" s="47"/>
      <c r="B924" s="16"/>
      <c r="C924" s="29"/>
      <c r="D924" s="17"/>
      <c r="E924" s="20"/>
      <c r="F924" s="45">
        <f t="shared" si="773"/>
        <v>0</v>
      </c>
      <c r="G924" s="16"/>
      <c r="H924" s="29"/>
      <c r="I924" s="17"/>
      <c r="J924" s="20"/>
      <c r="K924" s="45">
        <f t="shared" si="774"/>
        <v>0</v>
      </c>
      <c r="L924" s="104">
        <f t="shared" si="767"/>
        <v>0</v>
      </c>
      <c r="N924" s="33"/>
      <c r="O924" s="16"/>
      <c r="P924" s="29"/>
      <c r="Q924" s="17"/>
      <c r="R924" s="32"/>
      <c r="S924" s="9">
        <f t="shared" si="775"/>
        <v>0</v>
      </c>
      <c r="T924" s="16"/>
      <c r="U924" s="29"/>
      <c r="V924" s="17"/>
      <c r="W924" s="32"/>
      <c r="X924" s="9">
        <f t="shared" si="776"/>
        <v>0</v>
      </c>
      <c r="Y924" s="104">
        <f t="shared" si="770"/>
        <v>0</v>
      </c>
    </row>
    <row r="925" spans="1:26" x14ac:dyDescent="0.15">
      <c r="A925" s="47"/>
      <c r="B925" s="16"/>
      <c r="C925" s="29"/>
      <c r="D925" s="17"/>
      <c r="E925" s="20"/>
      <c r="F925" s="45">
        <f t="shared" si="773"/>
        <v>0</v>
      </c>
      <c r="G925" s="16"/>
      <c r="H925" s="29"/>
      <c r="I925" s="17"/>
      <c r="J925" s="20"/>
      <c r="K925" s="45">
        <f t="shared" si="774"/>
        <v>0</v>
      </c>
      <c r="L925" s="104">
        <f t="shared" si="767"/>
        <v>0</v>
      </c>
      <c r="N925" s="33"/>
      <c r="O925" s="16"/>
      <c r="P925" s="29"/>
      <c r="Q925" s="17"/>
      <c r="R925" s="32"/>
      <c r="S925" s="9">
        <f t="shared" si="775"/>
        <v>0</v>
      </c>
      <c r="T925" s="16"/>
      <c r="U925" s="29"/>
      <c r="V925" s="17"/>
      <c r="W925" s="32"/>
      <c r="X925" s="9">
        <f t="shared" si="776"/>
        <v>0</v>
      </c>
      <c r="Y925" s="104">
        <f t="shared" si="770"/>
        <v>0</v>
      </c>
    </row>
    <row r="926" spans="1:26" x14ac:dyDescent="0.15">
      <c r="A926" s="47"/>
      <c r="B926" s="16"/>
      <c r="C926" s="29"/>
      <c r="D926" s="17"/>
      <c r="E926" s="20"/>
      <c r="F926" s="45">
        <f t="shared" si="773"/>
        <v>0</v>
      </c>
      <c r="G926" s="16"/>
      <c r="H926" s="29"/>
      <c r="I926" s="17"/>
      <c r="J926" s="20"/>
      <c r="K926" s="45">
        <f t="shared" si="774"/>
        <v>0</v>
      </c>
      <c r="L926" s="104">
        <f t="shared" si="767"/>
        <v>0</v>
      </c>
      <c r="N926" s="33"/>
      <c r="O926" s="16"/>
      <c r="P926" s="29"/>
      <c r="Q926" s="17"/>
      <c r="R926" s="32"/>
      <c r="S926" s="9">
        <f t="shared" si="775"/>
        <v>0</v>
      </c>
      <c r="T926" s="16"/>
      <c r="U926" s="29"/>
      <c r="V926" s="17"/>
      <c r="W926" s="32"/>
      <c r="X926" s="9">
        <f t="shared" si="776"/>
        <v>0</v>
      </c>
      <c r="Y926" s="104">
        <f t="shared" si="770"/>
        <v>0</v>
      </c>
    </row>
    <row r="927" spans="1:26" x14ac:dyDescent="0.15">
      <c r="A927" s="47"/>
      <c r="B927" s="16"/>
      <c r="C927" s="29"/>
      <c r="D927" s="17"/>
      <c r="E927" s="20"/>
      <c r="F927" s="45">
        <f t="shared" si="773"/>
        <v>0</v>
      </c>
      <c r="G927" s="16"/>
      <c r="H927" s="29"/>
      <c r="I927" s="17"/>
      <c r="J927" s="20"/>
      <c r="K927" s="45">
        <f t="shared" si="774"/>
        <v>0</v>
      </c>
      <c r="L927" s="104">
        <f t="shared" si="767"/>
        <v>0</v>
      </c>
      <c r="N927" s="33"/>
      <c r="O927" s="16"/>
      <c r="P927" s="29"/>
      <c r="Q927" s="17"/>
      <c r="R927" s="32"/>
      <c r="S927" s="9">
        <f t="shared" si="775"/>
        <v>0</v>
      </c>
      <c r="T927" s="16"/>
      <c r="U927" s="29"/>
      <c r="V927" s="17"/>
      <c r="W927" s="32"/>
      <c r="X927" s="9">
        <f t="shared" si="776"/>
        <v>0</v>
      </c>
      <c r="Y927" s="104">
        <f t="shared" si="770"/>
        <v>0</v>
      </c>
    </row>
    <row r="928" spans="1:26" x14ac:dyDescent="0.15">
      <c r="A928" s="47"/>
      <c r="B928" s="16"/>
      <c r="C928" s="29"/>
      <c r="D928" s="17"/>
      <c r="E928" s="20"/>
      <c r="F928" s="45">
        <f t="shared" si="773"/>
        <v>0</v>
      </c>
      <c r="G928" s="16"/>
      <c r="H928" s="29"/>
      <c r="I928" s="17"/>
      <c r="J928" s="20"/>
      <c r="K928" s="45">
        <f t="shared" si="774"/>
        <v>0</v>
      </c>
      <c r="L928" s="104">
        <f t="shared" si="767"/>
        <v>0</v>
      </c>
      <c r="N928" s="33"/>
      <c r="O928" s="16"/>
      <c r="P928" s="29"/>
      <c r="Q928" s="17"/>
      <c r="R928" s="32"/>
      <c r="S928" s="9">
        <f>SUM(O928:R928)</f>
        <v>0</v>
      </c>
      <c r="T928" s="16"/>
      <c r="U928" s="29"/>
      <c r="V928" s="17"/>
      <c r="W928" s="32"/>
      <c r="X928" s="9">
        <f>SUM(T928:W928)</f>
        <v>0</v>
      </c>
      <c r="Y928" s="104">
        <f t="shared" si="770"/>
        <v>0</v>
      </c>
    </row>
    <row r="929" spans="1:25" x14ac:dyDescent="0.15">
      <c r="A929" s="47"/>
      <c r="B929" s="16"/>
      <c r="C929" s="29"/>
      <c r="D929" s="17"/>
      <c r="E929" s="20"/>
      <c r="F929" s="45">
        <f t="shared" si="773"/>
        <v>0</v>
      </c>
      <c r="G929" s="16"/>
      <c r="H929" s="29"/>
      <c r="I929" s="17"/>
      <c r="J929" s="20"/>
      <c r="K929" s="45">
        <f t="shared" si="774"/>
        <v>0</v>
      </c>
      <c r="L929" s="104">
        <f t="shared" si="767"/>
        <v>0</v>
      </c>
      <c r="N929" s="33"/>
      <c r="O929" s="16"/>
      <c r="P929" s="29"/>
      <c r="Q929" s="17"/>
      <c r="R929" s="32"/>
      <c r="S929" s="9">
        <f t="shared" ref="S929:S933" si="777">SUM(O929:R929)</f>
        <v>0</v>
      </c>
      <c r="T929" s="16"/>
      <c r="U929" s="29"/>
      <c r="V929" s="17"/>
      <c r="W929" s="32"/>
      <c r="X929" s="9">
        <f t="shared" ref="X929:X933" si="778">SUM(T929:W929)</f>
        <v>0</v>
      </c>
      <c r="Y929" s="104">
        <f t="shared" si="770"/>
        <v>0</v>
      </c>
    </row>
    <row r="930" spans="1:25" x14ac:dyDescent="0.15">
      <c r="A930" s="47"/>
      <c r="B930" s="16"/>
      <c r="C930" s="29"/>
      <c r="D930" s="17"/>
      <c r="E930" s="20"/>
      <c r="F930" s="45">
        <f t="shared" si="773"/>
        <v>0</v>
      </c>
      <c r="G930" s="16"/>
      <c r="H930" s="29"/>
      <c r="I930" s="17"/>
      <c r="J930" s="20"/>
      <c r="K930" s="45">
        <f t="shared" si="774"/>
        <v>0</v>
      </c>
      <c r="L930" s="104">
        <f t="shared" si="767"/>
        <v>0</v>
      </c>
      <c r="N930" s="33"/>
      <c r="O930" s="16"/>
      <c r="P930" s="29"/>
      <c r="Q930" s="17"/>
      <c r="R930" s="32"/>
      <c r="S930" s="9">
        <f t="shared" si="777"/>
        <v>0</v>
      </c>
      <c r="T930" s="16"/>
      <c r="U930" s="29"/>
      <c r="V930" s="17"/>
      <c r="W930" s="32"/>
      <c r="X930" s="9">
        <f t="shared" si="778"/>
        <v>0</v>
      </c>
      <c r="Y930" s="104">
        <f t="shared" si="770"/>
        <v>0</v>
      </c>
    </row>
    <row r="931" spans="1:25" x14ac:dyDescent="0.15">
      <c r="A931" s="33"/>
      <c r="B931" s="16"/>
      <c r="C931" s="29"/>
      <c r="D931" s="17"/>
      <c r="E931" s="20"/>
      <c r="F931" s="45">
        <f t="shared" si="773"/>
        <v>0</v>
      </c>
      <c r="G931" s="16"/>
      <c r="H931" s="29"/>
      <c r="I931" s="17"/>
      <c r="J931" s="20"/>
      <c r="K931" s="45">
        <f t="shared" si="774"/>
        <v>0</v>
      </c>
      <c r="L931" s="104">
        <f t="shared" si="767"/>
        <v>0</v>
      </c>
      <c r="N931" s="33"/>
      <c r="O931" s="16"/>
      <c r="P931" s="29"/>
      <c r="Q931" s="17"/>
      <c r="R931" s="32"/>
      <c r="S931" s="9">
        <f t="shared" si="777"/>
        <v>0</v>
      </c>
      <c r="T931" s="16"/>
      <c r="U931" s="29"/>
      <c r="V931" s="17"/>
      <c r="W931" s="32"/>
      <c r="X931" s="9">
        <f t="shared" si="778"/>
        <v>0</v>
      </c>
      <c r="Y931" s="104">
        <f t="shared" si="770"/>
        <v>0</v>
      </c>
    </row>
    <row r="932" spans="1:25" x14ac:dyDescent="0.15">
      <c r="A932" s="47"/>
      <c r="B932" s="16"/>
      <c r="C932" s="29"/>
      <c r="D932" s="17"/>
      <c r="E932" s="20"/>
      <c r="F932" s="45">
        <f t="shared" si="773"/>
        <v>0</v>
      </c>
      <c r="G932" s="16"/>
      <c r="H932" s="29"/>
      <c r="I932" s="17"/>
      <c r="J932" s="20"/>
      <c r="K932" s="45">
        <f t="shared" si="774"/>
        <v>0</v>
      </c>
      <c r="L932" s="104">
        <f t="shared" si="767"/>
        <v>0</v>
      </c>
      <c r="N932" s="33"/>
      <c r="O932" s="16"/>
      <c r="P932" s="29"/>
      <c r="Q932" s="17"/>
      <c r="R932" s="32"/>
      <c r="S932" s="9">
        <f t="shared" si="777"/>
        <v>0</v>
      </c>
      <c r="T932" s="16"/>
      <c r="U932" s="29"/>
      <c r="V932" s="17"/>
      <c r="W932" s="32"/>
      <c r="X932" s="9">
        <f t="shared" si="778"/>
        <v>0</v>
      </c>
      <c r="Y932" s="104">
        <f t="shared" si="770"/>
        <v>0</v>
      </c>
    </row>
    <row r="933" spans="1:25" x14ac:dyDescent="0.15">
      <c r="A933" s="47"/>
      <c r="B933" s="16"/>
      <c r="C933" s="29"/>
      <c r="D933" s="17"/>
      <c r="E933" s="20"/>
      <c r="F933" s="45">
        <f t="shared" si="773"/>
        <v>0</v>
      </c>
      <c r="G933" s="16"/>
      <c r="H933" s="29"/>
      <c r="I933" s="17"/>
      <c r="J933" s="20"/>
      <c r="K933" s="45">
        <f t="shared" si="774"/>
        <v>0</v>
      </c>
      <c r="L933" s="104">
        <f t="shared" si="767"/>
        <v>0</v>
      </c>
      <c r="N933" s="72"/>
      <c r="O933" s="16"/>
      <c r="P933" s="29"/>
      <c r="Q933" s="17"/>
      <c r="R933" s="32"/>
      <c r="S933" s="9">
        <f t="shared" si="777"/>
        <v>0</v>
      </c>
      <c r="T933" s="16"/>
      <c r="U933" s="29"/>
      <c r="V933" s="17"/>
      <c r="W933" s="32"/>
      <c r="X933" s="9">
        <f t="shared" si="778"/>
        <v>0</v>
      </c>
      <c r="Y933" s="104">
        <f t="shared" si="770"/>
        <v>0</v>
      </c>
    </row>
    <row r="934" spans="1:25" x14ac:dyDescent="0.15">
      <c r="A934" s="47"/>
      <c r="B934" s="16"/>
      <c r="C934" s="29"/>
      <c r="D934" s="17"/>
      <c r="E934" s="20"/>
      <c r="F934" s="45">
        <f t="shared" si="773"/>
        <v>0</v>
      </c>
      <c r="G934" s="16"/>
      <c r="H934" s="29"/>
      <c r="I934" s="17"/>
      <c r="J934" s="20"/>
      <c r="K934" s="45">
        <f t="shared" si="774"/>
        <v>0</v>
      </c>
      <c r="L934" s="104">
        <f t="shared" si="767"/>
        <v>0</v>
      </c>
      <c r="N934" s="33"/>
      <c r="O934" s="16"/>
      <c r="P934" s="29"/>
      <c r="Q934" s="17"/>
      <c r="R934" s="32"/>
      <c r="S934" s="9">
        <f>SUM(O934:R934)</f>
        <v>0</v>
      </c>
      <c r="T934" s="16"/>
      <c r="U934" s="29"/>
      <c r="V934" s="17"/>
      <c r="W934" s="32"/>
      <c r="X934" s="9">
        <f>SUM(T934:W934)</f>
        <v>0</v>
      </c>
      <c r="Y934" s="104">
        <f t="shared" si="770"/>
        <v>0</v>
      </c>
    </row>
    <row r="935" spans="1:25" x14ac:dyDescent="0.15">
      <c r="A935" s="47"/>
      <c r="B935" s="16"/>
      <c r="C935" s="29"/>
      <c r="D935" s="17"/>
      <c r="E935" s="20"/>
      <c r="F935" s="45">
        <f t="shared" si="773"/>
        <v>0</v>
      </c>
      <c r="G935" s="16"/>
      <c r="H935" s="29"/>
      <c r="I935" s="17"/>
      <c r="J935" s="20"/>
      <c r="K935" s="45">
        <f t="shared" si="774"/>
        <v>0</v>
      </c>
      <c r="L935" s="104">
        <f t="shared" si="767"/>
        <v>0</v>
      </c>
      <c r="N935" s="72"/>
      <c r="O935" s="16"/>
      <c r="P935" s="29"/>
      <c r="Q935" s="17"/>
      <c r="R935" s="32"/>
      <c r="S935" s="9">
        <f>SUM(O935:R935)</f>
        <v>0</v>
      </c>
      <c r="T935" s="16"/>
      <c r="U935" s="29"/>
      <c r="V935" s="17"/>
      <c r="W935" s="32"/>
      <c r="X935" s="9">
        <f>SUM(T935:W935)</f>
        <v>0</v>
      </c>
      <c r="Y935" s="104">
        <f t="shared" si="770"/>
        <v>0</v>
      </c>
    </row>
    <row r="936" spans="1:25" x14ac:dyDescent="0.15">
      <c r="A936" s="33"/>
      <c r="B936" s="16"/>
      <c r="C936" s="29"/>
      <c r="D936" s="17"/>
      <c r="E936" s="20"/>
      <c r="F936" s="45">
        <f t="shared" si="773"/>
        <v>0</v>
      </c>
      <c r="G936" s="16"/>
      <c r="H936" s="29"/>
      <c r="I936" s="17"/>
      <c r="J936" s="20"/>
      <c r="K936" s="45">
        <f t="shared" si="774"/>
        <v>0</v>
      </c>
      <c r="L936" s="104">
        <f t="shared" si="767"/>
        <v>0</v>
      </c>
      <c r="N936" s="72"/>
      <c r="O936" s="16"/>
      <c r="P936" s="29"/>
      <c r="Q936" s="17"/>
      <c r="R936" s="32"/>
      <c r="S936" s="9">
        <f t="shared" ref="S936:S947" si="779">SUM(O936:R936)</f>
        <v>0</v>
      </c>
      <c r="T936" s="16"/>
      <c r="U936" s="29"/>
      <c r="V936" s="17"/>
      <c r="W936" s="32"/>
      <c r="X936" s="9">
        <f t="shared" ref="X936:X947" si="780">SUM(T936:W936)</f>
        <v>0</v>
      </c>
      <c r="Y936" s="104">
        <f t="shared" si="770"/>
        <v>0</v>
      </c>
    </row>
    <row r="937" spans="1:25" x14ac:dyDescent="0.15">
      <c r="A937" s="47"/>
      <c r="B937" s="16"/>
      <c r="C937" s="29"/>
      <c r="D937" s="17"/>
      <c r="E937" s="20"/>
      <c r="F937" s="45">
        <f t="shared" si="773"/>
        <v>0</v>
      </c>
      <c r="G937" s="16"/>
      <c r="H937" s="29"/>
      <c r="I937" s="17"/>
      <c r="J937" s="20"/>
      <c r="K937" s="45">
        <f t="shared" si="774"/>
        <v>0</v>
      </c>
      <c r="L937" s="104">
        <f t="shared" si="767"/>
        <v>0</v>
      </c>
      <c r="N937" s="72"/>
      <c r="O937" s="16"/>
      <c r="P937" s="29"/>
      <c r="Q937" s="17"/>
      <c r="R937" s="32"/>
      <c r="S937" s="9">
        <f t="shared" si="779"/>
        <v>0</v>
      </c>
      <c r="T937" s="16"/>
      <c r="U937" s="29"/>
      <c r="V937" s="17"/>
      <c r="W937" s="32"/>
      <c r="X937" s="9">
        <f t="shared" si="780"/>
        <v>0</v>
      </c>
      <c r="Y937" s="104">
        <f t="shared" si="770"/>
        <v>0</v>
      </c>
    </row>
    <row r="938" spans="1:25" x14ac:dyDescent="0.15">
      <c r="A938" s="47"/>
      <c r="B938" s="16"/>
      <c r="C938" s="29"/>
      <c r="D938" s="17"/>
      <c r="E938" s="20"/>
      <c r="F938" s="45">
        <f t="shared" si="773"/>
        <v>0</v>
      </c>
      <c r="G938" s="16"/>
      <c r="H938" s="29"/>
      <c r="I938" s="17"/>
      <c r="J938" s="20"/>
      <c r="K938" s="45">
        <f t="shared" si="774"/>
        <v>0</v>
      </c>
      <c r="L938" s="104">
        <f t="shared" si="767"/>
        <v>0</v>
      </c>
      <c r="N938" s="72"/>
      <c r="O938" s="16"/>
      <c r="P938" s="29"/>
      <c r="Q938" s="17"/>
      <c r="R938" s="32"/>
      <c r="S938" s="9">
        <f t="shared" si="779"/>
        <v>0</v>
      </c>
      <c r="T938" s="16"/>
      <c r="U938" s="29"/>
      <c r="V938" s="17"/>
      <c r="W938" s="32"/>
      <c r="X938" s="9">
        <f t="shared" si="780"/>
        <v>0</v>
      </c>
      <c r="Y938" s="104">
        <f t="shared" si="770"/>
        <v>0</v>
      </c>
    </row>
    <row r="939" spans="1:25" x14ac:dyDescent="0.15">
      <c r="A939" s="47"/>
      <c r="B939" s="16"/>
      <c r="C939" s="29"/>
      <c r="D939" s="17"/>
      <c r="E939" s="20"/>
      <c r="F939" s="45">
        <f t="shared" si="773"/>
        <v>0</v>
      </c>
      <c r="G939" s="16"/>
      <c r="H939" s="29"/>
      <c r="I939" s="17"/>
      <c r="J939" s="20"/>
      <c r="K939" s="45">
        <f t="shared" si="774"/>
        <v>0</v>
      </c>
      <c r="L939" s="104">
        <f t="shared" si="767"/>
        <v>0</v>
      </c>
      <c r="N939" s="72"/>
      <c r="O939" s="16"/>
      <c r="P939" s="29"/>
      <c r="Q939" s="17"/>
      <c r="R939" s="32"/>
      <c r="S939" s="9">
        <f t="shared" si="779"/>
        <v>0</v>
      </c>
      <c r="T939" s="16"/>
      <c r="U939" s="29"/>
      <c r="V939" s="17"/>
      <c r="W939" s="32"/>
      <c r="X939" s="9">
        <f t="shared" si="780"/>
        <v>0</v>
      </c>
      <c r="Y939" s="104">
        <f t="shared" si="770"/>
        <v>0</v>
      </c>
    </row>
    <row r="940" spans="1:25" x14ac:dyDescent="0.15">
      <c r="A940" s="47"/>
      <c r="B940" s="16"/>
      <c r="C940" s="29"/>
      <c r="D940" s="17"/>
      <c r="E940" s="20"/>
      <c r="F940" s="45">
        <f t="shared" si="773"/>
        <v>0</v>
      </c>
      <c r="G940" s="16"/>
      <c r="H940" s="29"/>
      <c r="I940" s="17"/>
      <c r="J940" s="20"/>
      <c r="K940" s="45">
        <f t="shared" si="774"/>
        <v>0</v>
      </c>
      <c r="L940" s="104">
        <f t="shared" si="767"/>
        <v>0</v>
      </c>
      <c r="N940" s="72"/>
      <c r="O940" s="16"/>
      <c r="P940" s="29"/>
      <c r="Q940" s="17"/>
      <c r="R940" s="32"/>
      <c r="S940" s="9">
        <f t="shared" si="779"/>
        <v>0</v>
      </c>
      <c r="T940" s="16"/>
      <c r="U940" s="29"/>
      <c r="V940" s="17"/>
      <c r="W940" s="32"/>
      <c r="X940" s="9">
        <f t="shared" si="780"/>
        <v>0</v>
      </c>
      <c r="Y940" s="104">
        <f t="shared" si="770"/>
        <v>0</v>
      </c>
    </row>
    <row r="941" spans="1:25" x14ac:dyDescent="0.15">
      <c r="A941" s="47"/>
      <c r="B941" s="16"/>
      <c r="C941" s="29"/>
      <c r="D941" s="17"/>
      <c r="E941" s="20"/>
      <c r="F941" s="45">
        <f t="shared" si="773"/>
        <v>0</v>
      </c>
      <c r="G941" s="16"/>
      <c r="H941" s="29"/>
      <c r="I941" s="17"/>
      <c r="J941" s="20"/>
      <c r="K941" s="45">
        <f t="shared" si="774"/>
        <v>0</v>
      </c>
      <c r="L941" s="104">
        <f t="shared" si="767"/>
        <v>0</v>
      </c>
      <c r="N941" s="72"/>
      <c r="O941" s="16"/>
      <c r="P941" s="29"/>
      <c r="Q941" s="17"/>
      <c r="R941" s="32"/>
      <c r="S941" s="9">
        <f t="shared" si="779"/>
        <v>0</v>
      </c>
      <c r="T941" s="16"/>
      <c r="U941" s="29"/>
      <c r="V941" s="17"/>
      <c r="W941" s="32"/>
      <c r="X941" s="9">
        <f t="shared" si="780"/>
        <v>0</v>
      </c>
      <c r="Y941" s="104">
        <f t="shared" si="770"/>
        <v>0</v>
      </c>
    </row>
    <row r="942" spans="1:25" x14ac:dyDescent="0.15">
      <c r="A942" s="47"/>
      <c r="B942" s="16"/>
      <c r="C942" s="29"/>
      <c r="D942" s="17"/>
      <c r="E942" s="20"/>
      <c r="F942" s="45">
        <f t="shared" si="773"/>
        <v>0</v>
      </c>
      <c r="G942" s="16"/>
      <c r="H942" s="29"/>
      <c r="I942" s="17"/>
      <c r="J942" s="20"/>
      <c r="K942" s="45">
        <f t="shared" si="774"/>
        <v>0</v>
      </c>
      <c r="L942" s="104">
        <f t="shared" si="767"/>
        <v>0</v>
      </c>
      <c r="N942" s="72"/>
      <c r="O942" s="16"/>
      <c r="P942" s="29"/>
      <c r="Q942" s="17"/>
      <c r="R942" s="32"/>
      <c r="S942" s="9">
        <f t="shared" si="779"/>
        <v>0</v>
      </c>
      <c r="T942" s="16"/>
      <c r="U942" s="29"/>
      <c r="V942" s="17"/>
      <c r="W942" s="32"/>
      <c r="X942" s="9">
        <f t="shared" si="780"/>
        <v>0</v>
      </c>
      <c r="Y942" s="104">
        <f t="shared" si="770"/>
        <v>0</v>
      </c>
    </row>
    <row r="943" spans="1:25" x14ac:dyDescent="0.15">
      <c r="A943" s="47"/>
      <c r="B943" s="16"/>
      <c r="C943" s="29"/>
      <c r="D943" s="17"/>
      <c r="E943" s="20"/>
      <c r="F943" s="45">
        <f t="shared" si="773"/>
        <v>0</v>
      </c>
      <c r="G943" s="16"/>
      <c r="H943" s="29"/>
      <c r="I943" s="17"/>
      <c r="J943" s="20"/>
      <c r="K943" s="45">
        <f t="shared" si="774"/>
        <v>0</v>
      </c>
      <c r="L943" s="104">
        <f t="shared" si="767"/>
        <v>0</v>
      </c>
      <c r="N943" s="72"/>
      <c r="O943" s="16"/>
      <c r="P943" s="29"/>
      <c r="Q943" s="17"/>
      <c r="R943" s="32"/>
      <c r="S943" s="9">
        <f t="shared" si="779"/>
        <v>0</v>
      </c>
      <c r="T943" s="16"/>
      <c r="U943" s="29"/>
      <c r="V943" s="17"/>
      <c r="W943" s="32"/>
      <c r="X943" s="9">
        <f t="shared" si="780"/>
        <v>0</v>
      </c>
      <c r="Y943" s="104">
        <f t="shared" si="770"/>
        <v>0</v>
      </c>
    </row>
    <row r="944" spans="1:25" x14ac:dyDescent="0.15">
      <c r="A944" s="47"/>
      <c r="B944" s="16"/>
      <c r="C944" s="29"/>
      <c r="D944" s="17"/>
      <c r="E944" s="20"/>
      <c r="F944" s="45">
        <f t="shared" si="773"/>
        <v>0</v>
      </c>
      <c r="G944" s="16"/>
      <c r="H944" s="29"/>
      <c r="I944" s="17"/>
      <c r="J944" s="20"/>
      <c r="K944" s="45">
        <f t="shared" si="774"/>
        <v>0</v>
      </c>
      <c r="L944" s="104">
        <f t="shared" si="767"/>
        <v>0</v>
      </c>
      <c r="N944" s="72"/>
      <c r="O944" s="16"/>
      <c r="P944" s="29"/>
      <c r="Q944" s="17"/>
      <c r="R944" s="32"/>
      <c r="S944" s="9">
        <f t="shared" si="779"/>
        <v>0</v>
      </c>
      <c r="T944" s="16"/>
      <c r="U944" s="29"/>
      <c r="V944" s="17"/>
      <c r="W944" s="32"/>
      <c r="X944" s="9">
        <f t="shared" si="780"/>
        <v>0</v>
      </c>
      <c r="Y944" s="104">
        <f t="shared" si="770"/>
        <v>0</v>
      </c>
    </row>
    <row r="945" spans="1:25" x14ac:dyDescent="0.15">
      <c r="A945" s="47"/>
      <c r="B945" s="16"/>
      <c r="C945" s="29"/>
      <c r="D945" s="17"/>
      <c r="E945" s="20"/>
      <c r="F945" s="45">
        <f t="shared" si="773"/>
        <v>0</v>
      </c>
      <c r="G945" s="16"/>
      <c r="H945" s="29"/>
      <c r="I945" s="17"/>
      <c r="J945" s="20"/>
      <c r="K945" s="45">
        <f t="shared" si="774"/>
        <v>0</v>
      </c>
      <c r="L945" s="104">
        <f t="shared" si="767"/>
        <v>0</v>
      </c>
      <c r="N945" s="72"/>
      <c r="O945" s="16"/>
      <c r="P945" s="29"/>
      <c r="Q945" s="17"/>
      <c r="R945" s="32"/>
      <c r="S945" s="9">
        <f t="shared" si="779"/>
        <v>0</v>
      </c>
      <c r="T945" s="16"/>
      <c r="U945" s="29"/>
      <c r="V945" s="17"/>
      <c r="W945" s="32"/>
      <c r="X945" s="9">
        <f t="shared" si="780"/>
        <v>0</v>
      </c>
      <c r="Y945" s="104">
        <f t="shared" si="770"/>
        <v>0</v>
      </c>
    </row>
    <row r="946" spans="1:25" ht="14.25" thickBot="1" x14ac:dyDescent="0.2">
      <c r="A946" s="47"/>
      <c r="B946" s="37"/>
      <c r="C946" s="38"/>
      <c r="D946" s="39"/>
      <c r="E946" s="40"/>
      <c r="F946" s="45">
        <f t="shared" si="773"/>
        <v>0</v>
      </c>
      <c r="G946" s="37"/>
      <c r="H946" s="38"/>
      <c r="I946" s="39"/>
      <c r="J946" s="40"/>
      <c r="K946" s="45">
        <f t="shared" si="774"/>
        <v>0</v>
      </c>
      <c r="L946" s="104">
        <f t="shared" si="767"/>
        <v>0</v>
      </c>
      <c r="N946" s="150"/>
      <c r="O946" s="37"/>
      <c r="P946" s="38"/>
      <c r="Q946" s="39"/>
      <c r="R946" s="129"/>
      <c r="S946" s="10">
        <f t="shared" si="779"/>
        <v>0</v>
      </c>
      <c r="T946" s="37"/>
      <c r="U946" s="38"/>
      <c r="V946" s="39"/>
      <c r="W946" s="129"/>
      <c r="X946" s="10">
        <f t="shared" si="780"/>
        <v>0</v>
      </c>
      <c r="Y946" s="101">
        <f t="shared" si="770"/>
        <v>0</v>
      </c>
    </row>
    <row r="947" spans="1:25" ht="14.25" thickBot="1" x14ac:dyDescent="0.2">
      <c r="A947" s="13" t="s">
        <v>8</v>
      </c>
      <c r="B947" s="22">
        <f>SUM(B922:B946)</f>
        <v>0</v>
      </c>
      <c r="C947" s="30">
        <f>SUM(C922:C946)</f>
        <v>0</v>
      </c>
      <c r="D947" s="23">
        <f>SUM(D922:D946)</f>
        <v>0</v>
      </c>
      <c r="E947" s="24">
        <f>SUM(E922:E946)</f>
        <v>0</v>
      </c>
      <c r="F947" s="21">
        <f t="shared" si="773"/>
        <v>0</v>
      </c>
      <c r="G947" s="22">
        <f>SUM(G922:G946)</f>
        <v>0</v>
      </c>
      <c r="H947" s="30">
        <f>SUM(H922:H946)</f>
        <v>0</v>
      </c>
      <c r="I947" s="23">
        <f>SUM(I922:I946)</f>
        <v>0</v>
      </c>
      <c r="J947" s="24">
        <f>SUM(J922:J946)</f>
        <v>0</v>
      </c>
      <c r="K947" s="21">
        <f t="shared" si="774"/>
        <v>0</v>
      </c>
      <c r="L947" s="105">
        <f t="shared" si="767"/>
        <v>0</v>
      </c>
      <c r="N947" s="49" t="s">
        <v>8</v>
      </c>
      <c r="O947" s="22">
        <f>SUM(O922:O946)</f>
        <v>0</v>
      </c>
      <c r="P947" s="30">
        <f>SUM(P922:P946)</f>
        <v>0</v>
      </c>
      <c r="Q947" s="23">
        <f>SUM(Q922:Q946)</f>
        <v>0</v>
      </c>
      <c r="R947" s="24">
        <f>SUM(R922:R946)</f>
        <v>0</v>
      </c>
      <c r="S947" s="48">
        <f t="shared" si="779"/>
        <v>0</v>
      </c>
      <c r="T947" s="22">
        <f>SUM(T922:T946)</f>
        <v>0</v>
      </c>
      <c r="U947" s="30">
        <f>SUM(U922:U946)</f>
        <v>0</v>
      </c>
      <c r="V947" s="23">
        <f>SUM(V922:V946)</f>
        <v>0</v>
      </c>
      <c r="W947" s="24">
        <f>SUM(W922:W946)</f>
        <v>0</v>
      </c>
      <c r="X947" s="48">
        <f t="shared" si="780"/>
        <v>0</v>
      </c>
      <c r="Y947" s="122">
        <f t="shared" si="770"/>
        <v>0</v>
      </c>
    </row>
    <row r="948" spans="1:25" ht="14.25" thickBot="1" x14ac:dyDescent="0.2">
      <c r="A948" s="14" t="s">
        <v>9</v>
      </c>
      <c r="B948" s="25">
        <f t="shared" ref="B948:K948" si="781">B921-B947</f>
        <v>8</v>
      </c>
      <c r="C948" s="31">
        <f t="shared" si="781"/>
        <v>7</v>
      </c>
      <c r="D948" s="26">
        <f t="shared" si="781"/>
        <v>8</v>
      </c>
      <c r="E948" s="27">
        <f t="shared" si="781"/>
        <v>9</v>
      </c>
      <c r="F948" s="83">
        <f t="shared" si="781"/>
        <v>32</v>
      </c>
      <c r="G948" s="25">
        <f t="shared" si="781"/>
        <v>6</v>
      </c>
      <c r="H948" s="31">
        <f t="shared" si="781"/>
        <v>10</v>
      </c>
      <c r="I948" s="26">
        <f t="shared" si="781"/>
        <v>8</v>
      </c>
      <c r="J948" s="27">
        <f t="shared" si="781"/>
        <v>6</v>
      </c>
      <c r="K948" s="83">
        <f t="shared" si="781"/>
        <v>30</v>
      </c>
      <c r="L948" s="102">
        <f t="shared" si="767"/>
        <v>62</v>
      </c>
      <c r="N948" s="13" t="s">
        <v>9</v>
      </c>
      <c r="O948" s="25">
        <f t="shared" ref="O948:X948" si="782">O921-O947</f>
        <v>146</v>
      </c>
      <c r="P948" s="31">
        <f t="shared" si="782"/>
        <v>152</v>
      </c>
      <c r="Q948" s="26">
        <f t="shared" si="782"/>
        <v>81</v>
      </c>
      <c r="R948" s="27">
        <f t="shared" si="782"/>
        <v>140</v>
      </c>
      <c r="S948" s="36">
        <f t="shared" si="782"/>
        <v>519</v>
      </c>
      <c r="T948" s="25">
        <f t="shared" si="782"/>
        <v>82</v>
      </c>
      <c r="U948" s="31">
        <f t="shared" si="782"/>
        <v>81</v>
      </c>
      <c r="V948" s="26">
        <f t="shared" si="782"/>
        <v>44</v>
      </c>
      <c r="W948" s="27">
        <f t="shared" si="782"/>
        <v>117</v>
      </c>
      <c r="X948" s="36">
        <f t="shared" si="782"/>
        <v>324</v>
      </c>
      <c r="Y948" s="102">
        <f t="shared" si="770"/>
        <v>843</v>
      </c>
    </row>
  </sheetData>
  <mergeCells count="150">
    <mergeCell ref="O876:S876"/>
    <mergeCell ref="T876:X876"/>
    <mergeCell ref="Y876:Y877"/>
    <mergeCell ref="B876:F876"/>
    <mergeCell ref="G876:K876"/>
    <mergeCell ref="L876:L877"/>
    <mergeCell ref="O914:S914"/>
    <mergeCell ref="T914:X914"/>
    <mergeCell ref="Y914:Y915"/>
    <mergeCell ref="B914:F914"/>
    <mergeCell ref="G914:K914"/>
    <mergeCell ref="L914:L915"/>
    <mergeCell ref="O838:S838"/>
    <mergeCell ref="T838:X838"/>
    <mergeCell ref="Y838:Y839"/>
    <mergeCell ref="B838:F838"/>
    <mergeCell ref="G838:K838"/>
    <mergeCell ref="L838:L839"/>
    <mergeCell ref="Y724:Y725"/>
    <mergeCell ref="B724:F724"/>
    <mergeCell ref="G724:K724"/>
    <mergeCell ref="L724:L725"/>
    <mergeCell ref="B762:F762"/>
    <mergeCell ref="G762:K762"/>
    <mergeCell ref="L762:L763"/>
    <mergeCell ref="O800:S800"/>
    <mergeCell ref="T800:X800"/>
    <mergeCell ref="Y800:Y801"/>
    <mergeCell ref="B800:F800"/>
    <mergeCell ref="G800:K800"/>
    <mergeCell ref="L800:L801"/>
    <mergeCell ref="O762:S762"/>
    <mergeCell ref="T762:X762"/>
    <mergeCell ref="Y762:Y763"/>
    <mergeCell ref="O724:S724"/>
    <mergeCell ref="T724:X724"/>
    <mergeCell ref="L458:L459"/>
    <mergeCell ref="O686:S686"/>
    <mergeCell ref="T686:X686"/>
    <mergeCell ref="Y686:Y687"/>
    <mergeCell ref="B686:F686"/>
    <mergeCell ref="G686:K686"/>
    <mergeCell ref="L686:L687"/>
    <mergeCell ref="B648:F648"/>
    <mergeCell ref="G648:K648"/>
    <mergeCell ref="L648:L649"/>
    <mergeCell ref="O648:S648"/>
    <mergeCell ref="T648:X648"/>
    <mergeCell ref="Y648:Y649"/>
    <mergeCell ref="B496:F496"/>
    <mergeCell ref="O496:S496"/>
    <mergeCell ref="G496:K496"/>
    <mergeCell ref="L496:L497"/>
    <mergeCell ref="B458:F458"/>
    <mergeCell ref="G458:K458"/>
    <mergeCell ref="L610:L611"/>
    <mergeCell ref="G610:K610"/>
    <mergeCell ref="B610:F610"/>
    <mergeCell ref="O610:S610"/>
    <mergeCell ref="T610:X610"/>
    <mergeCell ref="Y2:Y3"/>
    <mergeCell ref="Y40:Y41"/>
    <mergeCell ref="L78:L79"/>
    <mergeCell ref="Y78:Y79"/>
    <mergeCell ref="T2:X2"/>
    <mergeCell ref="T40:X40"/>
    <mergeCell ref="T78:X78"/>
    <mergeCell ref="L2:L3"/>
    <mergeCell ref="L40:L41"/>
    <mergeCell ref="B2:F2"/>
    <mergeCell ref="O2:S2"/>
    <mergeCell ref="B40:F40"/>
    <mergeCell ref="O40:S40"/>
    <mergeCell ref="O78:S78"/>
    <mergeCell ref="B78:F78"/>
    <mergeCell ref="G2:K2"/>
    <mergeCell ref="G40:K40"/>
    <mergeCell ref="G78:K78"/>
    <mergeCell ref="B382:F382"/>
    <mergeCell ref="G382:K382"/>
    <mergeCell ref="L382:L383"/>
    <mergeCell ref="O420:S420"/>
    <mergeCell ref="B420:F420"/>
    <mergeCell ref="G420:K420"/>
    <mergeCell ref="L420:L421"/>
    <mergeCell ref="B344:F344"/>
    <mergeCell ref="G344:K344"/>
    <mergeCell ref="L344:L345"/>
    <mergeCell ref="O192:S192"/>
    <mergeCell ref="B116:F116"/>
    <mergeCell ref="B154:F154"/>
    <mergeCell ref="B306:F306"/>
    <mergeCell ref="G306:K306"/>
    <mergeCell ref="L306:L307"/>
    <mergeCell ref="B268:F268"/>
    <mergeCell ref="B192:F192"/>
    <mergeCell ref="B230:F230"/>
    <mergeCell ref="T192:X192"/>
    <mergeCell ref="Y268:Y269"/>
    <mergeCell ref="G230:K230"/>
    <mergeCell ref="L230:L231"/>
    <mergeCell ref="T116:X116"/>
    <mergeCell ref="Y116:Y117"/>
    <mergeCell ref="O154:S154"/>
    <mergeCell ref="T154:X154"/>
    <mergeCell ref="Y154:Y155"/>
    <mergeCell ref="O116:S116"/>
    <mergeCell ref="Y192:Y193"/>
    <mergeCell ref="Y230:Y231"/>
    <mergeCell ref="O230:S230"/>
    <mergeCell ref="T230:X230"/>
    <mergeCell ref="T268:X268"/>
    <mergeCell ref="O268:S268"/>
    <mergeCell ref="G116:K116"/>
    <mergeCell ref="L116:L117"/>
    <mergeCell ref="G268:K268"/>
    <mergeCell ref="L268:L269"/>
    <mergeCell ref="G154:K154"/>
    <mergeCell ref="L154:L155"/>
    <mergeCell ref="G192:K192"/>
    <mergeCell ref="L192:L193"/>
    <mergeCell ref="Y344:Y345"/>
    <mergeCell ref="Y306:Y307"/>
    <mergeCell ref="O344:S344"/>
    <mergeCell ref="T344:X344"/>
    <mergeCell ref="O306:S306"/>
    <mergeCell ref="T306:X306"/>
    <mergeCell ref="O382:S382"/>
    <mergeCell ref="T382:X382"/>
    <mergeCell ref="Y496:Y497"/>
    <mergeCell ref="Y458:Y459"/>
    <mergeCell ref="O458:S458"/>
    <mergeCell ref="T458:X458"/>
    <mergeCell ref="Y420:Y421"/>
    <mergeCell ref="Y382:Y383"/>
    <mergeCell ref="T420:X420"/>
    <mergeCell ref="T496:X496"/>
    <mergeCell ref="Y610:Y611"/>
    <mergeCell ref="O534:S534"/>
    <mergeCell ref="T534:X534"/>
    <mergeCell ref="Y534:Y535"/>
    <mergeCell ref="B534:F534"/>
    <mergeCell ref="G534:K534"/>
    <mergeCell ref="L534:L535"/>
    <mergeCell ref="Y572:Y573"/>
    <mergeCell ref="O572:S572"/>
    <mergeCell ref="T572:X572"/>
    <mergeCell ref="B572:F572"/>
    <mergeCell ref="G572:K572"/>
    <mergeCell ref="L572:L573"/>
  </mergeCells>
  <phoneticPr fontId="1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水着_花柄</vt:lpstr>
      <vt:lpstr>水着_ペイズリー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dcterms:created xsi:type="dcterms:W3CDTF">2014-11-17T01:36:50Z</dcterms:created>
  <dcterms:modified xsi:type="dcterms:W3CDTF">2026-07-14T09:55:08Z</dcterms:modified>
</cp:coreProperties>
</file>