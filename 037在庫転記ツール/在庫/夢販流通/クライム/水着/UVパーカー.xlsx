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水着\"/>
    </mc:Choice>
  </mc:AlternateContent>
  <xr:revisionPtr revIDLastSave="0" documentId="13_ncr:1_{0EDC9665-7FD7-4FE4-AE5C-0F04F6EB54DB}" xr6:coauthVersionLast="47" xr6:coauthVersionMax="47" xr10:uidLastSave="{00000000-0000-0000-0000-000000000000}"/>
  <bookViews>
    <workbookView xWindow="9165" yWindow="1395" windowWidth="16065" windowHeight="12450" xr2:uid="{00000000-000D-0000-FFFF-FFFF00000000}"/>
  </bookViews>
  <sheets>
    <sheet name="パーカ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8" i="1" l="1"/>
  <c r="M88" i="1"/>
  <c r="M124" i="1"/>
  <c r="M82" i="1" l="1"/>
  <c r="K111" i="1"/>
  <c r="M110" i="1"/>
  <c r="M50" i="1"/>
  <c r="L149" i="1"/>
  <c r="K149" i="1"/>
  <c r="J149" i="1"/>
  <c r="I149" i="1"/>
  <c r="E149" i="1"/>
  <c r="D149" i="1"/>
  <c r="C149" i="1"/>
  <c r="B149" i="1"/>
  <c r="F149" i="1" s="1"/>
  <c r="M149" i="1"/>
  <c r="F148" i="1"/>
  <c r="M147" i="1"/>
  <c r="F147" i="1"/>
  <c r="M146" i="1"/>
  <c r="F146" i="1"/>
  <c r="M145" i="1"/>
  <c r="F145" i="1"/>
  <c r="M144" i="1"/>
  <c r="F144" i="1"/>
  <c r="M143" i="1"/>
  <c r="F143" i="1"/>
  <c r="M142" i="1"/>
  <c r="F142" i="1"/>
  <c r="M141" i="1"/>
  <c r="F141" i="1"/>
  <c r="M140" i="1"/>
  <c r="F140" i="1"/>
  <c r="M139" i="1"/>
  <c r="F139" i="1"/>
  <c r="M138" i="1"/>
  <c r="F138" i="1"/>
  <c r="M137" i="1"/>
  <c r="F137" i="1"/>
  <c r="M136" i="1"/>
  <c r="F136" i="1"/>
  <c r="M135" i="1"/>
  <c r="F135" i="1"/>
  <c r="M134" i="1"/>
  <c r="F134" i="1"/>
  <c r="M133" i="1"/>
  <c r="F133" i="1"/>
  <c r="M132" i="1"/>
  <c r="F132" i="1"/>
  <c r="M131" i="1"/>
  <c r="F131" i="1"/>
  <c r="M130" i="1"/>
  <c r="F130" i="1"/>
  <c r="M129" i="1"/>
  <c r="F129" i="1"/>
  <c r="M128" i="1"/>
  <c r="F128" i="1"/>
  <c r="M127" i="1"/>
  <c r="F127" i="1"/>
  <c r="M126" i="1"/>
  <c r="F126" i="1"/>
  <c r="M125" i="1"/>
  <c r="F125" i="1"/>
  <c r="F124" i="1"/>
  <c r="M122" i="1"/>
  <c r="F122" i="1"/>
  <c r="M121" i="1"/>
  <c r="F121" i="1"/>
  <c r="M120" i="1"/>
  <c r="F120" i="1"/>
  <c r="M119" i="1"/>
  <c r="F119" i="1"/>
  <c r="I47" i="1"/>
  <c r="J42" i="1"/>
  <c r="K42" i="1"/>
  <c r="L42" i="1"/>
  <c r="M42" i="1"/>
  <c r="I42" i="1"/>
  <c r="J9" i="1"/>
  <c r="J36" i="1" s="1"/>
  <c r="K9" i="1"/>
  <c r="K36" i="1" s="1"/>
  <c r="L9" i="1"/>
  <c r="L36" i="1" s="1"/>
  <c r="M9" i="1"/>
  <c r="I9" i="1"/>
  <c r="I36" i="1" s="1"/>
  <c r="L111" i="1"/>
  <c r="J111" i="1"/>
  <c r="I111" i="1"/>
  <c r="L73" i="1"/>
  <c r="K73" i="1"/>
  <c r="J73" i="1"/>
  <c r="I73" i="1"/>
  <c r="J35" i="1"/>
  <c r="K35" i="1"/>
  <c r="L35" i="1"/>
  <c r="M35" i="1"/>
  <c r="I35" i="1"/>
  <c r="F81" i="1"/>
  <c r="F82" i="1"/>
  <c r="B43" i="1"/>
  <c r="F43" i="1" s="1"/>
  <c r="M23" i="1"/>
  <c r="M84" i="1"/>
  <c r="M83" i="1"/>
  <c r="M86" i="1"/>
  <c r="M87" i="1"/>
  <c r="M89" i="1"/>
  <c r="M90" i="1"/>
  <c r="M91" i="1"/>
  <c r="M92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E111" i="1"/>
  <c r="D111" i="1"/>
  <c r="C111" i="1"/>
  <c r="B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M93" i="1"/>
  <c r="F93" i="1"/>
  <c r="F92" i="1"/>
  <c r="F91" i="1"/>
  <c r="F90" i="1"/>
  <c r="F89" i="1"/>
  <c r="F88" i="1"/>
  <c r="F87" i="1"/>
  <c r="F86" i="1"/>
  <c r="F84" i="1"/>
  <c r="F83" i="1"/>
  <c r="M81" i="1"/>
  <c r="M22" i="1"/>
  <c r="M19" i="1"/>
  <c r="M17" i="1"/>
  <c r="M11" i="1"/>
  <c r="M7" i="1"/>
  <c r="M44" i="1"/>
  <c r="M4" i="1"/>
  <c r="M5" i="1"/>
  <c r="M6" i="1"/>
  <c r="M45" i="1"/>
  <c r="M32" i="1"/>
  <c r="M33" i="1"/>
  <c r="M34" i="1"/>
  <c r="M111" i="1" l="1"/>
  <c r="F111" i="1"/>
  <c r="M36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49" i="1"/>
  <c r="M48" i="1"/>
  <c r="M46" i="1"/>
  <c r="M43" i="1"/>
  <c r="M31" i="1"/>
  <c r="M30" i="1"/>
  <c r="M29" i="1"/>
  <c r="M28" i="1"/>
  <c r="M27" i="1"/>
  <c r="M26" i="1"/>
  <c r="M25" i="1"/>
  <c r="M24" i="1"/>
  <c r="M21" i="1"/>
  <c r="M20" i="1"/>
  <c r="M18" i="1"/>
  <c r="M16" i="1"/>
  <c r="M15" i="1"/>
  <c r="M14" i="1"/>
  <c r="M13" i="1"/>
  <c r="M12" i="1"/>
  <c r="M10" i="1"/>
  <c r="M8" i="1"/>
  <c r="F7" i="1"/>
  <c r="F6" i="1"/>
  <c r="F5" i="1"/>
  <c r="F4" i="1"/>
  <c r="M73" i="1" l="1"/>
  <c r="L47" i="1"/>
  <c r="K47" i="1"/>
  <c r="J47" i="1"/>
  <c r="J74" i="1" l="1"/>
  <c r="K74" i="1"/>
  <c r="L74" i="1"/>
  <c r="M47" i="1"/>
  <c r="M74" i="1" s="1"/>
  <c r="M80" i="1" s="1"/>
  <c r="L80" i="1" l="1"/>
  <c r="L85" i="1" s="1"/>
  <c r="L112" i="1" s="1"/>
  <c r="L118" i="1" s="1"/>
  <c r="L123" i="1" s="1"/>
  <c r="L150" i="1" s="1"/>
  <c r="K80" i="1"/>
  <c r="K85" i="1" s="1"/>
  <c r="K112" i="1" s="1"/>
  <c r="K118" i="1" s="1"/>
  <c r="K123" i="1" s="1"/>
  <c r="K150" i="1" s="1"/>
  <c r="J80" i="1"/>
  <c r="J85" i="1" s="1"/>
  <c r="J112" i="1" s="1"/>
  <c r="J118" i="1" s="1"/>
  <c r="J123" i="1" s="1"/>
  <c r="J150" i="1" s="1"/>
  <c r="I74" i="1"/>
  <c r="I80" i="1" s="1"/>
  <c r="F10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8" i="1"/>
  <c r="I85" i="1" l="1"/>
  <c r="I112" i="1" s="1"/>
  <c r="I118" i="1" s="1"/>
  <c r="I123" i="1" s="1"/>
  <c r="I150" i="1" s="1"/>
  <c r="M85" i="1"/>
  <c r="M112" i="1" s="1"/>
  <c r="M118" i="1" s="1"/>
  <c r="M123" i="1" s="1"/>
  <c r="M150" i="1" s="1"/>
  <c r="F28" i="1"/>
  <c r="E73" i="1" l="1"/>
  <c r="D73" i="1"/>
  <c r="C73" i="1"/>
  <c r="B73" i="1"/>
  <c r="F72" i="1"/>
  <c r="F71" i="1"/>
  <c r="F70" i="1"/>
  <c r="F69" i="1"/>
  <c r="F46" i="1"/>
  <c r="F45" i="1"/>
  <c r="F44" i="1"/>
  <c r="F73" i="1" l="1"/>
  <c r="E35" i="1" l="1"/>
  <c r="D35" i="1"/>
  <c r="C35" i="1"/>
  <c r="B35" i="1"/>
  <c r="F34" i="1"/>
  <c r="F33" i="1"/>
  <c r="F32" i="1"/>
  <c r="F31" i="1"/>
  <c r="F30" i="1"/>
  <c r="F29" i="1"/>
  <c r="F35" i="1" l="1"/>
  <c r="E9" i="1" l="1"/>
  <c r="E36" i="1" s="1"/>
  <c r="E42" i="1" s="1"/>
  <c r="E47" i="1" s="1"/>
  <c r="E74" i="1" s="1"/>
  <c r="E80" i="1" s="1"/>
  <c r="E85" i="1" s="1"/>
  <c r="E112" i="1" s="1"/>
  <c r="E118" i="1" s="1"/>
  <c r="E123" i="1" s="1"/>
  <c r="E150" i="1" s="1"/>
  <c r="D9" i="1" l="1"/>
  <c r="D36" i="1" s="1"/>
  <c r="D42" i="1" s="1"/>
  <c r="D47" i="1" s="1"/>
  <c r="D74" i="1" s="1"/>
  <c r="D80" i="1" s="1"/>
  <c r="D85" i="1" s="1"/>
  <c r="D112" i="1" s="1"/>
  <c r="D118" i="1" s="1"/>
  <c r="D123" i="1" s="1"/>
  <c r="D150" i="1" s="1"/>
  <c r="C9" i="1" l="1"/>
  <c r="C36" i="1" s="1"/>
  <c r="C42" i="1" s="1"/>
  <c r="C47" i="1" s="1"/>
  <c r="C74" i="1" s="1"/>
  <c r="C80" i="1" s="1"/>
  <c r="C85" i="1" s="1"/>
  <c r="C112" i="1" s="1"/>
  <c r="C118" i="1" s="1"/>
  <c r="C123" i="1" s="1"/>
  <c r="C150" i="1" s="1"/>
  <c r="B9" i="1" l="1"/>
  <c r="B36" i="1" s="1"/>
  <c r="B42" i="1" s="1"/>
  <c r="B47" i="1" l="1"/>
  <c r="B74" i="1" s="1"/>
  <c r="B80" i="1" s="1"/>
  <c r="F42" i="1"/>
  <c r="F9" i="1"/>
  <c r="B85" i="1" l="1"/>
  <c r="B112" i="1" s="1"/>
  <c r="B118" i="1" s="1"/>
  <c r="F80" i="1"/>
  <c r="F85" i="1" s="1"/>
  <c r="F112" i="1" s="1"/>
  <c r="F47" i="1"/>
  <c r="F36" i="1"/>
  <c r="B123" i="1" l="1"/>
  <c r="B150" i="1" s="1"/>
  <c r="F118" i="1"/>
  <c r="F123" i="1" s="1"/>
  <c r="F150" i="1" s="1"/>
  <c r="F74" i="1"/>
</calcChain>
</file>

<file path=xl/sharedStrings.xml><?xml version="1.0" encoding="utf-8"?>
<sst xmlns="http://schemas.openxmlformats.org/spreadsheetml/2006/main" count="262" uniqueCount="81">
  <si>
    <t>カラー</t>
  </si>
  <si>
    <t>サイズ</t>
  </si>
  <si>
    <t>計</t>
    <rPh sb="0" eb="1">
      <t>ケイ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</si>
  <si>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</si>
  <si>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</si>
  <si>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</si>
  <si>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</si>
  <si>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</si>
  <si>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</si>
  <si>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</si>
  <si>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在庫</t>
    <rPh sb="0" eb="2">
      <t>ザイコ</t>
    </rPh>
    <phoneticPr fontId="2"/>
  </si>
  <si>
    <t>追加１</t>
    <rPh sb="0" eb="2">
      <t>ツイカ</t>
    </rPh>
    <phoneticPr fontId="2"/>
  </si>
  <si>
    <t xml:space="preserve">初回  </t>
    <rPh sb="0" eb="2">
      <t>ショカイ</t>
    </rPh>
    <phoneticPr fontId="2"/>
  </si>
  <si>
    <t>M</t>
    <phoneticPr fontId="5"/>
  </si>
  <si>
    <t>L</t>
    <phoneticPr fontId="5"/>
  </si>
  <si>
    <t>LL</t>
    <phoneticPr fontId="5"/>
  </si>
  <si>
    <t>3L</t>
    <phoneticPr fontId="5"/>
  </si>
  <si>
    <t>UVパーカー　ゆめはん在庫</t>
    <rPh sb="11" eb="13">
      <t>ザイコ</t>
    </rPh>
    <phoneticPr fontId="2"/>
  </si>
  <si>
    <t>YC25005</t>
    <phoneticPr fontId="5"/>
  </si>
  <si>
    <t>ホワイト</t>
    <phoneticPr fontId="5"/>
  </si>
  <si>
    <t>UVパーカー　KPORT在庫</t>
    <rPh sb="12" eb="14">
      <t>ザイコ</t>
    </rPh>
    <phoneticPr fontId="2"/>
  </si>
  <si>
    <t>初回</t>
    <rPh sb="0" eb="2">
      <t>ショカイ</t>
    </rPh>
    <phoneticPr fontId="2"/>
  </si>
  <si>
    <t>2024年２月～７月</t>
    <rPh sb="4" eb="5">
      <t>ネン</t>
    </rPh>
    <rPh sb="6" eb="7">
      <t>ガツ</t>
    </rPh>
    <rPh sb="9" eb="10">
      <t>ガツ</t>
    </rPh>
    <phoneticPr fontId="2"/>
  </si>
  <si>
    <t>@980</t>
    <phoneticPr fontId="5"/>
  </si>
  <si>
    <t>追加２ 2-1</t>
    <rPh sb="0" eb="2">
      <t>ツイカ</t>
    </rPh>
    <phoneticPr fontId="2"/>
  </si>
  <si>
    <t>追加３ 2-2</t>
    <rPh sb="0" eb="2">
      <t>ツイカ</t>
    </rPh>
    <phoneticPr fontId="2"/>
  </si>
  <si>
    <t>パルシステム（本誌コトコト）5月3回3点セット</t>
    <rPh sb="7" eb="9">
      <t>ホンシ</t>
    </rPh>
    <rPh sb="15" eb="16">
      <t>ガツ</t>
    </rPh>
    <rPh sb="17" eb="18">
      <t>カイ</t>
    </rPh>
    <rPh sb="19" eb="20">
      <t>テン</t>
    </rPh>
    <phoneticPr fontId="2"/>
  </si>
  <si>
    <t>点5/1、アバウト・初回5/13、最終5/19</t>
    <rPh sb="0" eb="1">
      <t>テン</t>
    </rPh>
    <rPh sb="10" eb="12">
      <t>ショカイ</t>
    </rPh>
    <rPh sb="17" eb="19">
      <t>サイシュウ</t>
    </rPh>
    <phoneticPr fontId="2"/>
  </si>
  <si>
    <t>差分予測</t>
    <rPh sb="0" eb="4">
      <t>サブンヨソク</t>
    </rPh>
    <phoneticPr fontId="5"/>
  </si>
  <si>
    <t>ディノス</t>
    <phoneticPr fontId="5"/>
  </si>
  <si>
    <t>千趣会みんべる7月号</t>
    <rPh sb="0" eb="3">
      <t>センシュカイ</t>
    </rPh>
    <rPh sb="8" eb="10">
      <t>ガツゴウ</t>
    </rPh>
    <phoneticPr fontId="2"/>
  </si>
  <si>
    <t>千趣会ネット</t>
    <rPh sb="0" eb="3">
      <t>センシュカイ</t>
    </rPh>
    <phoneticPr fontId="2"/>
  </si>
  <si>
    <t>6月末～</t>
    <rPh sb="1" eb="3">
      <t>ガツマツ</t>
    </rPh>
    <phoneticPr fontId="2"/>
  </si>
  <si>
    <t>D-BEAUTY2025年7月発刊リーフで提案</t>
    <rPh sb="12" eb="13">
      <t>ネン</t>
    </rPh>
    <rPh sb="14" eb="15">
      <t>ガツ</t>
    </rPh>
    <rPh sb="15" eb="17">
      <t>ハッカン</t>
    </rPh>
    <rPh sb="21" eb="23">
      <t>テイアン</t>
    </rPh>
    <phoneticPr fontId="2"/>
  </si>
  <si>
    <t>ゆめはん</t>
    <phoneticPr fontId="5"/>
  </si>
  <si>
    <t>4/5ship</t>
    <phoneticPr fontId="5"/>
  </si>
  <si>
    <t>4/9～</t>
    <phoneticPr fontId="5"/>
  </si>
  <si>
    <t>千趣会ネット①</t>
    <rPh sb="0" eb="3">
      <t>センシュカイ</t>
    </rPh>
    <phoneticPr fontId="2"/>
  </si>
  <si>
    <t>過入荷分</t>
    <rPh sb="0" eb="4">
      <t>カニュウカブン</t>
    </rPh>
    <phoneticPr fontId="2"/>
  </si>
  <si>
    <t>夢販</t>
    <rPh sb="0" eb="2">
      <t>ユメハン</t>
    </rPh>
    <phoneticPr fontId="5"/>
  </si>
  <si>
    <t>ネット</t>
    <phoneticPr fontId="5"/>
  </si>
  <si>
    <t>2025/4/15数伝</t>
    <rPh sb="9" eb="10">
      <t>スウ</t>
    </rPh>
    <rPh sb="10" eb="11">
      <t>デン</t>
    </rPh>
    <phoneticPr fontId="5"/>
  </si>
  <si>
    <t>パルシステム（本誌コトコト）5月3回3点セット①</t>
    <rPh sb="7" eb="9">
      <t>ホンシ</t>
    </rPh>
    <rPh sb="15" eb="16">
      <t>ガツ</t>
    </rPh>
    <rPh sb="17" eb="18">
      <t>カイ</t>
    </rPh>
    <rPh sb="19" eb="20">
      <t>テン</t>
    </rPh>
    <phoneticPr fontId="2"/>
  </si>
  <si>
    <t>千趣会みんべる7月号①</t>
    <rPh sb="0" eb="3">
      <t>センシュカイ</t>
    </rPh>
    <rPh sb="8" eb="10">
      <t>ガツゴウ</t>
    </rPh>
    <phoneticPr fontId="2"/>
  </si>
  <si>
    <t>千趣会ネット②</t>
    <rPh sb="0" eb="3">
      <t>センシュカイ</t>
    </rPh>
    <phoneticPr fontId="2"/>
  </si>
  <si>
    <t>千趣会ネット③</t>
    <rPh sb="0" eb="3">
      <t>センシュカイ</t>
    </rPh>
    <phoneticPr fontId="2"/>
  </si>
  <si>
    <t>パルシステム（本誌コトコト）5月3回3点セット②</t>
    <phoneticPr fontId="5"/>
  </si>
  <si>
    <t>パルシステム（本誌コトコト）5月3回3点セット③</t>
    <phoneticPr fontId="5"/>
  </si>
  <si>
    <t>千趣会ネット④</t>
    <rPh sb="0" eb="3">
      <t>センシュカイ</t>
    </rPh>
    <phoneticPr fontId="2"/>
  </si>
  <si>
    <t>過不足分</t>
    <rPh sb="0" eb="4">
      <t>カブソクブン</t>
    </rPh>
    <phoneticPr fontId="2"/>
  </si>
  <si>
    <t>3610-030-033</t>
    <phoneticPr fontId="5"/>
  </si>
  <si>
    <t>千趣会ネット⑤</t>
    <rPh sb="0" eb="3">
      <t>センシュカイ</t>
    </rPh>
    <phoneticPr fontId="2"/>
  </si>
  <si>
    <t>2025/6/4数伝</t>
    <rPh sb="8" eb="10">
      <t>スウデン</t>
    </rPh>
    <phoneticPr fontId="5"/>
  </si>
  <si>
    <t>くらし返品</t>
    <rPh sb="3" eb="5">
      <t>ヘンピン</t>
    </rPh>
    <phoneticPr fontId="2"/>
  </si>
  <si>
    <t>千趣会ネット⑥</t>
    <rPh sb="0" eb="3">
      <t>センシュカイ</t>
    </rPh>
    <phoneticPr fontId="2"/>
  </si>
  <si>
    <t>千趣会ネット⑦</t>
    <rPh sb="0" eb="3">
      <t>センシュカイ</t>
    </rPh>
    <phoneticPr fontId="2"/>
  </si>
  <si>
    <t>千趣会みんべる7月号②</t>
    <rPh sb="0" eb="3">
      <t>センシュカイ</t>
    </rPh>
    <rPh sb="8" eb="10">
      <t>ガツゴウ</t>
    </rPh>
    <phoneticPr fontId="2"/>
  </si>
  <si>
    <t>くらし企画返品</t>
    <rPh sb="3" eb="7">
      <t>キカクヘンピン</t>
    </rPh>
    <phoneticPr fontId="2"/>
  </si>
  <si>
    <t>西本さん</t>
    <rPh sb="0" eb="2">
      <t>ニシモト</t>
    </rPh>
    <phoneticPr fontId="5"/>
  </si>
  <si>
    <t>←式確認ここまで　2025/8/9</t>
    <rPh sb="1" eb="4">
      <t>シキカクニン</t>
    </rPh>
    <phoneticPr fontId="5"/>
  </si>
  <si>
    <t>在庫確認</t>
    <rPh sb="0" eb="2">
      <t>ザイコ</t>
    </rPh>
    <rPh sb="2" eb="4">
      <t>カクニン</t>
    </rPh>
    <phoneticPr fontId="2"/>
  </si>
  <si>
    <t>JOD</t>
    <phoneticPr fontId="5"/>
  </si>
  <si>
    <t>千趣会返品</t>
    <rPh sb="0" eb="3">
      <t>センシュカイ</t>
    </rPh>
    <rPh sb="3" eb="5">
      <t>ヘンピン</t>
    </rPh>
    <phoneticPr fontId="5"/>
  </si>
  <si>
    <t>ネット交換</t>
    <rPh sb="3" eb="5">
      <t>コウカン</t>
    </rPh>
    <phoneticPr fontId="5"/>
  </si>
  <si>
    <t>学校生協2026年3月企画</t>
    <rPh sb="0" eb="2">
      <t>ガッコウ</t>
    </rPh>
    <rPh sb="2" eb="4">
      <t>セイキョウ</t>
    </rPh>
    <rPh sb="8" eb="9">
      <t>ネン</t>
    </rPh>
    <rPh sb="10" eb="11">
      <t>ガツ</t>
    </rPh>
    <rPh sb="11" eb="13">
      <t>キカク</t>
    </rPh>
    <phoneticPr fontId="5"/>
  </si>
  <si>
    <t>2/中旬～3/17頃まで</t>
    <rPh sb="2" eb="4">
      <t>チュウジュン</t>
    </rPh>
    <rPh sb="9" eb="10">
      <t>コロ</t>
    </rPh>
    <phoneticPr fontId="5"/>
  </si>
  <si>
    <t>くらし企画（学校生協）sample</t>
    <rPh sb="3" eb="5">
      <t>キカク</t>
    </rPh>
    <rPh sb="6" eb="10">
      <t>ガッコウセイキョウ</t>
    </rPh>
    <phoneticPr fontId="5"/>
  </si>
  <si>
    <t>追加</t>
    <rPh sb="0" eb="2">
      <t>ツイカ</t>
    </rPh>
    <phoneticPr fontId="5"/>
  </si>
  <si>
    <t>パル26年撮影用sample</t>
    <rPh sb="4" eb="5">
      <t>ネン</t>
    </rPh>
    <rPh sb="5" eb="8">
      <t>サツエイヨウ</t>
    </rPh>
    <phoneticPr fontId="5"/>
  </si>
  <si>
    <t>学校生協2026年3月企画①</t>
    <rPh sb="0" eb="2">
      <t>ガッコウ</t>
    </rPh>
    <rPh sb="2" eb="4">
      <t>セイキョウ</t>
    </rPh>
    <rPh sb="8" eb="9">
      <t>ネン</t>
    </rPh>
    <rPh sb="10" eb="11">
      <t>ガツ</t>
    </rPh>
    <rPh sb="11" eb="13">
      <t>キカク</t>
    </rPh>
    <phoneticPr fontId="5"/>
  </si>
  <si>
    <t>←ここまで確認　2026/2/25</t>
    <rPh sb="5" eb="7">
      <t>カクニン</t>
    </rPh>
    <phoneticPr fontId="5"/>
  </si>
  <si>
    <t>ネット返品交換</t>
    <rPh sb="0" eb="5">
      <t>nヘンピン</t>
    </rPh>
    <rPh sb="5" eb="7">
      <t>コウカン</t>
    </rPh>
    <phoneticPr fontId="5"/>
  </si>
  <si>
    <t>ネット返品交換</t>
    <phoneticPr fontId="5"/>
  </si>
  <si>
    <t>パルシステム（本誌コトコト）5月4回3点セット①</t>
    <rPh sb="7" eb="9">
      <t>ホンシ</t>
    </rPh>
    <rPh sb="15" eb="16">
      <t>ガツ</t>
    </rPh>
    <rPh sb="17" eb="18">
      <t>カイ</t>
    </rPh>
    <rPh sb="19" eb="20">
      <t>テン</t>
    </rPh>
    <phoneticPr fontId="2"/>
  </si>
  <si>
    <t>千趣会3点セット</t>
    <rPh sb="0" eb="3">
      <t>センシュカイ</t>
    </rPh>
    <rPh sb="4" eb="5">
      <t>テン</t>
    </rPh>
    <phoneticPr fontId="5"/>
  </si>
  <si>
    <t>かりん</t>
    <phoneticPr fontId="5"/>
  </si>
  <si>
    <t>パルシステム（本誌コトコト）5月4回3点セット②</t>
    <rPh sb="7" eb="9">
      <t>ホンシ</t>
    </rPh>
    <rPh sb="15" eb="16">
      <t>ガツ</t>
    </rPh>
    <rPh sb="17" eb="18">
      <t>カイ</t>
    </rPh>
    <rPh sb="19" eb="20">
      <t>テン</t>
    </rPh>
    <phoneticPr fontId="2"/>
  </si>
  <si>
    <t>パルシステム（本誌コトコト）5月4回3点セット③</t>
    <rPh sb="7" eb="9">
      <t>ホンシ</t>
    </rPh>
    <rPh sb="15" eb="16">
      <t>ガツ</t>
    </rPh>
    <rPh sb="17" eb="18">
      <t>カイ</t>
    </rPh>
    <rPh sb="19" eb="20">
      <t>テン</t>
    </rPh>
    <phoneticPr fontId="2"/>
  </si>
  <si>
    <t>パルシステム5月4回④</t>
    <rPh sb="7" eb="8">
      <t>ガツ</t>
    </rPh>
    <rPh sb="9" eb="10">
      <t>カイ</t>
    </rPh>
    <phoneticPr fontId="2"/>
  </si>
  <si>
    <t>パルシステム5月4回⑤</t>
    <rPh sb="7" eb="8">
      <t>ガツ</t>
    </rPh>
    <rPh sb="9" eb="10">
      <t>カイ</t>
    </rPh>
    <phoneticPr fontId="2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</si>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</sst>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9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2" borderId="7" xfId="1" applyFill="1" applyBorder="1"/>
    <xf numFmtId="0" fontId="1" fillId="2" borderId="8" xfId="1" applyFill="1" applyBorder="1"/>
    <xf numFmtId="0" fontId="1" fillId="0" borderId="10" xfId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14" xfId="1" applyBorder="1"/>
    <xf numFmtId="0" fontId="1" fillId="0" borderId="15" xfId="1" applyBorder="1" applyAlignment="1">
      <alignment horizontal="center" vertical="center"/>
    </xf>
    <xf numFmtId="0" fontId="1" fillId="0" borderId="17" xfId="1" applyBorder="1" applyAlignment="1">
      <alignment horizontal="center"/>
    </xf>
    <xf numFmtId="0" fontId="1" fillId="2" borderId="3" xfId="1" applyFill="1" applyBorder="1"/>
    <xf numFmtId="0" fontId="1" fillId="0" borderId="18" xfId="1" applyBorder="1" applyAlignment="1">
      <alignment horizontal="center"/>
    </xf>
    <xf numFmtId="0" fontId="1" fillId="0" borderId="19" xfId="1" applyBorder="1" applyAlignment="1">
      <alignment horizontal="center"/>
    </xf>
    <xf numFmtId="0" fontId="1" fillId="0" borderId="20" xfId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1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14" xfId="1" applyBorder="1" applyAlignment="1">
      <alignment horizontal="center"/>
    </xf>
    <xf numFmtId="0" fontId="1" fillId="0" borderId="23" xfId="1" applyBorder="1" applyAlignment="1">
      <alignment horizontal="center"/>
    </xf>
    <xf numFmtId="0" fontId="6" fillId="0" borderId="22" xfId="1" applyFont="1" applyBorder="1" applyAlignment="1">
      <alignment horizontal="center"/>
    </xf>
    <xf numFmtId="0" fontId="1" fillId="0" borderId="9" xfId="1" applyBorder="1" applyAlignment="1">
      <alignment horizontal="center" vertical="center"/>
    </xf>
    <xf numFmtId="0" fontId="1" fillId="0" borderId="24" xfId="1" applyBorder="1" applyAlignment="1">
      <alignment horizontal="center"/>
    </xf>
    <xf numFmtId="0" fontId="1" fillId="0" borderId="25" xfId="1" applyBorder="1" applyAlignment="1">
      <alignment horizontal="center"/>
    </xf>
    <xf numFmtId="0" fontId="1" fillId="0" borderId="26" xfId="1" applyBorder="1" applyAlignment="1">
      <alignment horizontal="center"/>
    </xf>
    <xf numFmtId="0" fontId="1" fillId="0" borderId="27" xfId="1" applyBorder="1" applyAlignment="1">
      <alignment horizontal="center"/>
    </xf>
    <xf numFmtId="0" fontId="1" fillId="0" borderId="28" xfId="1" applyBorder="1" applyAlignment="1">
      <alignment horizontal="center"/>
    </xf>
    <xf numFmtId="0" fontId="1" fillId="0" borderId="29" xfId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2" borderId="32" xfId="1" applyFill="1" applyBorder="1"/>
    <xf numFmtId="0" fontId="1" fillId="0" borderId="16" xfId="1" applyBorder="1" applyAlignment="1">
      <alignment horizontal="center" vertical="center"/>
    </xf>
    <xf numFmtId="0" fontId="1" fillId="2" borderId="13" xfId="1" applyFill="1" applyBorder="1"/>
    <xf numFmtId="0" fontId="1" fillId="0" borderId="28" xfId="1" applyBorder="1"/>
    <xf numFmtId="0" fontId="1" fillId="0" borderId="29" xfId="1" applyBorder="1"/>
    <xf numFmtId="0" fontId="1" fillId="0" borderId="30" xfId="1" applyBorder="1"/>
    <xf numFmtId="0" fontId="1" fillId="0" borderId="33" xfId="1" applyBorder="1"/>
    <xf numFmtId="176" fontId="0" fillId="0" borderId="0" xfId="0" applyNumberFormat="1">
      <alignment vertical="center"/>
    </xf>
    <xf numFmtId="0" fontId="1" fillId="2" borderId="9" xfId="1" applyFill="1" applyBorder="1"/>
    <xf numFmtId="0" fontId="6" fillId="0" borderId="1" xfId="1" applyFont="1" applyBorder="1"/>
    <xf numFmtId="0" fontId="6" fillId="0" borderId="22" xfId="1" applyFont="1" applyBorder="1"/>
    <xf numFmtId="0" fontId="6" fillId="0" borderId="2" xfId="1" applyFont="1" applyBorder="1"/>
    <xf numFmtId="0" fontId="6" fillId="0" borderId="12" xfId="1" applyFont="1" applyBorder="1"/>
    <xf numFmtId="0" fontId="6" fillId="2" borderId="3" xfId="1" applyFont="1" applyFill="1" applyBorder="1"/>
    <xf numFmtId="0" fontId="6" fillId="0" borderId="12" xfId="1" applyFont="1" applyBorder="1" applyAlignment="1">
      <alignment horizontal="center"/>
    </xf>
    <xf numFmtId="0" fontId="1" fillId="2" borderId="36" xfId="1" applyFill="1" applyBorder="1"/>
    <xf numFmtId="0" fontId="6" fillId="3" borderId="3" xfId="1" applyFont="1" applyFill="1" applyBorder="1"/>
    <xf numFmtId="0" fontId="6" fillId="0" borderId="39" xfId="1" applyFont="1" applyBorder="1" applyAlignment="1">
      <alignment horizontal="center" vertical="center"/>
    </xf>
    <xf numFmtId="0" fontId="6" fillId="0" borderId="37" xfId="1" applyFont="1" applyBorder="1" applyAlignment="1">
      <alignment horizontal="center"/>
    </xf>
    <xf numFmtId="0" fontId="6" fillId="0" borderId="38" xfId="1" applyFont="1" applyBorder="1" applyAlignment="1">
      <alignment horizontal="center"/>
    </xf>
    <xf numFmtId="0" fontId="6" fillId="0" borderId="40" xfId="1" applyFont="1" applyBorder="1" applyAlignment="1">
      <alignment horizontal="center"/>
    </xf>
    <xf numFmtId="0" fontId="6" fillId="2" borderId="41" xfId="1" applyFont="1" applyFill="1" applyBorder="1"/>
    <xf numFmtId="0" fontId="6" fillId="3" borderId="35" xfId="1" applyFont="1" applyFill="1" applyBorder="1"/>
    <xf numFmtId="0" fontId="7" fillId="0" borderId="0" xfId="1" applyFont="1"/>
    <xf numFmtId="0" fontId="6" fillId="0" borderId="13" xfId="1" applyFont="1" applyBorder="1" applyAlignment="1">
      <alignment horizontal="center" vertical="center"/>
    </xf>
    <xf numFmtId="1" fontId="0" fillId="0" borderId="0" xfId="0" applyNumberFormat="1">
      <alignment vertical="center"/>
    </xf>
    <xf numFmtId="49" fontId="3" fillId="0" borderId="0" xfId="1" applyNumberFormat="1" applyFont="1"/>
    <xf numFmtId="0" fontId="1" fillId="0" borderId="39" xfId="1" applyBorder="1" applyAlignment="1">
      <alignment horizontal="center" vertical="center"/>
    </xf>
    <xf numFmtId="0" fontId="1" fillId="0" borderId="37" xfId="1" applyBorder="1" applyAlignment="1">
      <alignment horizontal="center"/>
    </xf>
    <xf numFmtId="0" fontId="1" fillId="0" borderId="38" xfId="1" applyBorder="1" applyAlignment="1">
      <alignment horizontal="center"/>
    </xf>
    <xf numFmtId="0" fontId="1" fillId="0" borderId="40" xfId="1" applyBorder="1" applyAlignment="1">
      <alignment horizontal="center"/>
    </xf>
    <xf numFmtId="0" fontId="1" fillId="2" borderId="41" xfId="1" applyFill="1" applyBorder="1"/>
    <xf numFmtId="56" fontId="8" fillId="0" borderId="0" xfId="0" applyNumberFormat="1" applyFont="1">
      <alignment vertical="center"/>
    </xf>
    <xf numFmtId="0" fontId="8" fillId="0" borderId="0" xfId="0" applyFont="1">
      <alignment vertical="center"/>
    </xf>
    <xf numFmtId="0" fontId="1" fillId="0" borderId="7" xfId="1" applyBorder="1" applyAlignment="1">
      <alignment horizontal="center" vertical="center"/>
    </xf>
    <xf numFmtId="0" fontId="0" fillId="0" borderId="0" xfId="0" applyAlignment="1">
      <alignment horizontal="left" vertical="center"/>
    </xf>
    <xf numFmtId="56" fontId="8" fillId="0" borderId="0" xfId="0" applyNumberFormat="1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1" fillId="0" borderId="42" xfId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/>
    </xf>
    <xf numFmtId="0" fontId="10" fillId="0" borderId="14" xfId="1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0" fontId="10" fillId="0" borderId="17" xfId="1" applyFont="1" applyBorder="1" applyAlignment="1">
      <alignment horizontal="center"/>
    </xf>
    <xf numFmtId="0" fontId="10" fillId="2" borderId="32" xfId="1" applyFont="1" applyFill="1" applyBorder="1"/>
    <xf numFmtId="56" fontId="9" fillId="0" borderId="0" xfId="0" applyNumberFormat="1" applyFont="1" applyAlignment="1">
      <alignment horizontal="left" vertical="center"/>
    </xf>
    <xf numFmtId="56" fontId="9" fillId="0" borderId="0" xfId="0" applyNumberFormat="1" applyFont="1">
      <alignment vertical="center"/>
    </xf>
    <xf numFmtId="0" fontId="1" fillId="0" borderId="6" xfId="1" applyBorder="1" applyAlignment="1">
      <alignment horizontal="center"/>
    </xf>
    <xf numFmtId="0" fontId="1" fillId="2" borderId="44" xfId="1" applyFill="1" applyBorder="1"/>
    <xf numFmtId="0" fontId="11" fillId="0" borderId="0" xfId="0" applyFont="1">
      <alignment vertical="center"/>
    </xf>
    <xf numFmtId="0" fontId="1" fillId="0" borderId="43" xfId="1" applyBorder="1" applyAlignment="1">
      <alignment horizontal="center"/>
    </xf>
    <xf numFmtId="0" fontId="1" fillId="0" borderId="44" xfId="1" applyBorder="1" applyAlignment="1">
      <alignment horizontal="center" vertical="center"/>
    </xf>
    <xf numFmtId="0" fontId="1" fillId="0" borderId="33" xfId="1" applyBorder="1" applyAlignment="1">
      <alignment horizontal="center"/>
    </xf>
    <xf numFmtId="0" fontId="1" fillId="0" borderId="45" xfId="1" applyBorder="1" applyAlignment="1">
      <alignment horizontal="center" vertical="center"/>
    </xf>
    <xf numFmtId="0" fontId="1" fillId="2" borderId="46" xfId="1" applyFill="1" applyBorder="1"/>
    <xf numFmtId="0" fontId="4" fillId="0" borderId="11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0" borderId="35" xfId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0"/>
  <sheetViews>
    <sheetView tabSelected="1" topLeftCell="A101" zoomScaleNormal="100" workbookViewId="0">
      <selection activeCell="A109" sqref="A109"/>
    </sheetView>
  </sheetViews>
  <sheetFormatPr defaultRowHeight="13.5" x14ac:dyDescent="0.15"/>
  <cols>
    <col min="1" max="1" width="33" customWidth="1"/>
    <col min="2" max="2" width="9" customWidth="1"/>
    <col min="7" max="7" width="11.875" style="75" customWidth="1"/>
    <col min="8" max="8" width="41.125" customWidth="1"/>
    <col min="9" max="11" width="9" customWidth="1"/>
    <col min="14" max="14" width="9.25" bestFit="1" customWidth="1"/>
  </cols>
  <sheetData>
    <row r="1" spans="1:16" ht="19.5" thickBot="1" x14ac:dyDescent="0.25">
      <c r="A1" s="2" t="s">
        <v>17</v>
      </c>
      <c r="B1" s="2"/>
      <c r="C1" s="1"/>
      <c r="D1" s="1"/>
      <c r="E1" s="63" t="s">
        <v>18</v>
      </c>
      <c r="H1" s="2" t="s">
        <v>20</v>
      </c>
      <c r="I1" s="66" t="s">
        <v>23</v>
      </c>
      <c r="J1" s="1" t="s">
        <v>50</v>
      </c>
      <c r="K1" s="1"/>
      <c r="L1" s="63" t="s">
        <v>18</v>
      </c>
    </row>
    <row r="2" spans="1:16" ht="14.25" thickBot="1" x14ac:dyDescent="0.2">
      <c r="A2" s="5" t="s">
        <v>0</v>
      </c>
      <c r="B2" s="96" t="s">
        <v>19</v>
      </c>
      <c r="C2" s="97"/>
      <c r="D2" s="97"/>
      <c r="E2" s="97"/>
      <c r="F2" s="98"/>
      <c r="H2" s="5" t="s">
        <v>0</v>
      </c>
      <c r="I2" s="96" t="s">
        <v>19</v>
      </c>
      <c r="J2" s="97"/>
      <c r="K2" s="97"/>
      <c r="L2" s="97"/>
      <c r="M2" s="98"/>
    </row>
    <row r="3" spans="1:16" ht="14.25" thickBot="1" x14ac:dyDescent="0.2">
      <c r="A3" s="5" t="s">
        <v>1</v>
      </c>
      <c r="B3" s="3" t="s">
        <v>13</v>
      </c>
      <c r="C3" s="27" t="s">
        <v>14</v>
      </c>
      <c r="D3" s="4" t="s">
        <v>15</v>
      </c>
      <c r="E3" s="14" t="s">
        <v>16</v>
      </c>
      <c r="F3" s="18" t="s">
        <v>2</v>
      </c>
      <c r="H3" s="5" t="s">
        <v>1</v>
      </c>
      <c r="I3" s="3" t="s">
        <v>13</v>
      </c>
      <c r="J3" s="27" t="s">
        <v>14</v>
      </c>
      <c r="K3" s="4" t="s">
        <v>15</v>
      </c>
      <c r="L3" s="14" t="s">
        <v>16</v>
      </c>
      <c r="M3" s="5" t="s">
        <v>2</v>
      </c>
    </row>
    <row r="4" spans="1:16" x14ac:dyDescent="0.15">
      <c r="A4" s="67" t="s">
        <v>12</v>
      </c>
      <c r="B4" s="68">
        <v>5</v>
      </c>
      <c r="C4" s="69">
        <v>5</v>
      </c>
      <c r="D4" s="69">
        <v>5</v>
      </c>
      <c r="E4" s="70">
        <v>5</v>
      </c>
      <c r="F4" s="71">
        <f>SUM(B4:E4)</f>
        <v>20</v>
      </c>
      <c r="G4" s="76">
        <v>45763</v>
      </c>
      <c r="H4" s="11" t="s">
        <v>21</v>
      </c>
      <c r="I4" s="36"/>
      <c r="J4" s="37"/>
      <c r="K4" s="38"/>
      <c r="L4" s="39"/>
      <c r="M4" s="55">
        <f t="shared" ref="M4:M6" si="0">SUM(I4:L4)</f>
        <v>0</v>
      </c>
    </row>
    <row r="5" spans="1:16" x14ac:dyDescent="0.15">
      <c r="A5" s="41" t="s">
        <v>11</v>
      </c>
      <c r="B5" s="36"/>
      <c r="C5" s="37">
        <v>3</v>
      </c>
      <c r="D5" s="38"/>
      <c r="E5" s="39">
        <v>3</v>
      </c>
      <c r="F5" s="55">
        <f>SUM(B5:E5)</f>
        <v>6</v>
      </c>
      <c r="G5" s="76">
        <v>45803</v>
      </c>
      <c r="H5" s="11" t="s">
        <v>11</v>
      </c>
      <c r="I5" s="15"/>
      <c r="J5" s="28"/>
      <c r="K5" s="16"/>
      <c r="L5" s="19"/>
      <c r="M5" s="40">
        <f t="shared" si="0"/>
        <v>0</v>
      </c>
    </row>
    <row r="6" spans="1:16" x14ac:dyDescent="0.15">
      <c r="A6" s="41" t="s">
        <v>3</v>
      </c>
      <c r="B6" s="15">
        <v>3</v>
      </c>
      <c r="C6" s="28"/>
      <c r="D6" s="16">
        <v>3</v>
      </c>
      <c r="E6" s="19"/>
      <c r="F6" s="40">
        <f>SUM(B6:E6)</f>
        <v>6</v>
      </c>
      <c r="G6" s="76">
        <v>45815</v>
      </c>
      <c r="H6" s="11" t="s">
        <v>24</v>
      </c>
      <c r="I6" s="15">
        <v>260</v>
      </c>
      <c r="J6" s="28">
        <v>330</v>
      </c>
      <c r="K6" s="16">
        <v>200</v>
      </c>
      <c r="L6" s="19">
        <v>210</v>
      </c>
      <c r="M6" s="40">
        <f t="shared" si="0"/>
        <v>1000</v>
      </c>
      <c r="N6" s="72" t="s">
        <v>41</v>
      </c>
      <c r="O6" s="73"/>
    </row>
    <row r="7" spans="1:16" x14ac:dyDescent="0.15">
      <c r="A7" s="41" t="s">
        <v>4</v>
      </c>
      <c r="B7" s="15"/>
      <c r="C7" s="28">
        <v>3</v>
      </c>
      <c r="D7" s="16"/>
      <c r="E7" s="19">
        <v>3</v>
      </c>
      <c r="F7" s="40">
        <f>SUM(B7:E7)</f>
        <v>6</v>
      </c>
      <c r="G7" s="76">
        <v>45854</v>
      </c>
      <c r="H7" s="11" t="s">
        <v>38</v>
      </c>
      <c r="I7" s="15">
        <v>10</v>
      </c>
      <c r="J7" s="28"/>
      <c r="K7" s="16">
        <v>10</v>
      </c>
      <c r="L7" s="8"/>
      <c r="M7" s="9">
        <f>SUM(I7:L7)</f>
        <v>20</v>
      </c>
      <c r="N7" s="73" t="s">
        <v>35</v>
      </c>
      <c r="O7" s="73"/>
    </row>
    <row r="8" spans="1:16" ht="14.25" thickBot="1" x14ac:dyDescent="0.2">
      <c r="A8" s="41" t="s">
        <v>5</v>
      </c>
      <c r="B8" s="6"/>
      <c r="C8" s="17"/>
      <c r="D8" s="7">
        <v>5</v>
      </c>
      <c r="E8" s="8"/>
      <c r="F8" s="10">
        <f>SUM(B8:E8)</f>
        <v>5</v>
      </c>
      <c r="G8" s="76">
        <v>45866</v>
      </c>
      <c r="H8" s="11" t="s">
        <v>5</v>
      </c>
      <c r="I8" s="6"/>
      <c r="J8" s="17"/>
      <c r="K8" s="7"/>
      <c r="L8" s="8"/>
      <c r="M8" s="42">
        <f>SUM(I8:L8)</f>
        <v>0</v>
      </c>
    </row>
    <row r="9" spans="1:16" ht="14.25" thickBot="1" x14ac:dyDescent="0.2">
      <c r="A9" s="13" t="s">
        <v>7</v>
      </c>
      <c r="B9" s="24">
        <f t="shared" ref="B9:F9" si="1">SUM(B4:B8)</f>
        <v>8</v>
      </c>
      <c r="C9" s="30">
        <f t="shared" si="1"/>
        <v>11</v>
      </c>
      <c r="D9" s="25">
        <f t="shared" si="1"/>
        <v>13</v>
      </c>
      <c r="E9" s="54">
        <f t="shared" si="1"/>
        <v>11</v>
      </c>
      <c r="F9" s="53">
        <f t="shared" si="1"/>
        <v>43</v>
      </c>
      <c r="H9" s="13" t="s">
        <v>7</v>
      </c>
      <c r="I9" s="24">
        <f>SUM(I4:I8)</f>
        <v>270</v>
      </c>
      <c r="J9" s="30">
        <f t="shared" ref="J9:M9" si="2">SUM(J4:J8)</f>
        <v>330</v>
      </c>
      <c r="K9" s="25">
        <f t="shared" si="2"/>
        <v>210</v>
      </c>
      <c r="L9" s="54">
        <f t="shared" si="2"/>
        <v>210</v>
      </c>
      <c r="M9" s="53">
        <f t="shared" si="2"/>
        <v>1020</v>
      </c>
    </row>
    <row r="10" spans="1:16" x14ac:dyDescent="0.15">
      <c r="A10" s="41" t="s">
        <v>40</v>
      </c>
      <c r="B10" s="36">
        <v>1</v>
      </c>
      <c r="C10" s="37"/>
      <c r="D10" s="38"/>
      <c r="E10" s="39"/>
      <c r="F10" s="48">
        <f t="shared" ref="F10:F27" si="3">SUM(B10:E10)</f>
        <v>1</v>
      </c>
      <c r="G10" s="77">
        <v>45763</v>
      </c>
      <c r="H10" s="41" t="s">
        <v>37</v>
      </c>
      <c r="I10" s="36">
        <v>4</v>
      </c>
      <c r="J10" s="37">
        <v>4</v>
      </c>
      <c r="K10" s="38">
        <v>4</v>
      </c>
      <c r="L10" s="39">
        <v>4</v>
      </c>
      <c r="M10" s="48">
        <f t="shared" ref="M10:M31" si="4">SUM(I10:L10)</f>
        <v>16</v>
      </c>
      <c r="N10" s="72">
        <v>45764</v>
      </c>
      <c r="O10" s="73"/>
    </row>
    <row r="11" spans="1:16" x14ac:dyDescent="0.15">
      <c r="A11" s="41" t="s">
        <v>40</v>
      </c>
      <c r="B11" s="15"/>
      <c r="C11" s="28">
        <v>1</v>
      </c>
      <c r="D11" s="16"/>
      <c r="E11" s="19"/>
      <c r="F11" s="9">
        <f t="shared" si="3"/>
        <v>1</v>
      </c>
      <c r="G11" s="77">
        <v>45772</v>
      </c>
      <c r="H11" s="41" t="s">
        <v>39</v>
      </c>
      <c r="I11" s="15">
        <v>5</v>
      </c>
      <c r="J11" s="28">
        <v>5</v>
      </c>
      <c r="K11" s="16">
        <v>5</v>
      </c>
      <c r="L11" s="19">
        <v>5</v>
      </c>
      <c r="M11" s="9">
        <f>SUM(I11:L11)</f>
        <v>20</v>
      </c>
      <c r="N11" s="72">
        <v>45763</v>
      </c>
      <c r="O11" s="73"/>
      <c r="P11" s="73"/>
    </row>
    <row r="12" spans="1:16" x14ac:dyDescent="0.15">
      <c r="A12" s="41" t="s">
        <v>44</v>
      </c>
      <c r="B12" s="15"/>
      <c r="C12" s="28">
        <v>1</v>
      </c>
      <c r="D12" s="16">
        <v>1</v>
      </c>
      <c r="E12" s="19"/>
      <c r="F12" s="9">
        <f t="shared" si="3"/>
        <v>2</v>
      </c>
      <c r="G12" s="76">
        <v>45779</v>
      </c>
      <c r="H12" s="74" t="s">
        <v>42</v>
      </c>
      <c r="I12" s="15">
        <v>50</v>
      </c>
      <c r="J12" s="28">
        <v>50</v>
      </c>
      <c r="K12" s="16">
        <v>50</v>
      </c>
      <c r="L12" s="19">
        <v>50</v>
      </c>
      <c r="M12" s="9">
        <f t="shared" si="4"/>
        <v>200</v>
      </c>
      <c r="N12" s="72">
        <v>45778</v>
      </c>
      <c r="O12" s="73"/>
      <c r="P12" s="73"/>
    </row>
    <row r="13" spans="1:16" x14ac:dyDescent="0.15">
      <c r="A13" s="41" t="s">
        <v>40</v>
      </c>
      <c r="B13" s="15"/>
      <c r="C13" s="28"/>
      <c r="D13" s="16"/>
      <c r="E13" s="19">
        <v>1</v>
      </c>
      <c r="F13" s="9">
        <f t="shared" si="3"/>
        <v>1</v>
      </c>
      <c r="G13" s="77">
        <v>45777</v>
      </c>
      <c r="H13" s="41" t="s">
        <v>45</v>
      </c>
      <c r="I13" s="15"/>
      <c r="J13" s="28">
        <v>1</v>
      </c>
      <c r="K13" s="16">
        <v>1</v>
      </c>
      <c r="L13" s="19">
        <v>1</v>
      </c>
      <c r="M13" s="9">
        <f t="shared" si="4"/>
        <v>3</v>
      </c>
      <c r="N13" s="72">
        <v>45796</v>
      </c>
      <c r="O13" s="73"/>
      <c r="P13" s="73"/>
    </row>
    <row r="14" spans="1:16" x14ac:dyDescent="0.15">
      <c r="A14" s="41" t="s">
        <v>40</v>
      </c>
      <c r="B14" s="15"/>
      <c r="C14" s="28"/>
      <c r="D14" s="16">
        <v>1</v>
      </c>
      <c r="E14" s="19"/>
      <c r="F14" s="9">
        <f t="shared" si="3"/>
        <v>1</v>
      </c>
      <c r="G14" s="77">
        <v>45779</v>
      </c>
      <c r="H14" s="41" t="s">
        <v>46</v>
      </c>
      <c r="I14" s="15"/>
      <c r="J14" s="28"/>
      <c r="K14" s="16"/>
      <c r="L14" s="19">
        <v>10</v>
      </c>
      <c r="M14" s="9">
        <f t="shared" si="4"/>
        <v>10</v>
      </c>
      <c r="N14" s="72">
        <v>45792</v>
      </c>
      <c r="O14" s="73"/>
      <c r="P14" s="73"/>
    </row>
    <row r="15" spans="1:16" x14ac:dyDescent="0.15">
      <c r="A15" s="41" t="s">
        <v>40</v>
      </c>
      <c r="B15" s="15">
        <v>1</v>
      </c>
      <c r="C15" s="28"/>
      <c r="D15" s="16"/>
      <c r="E15" s="19"/>
      <c r="F15" s="9">
        <f t="shared" si="3"/>
        <v>1</v>
      </c>
      <c r="G15" s="77">
        <v>45785</v>
      </c>
      <c r="H15" s="41" t="s">
        <v>47</v>
      </c>
      <c r="I15" s="15">
        <v>8</v>
      </c>
      <c r="J15" s="28">
        <v>25</v>
      </c>
      <c r="K15" s="16"/>
      <c r="L15" s="19">
        <v>2</v>
      </c>
      <c r="M15" s="9">
        <f t="shared" si="4"/>
        <v>35</v>
      </c>
      <c r="N15" s="72">
        <v>45798</v>
      </c>
      <c r="O15" s="73"/>
      <c r="P15" s="73"/>
    </row>
    <row r="16" spans="1:16" x14ac:dyDescent="0.15">
      <c r="A16" s="41" t="s">
        <v>40</v>
      </c>
      <c r="B16" s="15"/>
      <c r="C16" s="28">
        <v>1</v>
      </c>
      <c r="D16" s="16"/>
      <c r="E16" s="19">
        <v>1</v>
      </c>
      <c r="F16" s="9">
        <f t="shared" si="3"/>
        <v>2</v>
      </c>
      <c r="G16" s="77">
        <v>45789</v>
      </c>
      <c r="H16" s="41" t="s">
        <v>48</v>
      </c>
      <c r="I16" s="15"/>
      <c r="J16" s="28">
        <v>2</v>
      </c>
      <c r="K16" s="16"/>
      <c r="L16" s="19">
        <v>1</v>
      </c>
      <c r="M16" s="9">
        <f t="shared" si="4"/>
        <v>3</v>
      </c>
      <c r="N16" s="72">
        <v>45803</v>
      </c>
      <c r="O16" s="73"/>
      <c r="P16" s="73"/>
    </row>
    <row r="17" spans="1:16" x14ac:dyDescent="0.15">
      <c r="A17" s="41" t="s">
        <v>40</v>
      </c>
      <c r="B17" s="15"/>
      <c r="C17" s="28"/>
      <c r="D17" s="16"/>
      <c r="E17" s="19">
        <v>1</v>
      </c>
      <c r="F17" s="9">
        <f t="shared" si="3"/>
        <v>1</v>
      </c>
      <c r="G17" s="77">
        <v>45793</v>
      </c>
      <c r="H17" s="41" t="s">
        <v>39</v>
      </c>
      <c r="I17" s="15"/>
      <c r="J17" s="28">
        <v>3</v>
      </c>
      <c r="K17" s="16"/>
      <c r="L17" s="19">
        <v>3</v>
      </c>
      <c r="M17" s="9">
        <f>SUM(I17:L17)</f>
        <v>6</v>
      </c>
      <c r="N17" s="72">
        <v>45803</v>
      </c>
      <c r="O17" s="73"/>
      <c r="P17" s="73"/>
    </row>
    <row r="18" spans="1:16" x14ac:dyDescent="0.15">
      <c r="A18" s="41" t="s">
        <v>40</v>
      </c>
      <c r="B18" s="15"/>
      <c r="C18" s="28"/>
      <c r="D18" s="16"/>
      <c r="E18" s="19">
        <v>1</v>
      </c>
      <c r="F18" s="9">
        <f t="shared" si="3"/>
        <v>1</v>
      </c>
      <c r="G18" s="77">
        <v>45803</v>
      </c>
      <c r="H18" s="41" t="s">
        <v>51</v>
      </c>
      <c r="I18" s="15">
        <v>2</v>
      </c>
      <c r="J18" s="28">
        <v>4</v>
      </c>
      <c r="K18" s="16">
        <v>3</v>
      </c>
      <c r="L18" s="19">
        <v>3</v>
      </c>
      <c r="M18" s="9">
        <f t="shared" si="4"/>
        <v>12</v>
      </c>
      <c r="N18" s="72">
        <v>45814</v>
      </c>
      <c r="O18" s="73"/>
      <c r="P18" s="73"/>
    </row>
    <row r="19" spans="1:16" x14ac:dyDescent="0.15">
      <c r="A19" s="41" t="s">
        <v>40</v>
      </c>
      <c r="B19" s="15"/>
      <c r="C19" s="28">
        <v>1</v>
      </c>
      <c r="D19" s="16"/>
      <c r="E19" s="19"/>
      <c r="F19" s="9">
        <f t="shared" si="3"/>
        <v>1</v>
      </c>
      <c r="G19" s="77">
        <v>45813</v>
      </c>
      <c r="H19" s="41" t="s">
        <v>39</v>
      </c>
      <c r="I19" s="15">
        <v>3</v>
      </c>
      <c r="J19" s="28"/>
      <c r="K19" s="16">
        <v>3</v>
      </c>
      <c r="L19" s="19"/>
      <c r="M19" s="9">
        <f>SUM(I19:L19)</f>
        <v>6</v>
      </c>
      <c r="N19" s="72">
        <v>45815</v>
      </c>
      <c r="O19" s="73"/>
      <c r="P19" s="73"/>
    </row>
    <row r="20" spans="1:16" x14ac:dyDescent="0.15">
      <c r="A20" s="41" t="s">
        <v>40</v>
      </c>
      <c r="B20" s="15">
        <v>1</v>
      </c>
      <c r="C20" s="28"/>
      <c r="D20" s="16"/>
      <c r="E20" s="19"/>
      <c r="F20" s="9">
        <f t="shared" si="3"/>
        <v>1</v>
      </c>
      <c r="G20" s="77">
        <v>45814</v>
      </c>
      <c r="H20" s="41" t="s">
        <v>54</v>
      </c>
      <c r="I20" s="15">
        <v>1</v>
      </c>
      <c r="J20" s="28">
        <v>3</v>
      </c>
      <c r="K20" s="16">
        <v>1</v>
      </c>
      <c r="L20" s="19"/>
      <c r="M20" s="9">
        <f t="shared" si="4"/>
        <v>5</v>
      </c>
      <c r="N20" s="72">
        <v>45821</v>
      </c>
      <c r="O20" s="73"/>
    </row>
    <row r="21" spans="1:16" x14ac:dyDescent="0.15">
      <c r="A21" s="41" t="s">
        <v>40</v>
      </c>
      <c r="B21" s="15"/>
      <c r="C21" s="28"/>
      <c r="D21" s="16">
        <v>1</v>
      </c>
      <c r="E21" s="19"/>
      <c r="F21" s="9">
        <f t="shared" si="3"/>
        <v>1</v>
      </c>
      <c r="G21" s="77">
        <v>45819</v>
      </c>
      <c r="H21" s="41" t="s">
        <v>55</v>
      </c>
      <c r="I21" s="15"/>
      <c r="J21" s="28"/>
      <c r="K21" s="16">
        <v>1</v>
      </c>
      <c r="L21" s="19">
        <v>4</v>
      </c>
      <c r="M21" s="9">
        <f t="shared" si="4"/>
        <v>5</v>
      </c>
      <c r="N21" s="72">
        <v>45849</v>
      </c>
      <c r="O21" s="73"/>
    </row>
    <row r="22" spans="1:16" x14ac:dyDescent="0.15">
      <c r="A22" s="41" t="s">
        <v>40</v>
      </c>
      <c r="B22" s="15"/>
      <c r="C22" s="28">
        <v>1</v>
      </c>
      <c r="D22" s="16">
        <v>1</v>
      </c>
      <c r="E22" s="19"/>
      <c r="F22" s="9">
        <f t="shared" si="3"/>
        <v>2</v>
      </c>
      <c r="G22" s="77">
        <v>45827</v>
      </c>
      <c r="H22" s="41" t="s">
        <v>39</v>
      </c>
      <c r="I22" s="15"/>
      <c r="J22" s="28">
        <v>3</v>
      </c>
      <c r="K22" s="16"/>
      <c r="L22" s="19">
        <v>3</v>
      </c>
      <c r="M22" s="9">
        <f>SUM(I22:L22)</f>
        <v>6</v>
      </c>
      <c r="N22" s="72">
        <v>45854</v>
      </c>
      <c r="O22" s="73"/>
    </row>
    <row r="23" spans="1:16" x14ac:dyDescent="0.15">
      <c r="A23" s="41" t="s">
        <v>40</v>
      </c>
      <c r="B23" s="15"/>
      <c r="C23" s="28"/>
      <c r="D23" s="16"/>
      <c r="E23" s="19">
        <v>1</v>
      </c>
      <c r="F23" s="9">
        <f t="shared" si="3"/>
        <v>1</v>
      </c>
      <c r="G23" s="77">
        <v>45845</v>
      </c>
      <c r="H23" s="41" t="s">
        <v>39</v>
      </c>
      <c r="I23" s="15"/>
      <c r="J23" s="28"/>
      <c r="K23" s="16">
        <v>5</v>
      </c>
      <c r="L23" s="19"/>
      <c r="M23" s="9">
        <f>SUM(I23:L23)</f>
        <v>5</v>
      </c>
      <c r="N23" s="72">
        <v>45866</v>
      </c>
      <c r="O23" s="73"/>
    </row>
    <row r="24" spans="1:16" x14ac:dyDescent="0.15">
      <c r="A24" s="41" t="s">
        <v>40</v>
      </c>
      <c r="B24" s="15"/>
      <c r="C24" s="28"/>
      <c r="D24" s="16"/>
      <c r="E24" s="19">
        <v>1</v>
      </c>
      <c r="F24" s="9">
        <f t="shared" si="3"/>
        <v>1</v>
      </c>
      <c r="G24" s="77">
        <v>45846</v>
      </c>
      <c r="H24" s="41"/>
      <c r="I24" s="15"/>
      <c r="J24" s="28"/>
      <c r="K24" s="16"/>
      <c r="L24" s="19"/>
      <c r="M24" s="9">
        <f t="shared" si="4"/>
        <v>0</v>
      </c>
      <c r="N24" s="73"/>
      <c r="O24" s="73"/>
    </row>
    <row r="25" spans="1:16" x14ac:dyDescent="0.15">
      <c r="A25" s="41" t="s">
        <v>40</v>
      </c>
      <c r="B25" s="15"/>
      <c r="C25" s="28"/>
      <c r="D25" s="16">
        <v>1</v>
      </c>
      <c r="E25" s="19"/>
      <c r="F25" s="9">
        <f t="shared" si="3"/>
        <v>1</v>
      </c>
      <c r="G25" s="77">
        <v>45866</v>
      </c>
      <c r="H25" s="41"/>
      <c r="I25" s="15"/>
      <c r="J25" s="28"/>
      <c r="K25" s="16"/>
      <c r="L25" s="19"/>
      <c r="M25" s="9">
        <f t="shared" si="4"/>
        <v>0</v>
      </c>
    </row>
    <row r="26" spans="1:16" x14ac:dyDescent="0.15">
      <c r="A26" s="41" t="s">
        <v>58</v>
      </c>
      <c r="B26" s="15"/>
      <c r="C26" s="28">
        <v>1</v>
      </c>
      <c r="D26" s="16"/>
      <c r="E26" s="19"/>
      <c r="F26" s="9">
        <f t="shared" si="3"/>
        <v>1</v>
      </c>
      <c r="G26" s="77">
        <v>45870</v>
      </c>
      <c r="H26" s="41"/>
      <c r="I26" s="15"/>
      <c r="J26" s="28"/>
      <c r="K26" s="16"/>
      <c r="L26" s="19"/>
      <c r="M26" s="9">
        <f t="shared" si="4"/>
        <v>0</v>
      </c>
    </row>
    <row r="27" spans="1:16" x14ac:dyDescent="0.15">
      <c r="A27" s="41"/>
      <c r="B27" s="15"/>
      <c r="C27" s="28"/>
      <c r="D27" s="16"/>
      <c r="E27" s="19"/>
      <c r="F27" s="9">
        <f t="shared" si="3"/>
        <v>0</v>
      </c>
      <c r="H27" s="41"/>
      <c r="I27" s="15"/>
      <c r="J27" s="28"/>
      <c r="K27" s="16"/>
      <c r="L27" s="19"/>
      <c r="M27" s="9">
        <f t="shared" si="4"/>
        <v>0</v>
      </c>
    </row>
    <row r="28" spans="1:16" x14ac:dyDescent="0.15">
      <c r="A28" s="41"/>
      <c r="B28" s="15"/>
      <c r="C28" s="28"/>
      <c r="D28" s="16"/>
      <c r="E28" s="19"/>
      <c r="F28" s="9">
        <f t="shared" ref="F28" si="5">SUM(B28:E28)</f>
        <v>0</v>
      </c>
      <c r="H28" s="41"/>
      <c r="I28" s="15"/>
      <c r="J28" s="28"/>
      <c r="K28" s="16"/>
      <c r="L28" s="19"/>
      <c r="M28" s="9">
        <f t="shared" si="4"/>
        <v>0</v>
      </c>
    </row>
    <row r="29" spans="1:16" x14ac:dyDescent="0.15">
      <c r="A29" s="41"/>
      <c r="B29" s="15"/>
      <c r="C29" s="28"/>
      <c r="D29" s="16"/>
      <c r="E29" s="19"/>
      <c r="F29" s="9">
        <f t="shared" ref="F29:F34" si="6">SUM(B29:E29)</f>
        <v>0</v>
      </c>
      <c r="H29" s="41"/>
      <c r="I29" s="15"/>
      <c r="J29" s="28"/>
      <c r="K29" s="16"/>
      <c r="L29" s="19"/>
      <c r="M29" s="9">
        <f t="shared" si="4"/>
        <v>0</v>
      </c>
    </row>
    <row r="30" spans="1:16" x14ac:dyDescent="0.15">
      <c r="A30" s="41"/>
      <c r="B30" s="15"/>
      <c r="C30" s="28"/>
      <c r="D30" s="16"/>
      <c r="E30" s="19"/>
      <c r="F30" s="9">
        <f t="shared" si="6"/>
        <v>0</v>
      </c>
      <c r="H30" s="41"/>
      <c r="I30" s="15"/>
      <c r="J30" s="28"/>
      <c r="K30" s="16"/>
      <c r="L30" s="19"/>
      <c r="M30" s="9">
        <f t="shared" si="4"/>
        <v>0</v>
      </c>
    </row>
    <row r="31" spans="1:16" x14ac:dyDescent="0.15">
      <c r="A31" s="41"/>
      <c r="B31" s="15"/>
      <c r="C31" s="28"/>
      <c r="D31" s="16"/>
      <c r="E31" s="19"/>
      <c r="F31" s="9">
        <f t="shared" si="6"/>
        <v>0</v>
      </c>
      <c r="H31" s="41"/>
      <c r="I31" s="15"/>
      <c r="J31" s="28"/>
      <c r="K31" s="16"/>
      <c r="L31" s="19"/>
      <c r="M31" s="9">
        <f t="shared" si="4"/>
        <v>0</v>
      </c>
    </row>
    <row r="32" spans="1:16" x14ac:dyDescent="0.15">
      <c r="A32" s="41"/>
      <c r="B32" s="15"/>
      <c r="C32" s="28"/>
      <c r="D32" s="16"/>
      <c r="E32" s="19"/>
      <c r="F32" s="9">
        <f t="shared" si="6"/>
        <v>0</v>
      </c>
      <c r="H32" s="41"/>
      <c r="I32" s="15"/>
      <c r="J32" s="28"/>
      <c r="K32" s="16"/>
      <c r="L32" s="19"/>
      <c r="M32" s="9">
        <f t="shared" ref="M32:M34" si="7">SUM(I32:L32)</f>
        <v>0</v>
      </c>
      <c r="N32" s="73"/>
      <c r="O32" s="73"/>
    </row>
    <row r="33" spans="1:18" x14ac:dyDescent="0.15">
      <c r="A33" s="41"/>
      <c r="B33" s="15"/>
      <c r="C33" s="28"/>
      <c r="D33" s="16"/>
      <c r="E33" s="19"/>
      <c r="F33" s="9">
        <f t="shared" si="6"/>
        <v>0</v>
      </c>
      <c r="H33" s="41" t="s">
        <v>28</v>
      </c>
      <c r="I33" s="15"/>
      <c r="J33" s="28"/>
      <c r="K33" s="16"/>
      <c r="L33" s="19"/>
      <c r="M33" s="9">
        <f t="shared" si="7"/>
        <v>0</v>
      </c>
      <c r="N33" s="73"/>
      <c r="O33" s="73"/>
    </row>
    <row r="34" spans="1:18" ht="14.25" thickBot="1" x14ac:dyDescent="0.2">
      <c r="A34" s="41"/>
      <c r="B34" s="32"/>
      <c r="C34" s="33"/>
      <c r="D34" s="34"/>
      <c r="E34" s="35"/>
      <c r="F34" s="9">
        <f t="shared" si="6"/>
        <v>0</v>
      </c>
      <c r="H34" s="78" t="s">
        <v>26</v>
      </c>
      <c r="I34" s="32"/>
      <c r="J34" s="33"/>
      <c r="K34" s="34"/>
      <c r="L34" s="35"/>
      <c r="M34" s="10">
        <f t="shared" si="7"/>
        <v>0</v>
      </c>
      <c r="N34" s="73" t="s">
        <v>27</v>
      </c>
      <c r="O34" s="73"/>
    </row>
    <row r="35" spans="1:18" ht="14.25" thickBot="1" x14ac:dyDescent="0.2">
      <c r="A35" s="12" t="s">
        <v>8</v>
      </c>
      <c r="B35" s="21">
        <f>SUM(B10:B34)</f>
        <v>3</v>
      </c>
      <c r="C35" s="29">
        <f>SUM(C10:C34)</f>
        <v>6</v>
      </c>
      <c r="D35" s="22">
        <f>SUM(D10:D34)</f>
        <v>5</v>
      </c>
      <c r="E35" s="23">
        <f>SUM(E10:E34)</f>
        <v>6</v>
      </c>
      <c r="F35" s="20">
        <f>SUM(B35:E35)</f>
        <v>20</v>
      </c>
      <c r="H35" s="64" t="s">
        <v>8</v>
      </c>
      <c r="I35" s="21">
        <f>SUM(I10:I34)</f>
        <v>73</v>
      </c>
      <c r="J35" s="29">
        <f t="shared" ref="J35:M35" si="8">SUM(J10:J34)</f>
        <v>100</v>
      </c>
      <c r="K35" s="22">
        <f t="shared" si="8"/>
        <v>73</v>
      </c>
      <c r="L35" s="23">
        <f t="shared" si="8"/>
        <v>86</v>
      </c>
      <c r="M35" s="42">
        <f t="shared" si="8"/>
        <v>332</v>
      </c>
    </row>
    <row r="36" spans="1:18" ht="14.25" thickBot="1" x14ac:dyDescent="0.2">
      <c r="A36" s="13" t="s">
        <v>9</v>
      </c>
      <c r="B36" s="24">
        <f t="shared" ref="B36:F36" si="9">B9-B35</f>
        <v>5</v>
      </c>
      <c r="C36" s="30">
        <f t="shared" si="9"/>
        <v>5</v>
      </c>
      <c r="D36" s="25">
        <f t="shared" si="9"/>
        <v>8</v>
      </c>
      <c r="E36" s="26">
        <f t="shared" si="9"/>
        <v>5</v>
      </c>
      <c r="F36" s="56">
        <f t="shared" si="9"/>
        <v>23</v>
      </c>
      <c r="H36" s="13" t="s">
        <v>9</v>
      </c>
      <c r="I36" s="24">
        <f>I9-I35</f>
        <v>197</v>
      </c>
      <c r="J36" s="30">
        <f t="shared" ref="J36:M36" si="10">J9-J35</f>
        <v>230</v>
      </c>
      <c r="K36" s="25">
        <f t="shared" si="10"/>
        <v>137</v>
      </c>
      <c r="L36" s="26">
        <f t="shared" si="10"/>
        <v>124</v>
      </c>
      <c r="M36" s="56">
        <f t="shared" si="10"/>
        <v>688</v>
      </c>
    </row>
    <row r="37" spans="1:18" x14ac:dyDescent="0.15">
      <c r="H37" t="s">
        <v>22</v>
      </c>
      <c r="I37" s="65">
        <v>187</v>
      </c>
      <c r="J37" s="65">
        <v>238</v>
      </c>
      <c r="K37" s="65">
        <v>139</v>
      </c>
      <c r="L37" s="65">
        <v>158</v>
      </c>
      <c r="M37" s="65">
        <v>722</v>
      </c>
    </row>
    <row r="38" spans="1:18" x14ac:dyDescent="0.15">
      <c r="I38" s="47">
        <v>25.900277008310251</v>
      </c>
      <c r="J38" s="47">
        <v>32.963988919667592</v>
      </c>
      <c r="K38" s="47">
        <v>19.252077562326868</v>
      </c>
      <c r="L38" s="47">
        <v>21.883656509695289</v>
      </c>
      <c r="M38">
        <v>100</v>
      </c>
    </row>
    <row r="39" spans="1:18" ht="19.5" thickBot="1" x14ac:dyDescent="0.25">
      <c r="A39" s="2" t="s">
        <v>17</v>
      </c>
      <c r="B39" s="2"/>
      <c r="C39" s="1"/>
      <c r="D39" s="1"/>
      <c r="E39" s="63" t="s">
        <v>18</v>
      </c>
      <c r="H39" s="2" t="s">
        <v>20</v>
      </c>
      <c r="I39" s="66" t="s">
        <v>23</v>
      </c>
      <c r="J39" s="1" t="s">
        <v>50</v>
      </c>
      <c r="K39" s="1"/>
      <c r="L39" s="63" t="s">
        <v>18</v>
      </c>
    </row>
    <row r="40" spans="1:18" ht="14.25" thickBot="1" x14ac:dyDescent="0.2">
      <c r="A40" s="5" t="s">
        <v>0</v>
      </c>
      <c r="B40" s="96" t="s">
        <v>19</v>
      </c>
      <c r="C40" s="97"/>
      <c r="D40" s="97"/>
      <c r="E40" s="97"/>
      <c r="F40" s="98"/>
      <c r="H40" s="5" t="s">
        <v>0</v>
      </c>
      <c r="I40" s="96" t="s">
        <v>19</v>
      </c>
      <c r="J40" s="97"/>
      <c r="K40" s="97"/>
      <c r="L40" s="97"/>
      <c r="M40" s="98"/>
    </row>
    <row r="41" spans="1:18" ht="14.25" thickBot="1" x14ac:dyDescent="0.2">
      <c r="A41" s="5" t="s">
        <v>1</v>
      </c>
      <c r="B41" s="3" t="s">
        <v>13</v>
      </c>
      <c r="C41" s="27" t="s">
        <v>14</v>
      </c>
      <c r="D41" s="4" t="s">
        <v>15</v>
      </c>
      <c r="E41" s="14" t="s">
        <v>16</v>
      </c>
      <c r="F41" s="18" t="s">
        <v>2</v>
      </c>
      <c r="H41" s="5" t="s">
        <v>1</v>
      </c>
      <c r="I41" s="3" t="s">
        <v>13</v>
      </c>
      <c r="J41" s="27" t="s">
        <v>14</v>
      </c>
      <c r="K41" s="4" t="s">
        <v>15</v>
      </c>
      <c r="L41" s="14" t="s">
        <v>16</v>
      </c>
      <c r="M41" s="18" t="s">
        <v>2</v>
      </c>
    </row>
    <row r="42" spans="1:18" x14ac:dyDescent="0.15">
      <c r="A42" s="67" t="s">
        <v>10</v>
      </c>
      <c r="B42" s="68">
        <f>B36</f>
        <v>5</v>
      </c>
      <c r="C42" s="69">
        <f>C36</f>
        <v>5</v>
      </c>
      <c r="D42" s="69">
        <f>D36</f>
        <v>8</v>
      </c>
      <c r="E42" s="70">
        <f>E36</f>
        <v>5</v>
      </c>
      <c r="F42" s="71">
        <f>SUM(B42:E42)</f>
        <v>23</v>
      </c>
      <c r="G42" s="79"/>
      <c r="H42" s="57" t="s">
        <v>10</v>
      </c>
      <c r="I42" s="58">
        <f>I36</f>
        <v>197</v>
      </c>
      <c r="J42" s="59">
        <f t="shared" ref="J42:M42" si="11">J36</f>
        <v>230</v>
      </c>
      <c r="K42" s="59">
        <f t="shared" si="11"/>
        <v>137</v>
      </c>
      <c r="L42" s="60">
        <f t="shared" si="11"/>
        <v>124</v>
      </c>
      <c r="M42" s="61">
        <f t="shared" si="11"/>
        <v>688</v>
      </c>
    </row>
    <row r="43" spans="1:18" x14ac:dyDescent="0.15">
      <c r="A43" s="41" t="s">
        <v>57</v>
      </c>
      <c r="B43" s="43">
        <f>1+1</f>
        <v>2</v>
      </c>
      <c r="C43" s="44">
        <v>1</v>
      </c>
      <c r="D43" s="45">
        <v>2</v>
      </c>
      <c r="E43" s="46">
        <v>1</v>
      </c>
      <c r="F43" s="48">
        <f>SUM(B43:E43)</f>
        <v>6</v>
      </c>
      <c r="G43" s="76">
        <v>45875</v>
      </c>
      <c r="H43" s="41" t="s">
        <v>3</v>
      </c>
      <c r="I43" s="43"/>
      <c r="J43" s="44"/>
      <c r="K43" s="45"/>
      <c r="L43" s="46"/>
      <c r="M43" s="48">
        <f>SUM(I43:L43)</f>
        <v>0</v>
      </c>
    </row>
    <row r="44" spans="1:18" x14ac:dyDescent="0.15">
      <c r="A44" s="11" t="s">
        <v>60</v>
      </c>
      <c r="B44" s="6">
        <v>2</v>
      </c>
      <c r="C44" s="17">
        <v>-1</v>
      </c>
      <c r="D44" s="7">
        <v>0</v>
      </c>
      <c r="E44" s="8">
        <v>0</v>
      </c>
      <c r="F44" s="9">
        <f>SUM(B44:E44)</f>
        <v>1</v>
      </c>
      <c r="G44" s="76">
        <v>45894</v>
      </c>
      <c r="H44" s="11" t="s">
        <v>25</v>
      </c>
      <c r="I44" s="15">
        <v>260</v>
      </c>
      <c r="J44" s="28">
        <v>330</v>
      </c>
      <c r="K44" s="16">
        <v>200</v>
      </c>
      <c r="L44" s="19">
        <v>210</v>
      </c>
      <c r="M44" s="40">
        <f>SUM(I44:L44)</f>
        <v>1000</v>
      </c>
      <c r="N44" s="72" t="s">
        <v>52</v>
      </c>
    </row>
    <row r="45" spans="1:18" x14ac:dyDescent="0.15">
      <c r="A45" s="11" t="s">
        <v>5</v>
      </c>
      <c r="B45" s="6"/>
      <c r="C45" s="17"/>
      <c r="D45" s="7"/>
      <c r="E45" s="8">
        <v>3</v>
      </c>
      <c r="F45" s="9">
        <f>SUM(B45:E45)</f>
        <v>3</v>
      </c>
      <c r="G45" s="76">
        <v>45918</v>
      </c>
      <c r="H45" s="41" t="s">
        <v>49</v>
      </c>
      <c r="I45" s="43">
        <v>-18</v>
      </c>
      <c r="J45" s="44">
        <v>8</v>
      </c>
      <c r="K45" s="45">
        <v>-9</v>
      </c>
      <c r="L45" s="46">
        <v>3</v>
      </c>
      <c r="M45" s="48">
        <f t="shared" ref="M45" si="12">SUM(I45:L45)</f>
        <v>-16</v>
      </c>
      <c r="N45" s="73"/>
    </row>
    <row r="46" spans="1:18" ht="14.25" thickBot="1" x14ac:dyDescent="0.2">
      <c r="A46" s="11" t="s">
        <v>6</v>
      </c>
      <c r="B46" s="6"/>
      <c r="C46" s="17">
        <v>3</v>
      </c>
      <c r="D46" s="7"/>
      <c r="E46" s="8"/>
      <c r="F46" s="10">
        <f>SUM(B46:E46)</f>
        <v>3</v>
      </c>
      <c r="G46" s="76">
        <v>45926</v>
      </c>
      <c r="H46" s="11" t="s">
        <v>53</v>
      </c>
      <c r="I46" s="6">
        <v>4</v>
      </c>
      <c r="J46" s="17"/>
      <c r="K46" s="7">
        <v>11</v>
      </c>
      <c r="L46" s="8"/>
      <c r="M46" s="10">
        <f>SUM(I46:L46)</f>
        <v>15</v>
      </c>
      <c r="N46" s="72">
        <v>45828</v>
      </c>
    </row>
    <row r="47" spans="1:18" ht="14.25" thickBot="1" x14ac:dyDescent="0.2">
      <c r="A47" s="13" t="s">
        <v>7</v>
      </c>
      <c r="B47" s="49">
        <f t="shared" ref="B47:F47" si="13">SUM(B42:B46)</f>
        <v>9</v>
      </c>
      <c r="C47" s="50">
        <f t="shared" si="13"/>
        <v>8</v>
      </c>
      <c r="D47" s="51">
        <f t="shared" si="13"/>
        <v>10</v>
      </c>
      <c r="E47" s="52">
        <f t="shared" si="13"/>
        <v>9</v>
      </c>
      <c r="F47" s="53">
        <f t="shared" si="13"/>
        <v>36</v>
      </c>
      <c r="H47" s="13" t="s">
        <v>7</v>
      </c>
      <c r="I47" s="49">
        <f>SUM(I42:I46)</f>
        <v>443</v>
      </c>
      <c r="J47" s="50">
        <f t="shared" ref="J47:M47" si="14">SUM(J42:J46)</f>
        <v>568</v>
      </c>
      <c r="K47" s="51">
        <f t="shared" si="14"/>
        <v>339</v>
      </c>
      <c r="L47" s="52">
        <f t="shared" si="14"/>
        <v>337</v>
      </c>
      <c r="M47" s="53">
        <f t="shared" si="14"/>
        <v>1687</v>
      </c>
    </row>
    <row r="48" spans="1:18" x14ac:dyDescent="0.15">
      <c r="A48" s="41" t="s">
        <v>40</v>
      </c>
      <c r="B48" s="36"/>
      <c r="C48" s="37">
        <v>1</v>
      </c>
      <c r="D48" s="38"/>
      <c r="E48" s="39"/>
      <c r="F48" s="55">
        <f t="shared" ref="F48:F68" si="15">SUM(B48:E48)</f>
        <v>1</v>
      </c>
      <c r="G48" s="77">
        <v>45857</v>
      </c>
      <c r="H48" s="41" t="s">
        <v>43</v>
      </c>
      <c r="I48" s="36">
        <v>40</v>
      </c>
      <c r="J48" s="37">
        <v>40</v>
      </c>
      <c r="K48" s="38">
        <v>20</v>
      </c>
      <c r="L48" s="39">
        <v>10</v>
      </c>
      <c r="M48" s="55">
        <f t="shared" ref="M48:M72" si="16">SUM(I48:L48)</f>
        <v>110</v>
      </c>
      <c r="N48" s="72">
        <v>45833</v>
      </c>
      <c r="O48" s="73"/>
      <c r="P48" s="73"/>
      <c r="Q48" s="73"/>
      <c r="R48" s="73"/>
    </row>
    <row r="49" spans="1:18" x14ac:dyDescent="0.15">
      <c r="A49" s="41" t="s">
        <v>40</v>
      </c>
      <c r="B49" s="15"/>
      <c r="C49" s="28"/>
      <c r="D49" s="16">
        <v>2</v>
      </c>
      <c r="E49" s="19"/>
      <c r="F49" s="40">
        <f t="shared" si="15"/>
        <v>2</v>
      </c>
      <c r="G49" s="77">
        <v>45862</v>
      </c>
      <c r="H49" s="41" t="s">
        <v>56</v>
      </c>
      <c r="I49" s="15">
        <v>27</v>
      </c>
      <c r="J49" s="28">
        <v>25</v>
      </c>
      <c r="K49" s="16">
        <v>16</v>
      </c>
      <c r="L49" s="19">
        <v>12</v>
      </c>
      <c r="M49" s="40">
        <f t="shared" si="16"/>
        <v>80</v>
      </c>
      <c r="N49" s="72">
        <v>45856</v>
      </c>
      <c r="O49" s="73"/>
      <c r="P49" s="73"/>
      <c r="Q49" s="73"/>
      <c r="R49" s="73"/>
    </row>
    <row r="50" spans="1:18" x14ac:dyDescent="0.15">
      <c r="A50" s="41" t="s">
        <v>40</v>
      </c>
      <c r="B50" s="15"/>
      <c r="C50" s="28"/>
      <c r="D50" s="16">
        <v>1</v>
      </c>
      <c r="E50" s="19"/>
      <c r="F50" s="40">
        <f t="shared" si="15"/>
        <v>1</v>
      </c>
      <c r="G50" s="77">
        <v>45863</v>
      </c>
      <c r="H50" s="41" t="s">
        <v>39</v>
      </c>
      <c r="I50" s="15"/>
      <c r="J50" s="28"/>
      <c r="K50" s="16"/>
      <c r="L50" s="19">
        <v>3</v>
      </c>
      <c r="M50" s="40">
        <f>SUM(I50:L50)</f>
        <v>3</v>
      </c>
      <c r="N50" s="72">
        <v>45918</v>
      </c>
    </row>
    <row r="51" spans="1:18" x14ac:dyDescent="0.15">
      <c r="A51" s="41" t="s">
        <v>40</v>
      </c>
      <c r="B51" s="15">
        <v>1</v>
      </c>
      <c r="C51" s="28"/>
      <c r="D51" s="16"/>
      <c r="E51" s="19"/>
      <c r="F51" s="40">
        <f t="shared" si="15"/>
        <v>1</v>
      </c>
      <c r="G51" s="77">
        <v>45875</v>
      </c>
      <c r="H51" s="41" t="s">
        <v>39</v>
      </c>
      <c r="I51" s="15"/>
      <c r="J51" s="28">
        <v>3</v>
      </c>
      <c r="K51" s="16"/>
      <c r="L51" s="19"/>
      <c r="M51" s="40">
        <f t="shared" si="16"/>
        <v>3</v>
      </c>
      <c r="N51" s="72">
        <v>45926</v>
      </c>
    </row>
    <row r="52" spans="1:18" x14ac:dyDescent="0.15">
      <c r="A52" s="41" t="s">
        <v>40</v>
      </c>
      <c r="B52" s="15">
        <v>1</v>
      </c>
      <c r="C52" s="28"/>
      <c r="D52" s="16">
        <v>1</v>
      </c>
      <c r="E52" s="19">
        <v>1</v>
      </c>
      <c r="F52" s="40">
        <f t="shared" si="15"/>
        <v>3</v>
      </c>
      <c r="G52" s="77">
        <v>45887</v>
      </c>
      <c r="H52" s="41" t="s">
        <v>62</v>
      </c>
      <c r="I52" s="15">
        <v>-14</v>
      </c>
      <c r="J52" s="28"/>
      <c r="K52" s="16"/>
      <c r="L52" s="19"/>
      <c r="M52" s="40">
        <f t="shared" si="16"/>
        <v>-14</v>
      </c>
      <c r="N52" s="72">
        <v>45947</v>
      </c>
    </row>
    <row r="53" spans="1:18" x14ac:dyDescent="0.15">
      <c r="A53" s="41" t="s">
        <v>40</v>
      </c>
      <c r="B53" s="15"/>
      <c r="C53" s="28"/>
      <c r="D53" s="16"/>
      <c r="E53" s="19">
        <v>1</v>
      </c>
      <c r="F53" s="40">
        <f t="shared" si="15"/>
        <v>1</v>
      </c>
      <c r="G53" s="77">
        <v>45888</v>
      </c>
      <c r="H53" s="41" t="s">
        <v>39</v>
      </c>
      <c r="I53" s="15">
        <v>5</v>
      </c>
      <c r="J53" s="28"/>
      <c r="K53" s="16"/>
      <c r="L53" s="19"/>
      <c r="M53" s="40">
        <f t="shared" si="16"/>
        <v>5</v>
      </c>
      <c r="N53" s="72">
        <v>46003</v>
      </c>
    </row>
    <row r="54" spans="1:18" x14ac:dyDescent="0.15">
      <c r="A54" s="41" t="s">
        <v>40</v>
      </c>
      <c r="B54" s="15"/>
      <c r="C54" s="28"/>
      <c r="D54" s="16"/>
      <c r="E54" s="19">
        <v>1</v>
      </c>
      <c r="F54" s="40">
        <f t="shared" si="15"/>
        <v>1</v>
      </c>
      <c r="G54" s="76">
        <v>45894</v>
      </c>
      <c r="H54" s="80" t="s">
        <v>39</v>
      </c>
      <c r="I54" s="81"/>
      <c r="J54" s="82"/>
      <c r="K54" s="83"/>
      <c r="L54" s="84">
        <v>3</v>
      </c>
      <c r="M54" s="85">
        <f t="shared" si="16"/>
        <v>3</v>
      </c>
      <c r="N54" s="87">
        <v>46015</v>
      </c>
    </row>
    <row r="55" spans="1:18" x14ac:dyDescent="0.15">
      <c r="A55" s="41" t="s">
        <v>61</v>
      </c>
      <c r="B55" s="15">
        <v>1</v>
      </c>
      <c r="C55" s="28"/>
      <c r="D55" s="16"/>
      <c r="E55" s="19"/>
      <c r="F55" s="40">
        <f t="shared" si="15"/>
        <v>1</v>
      </c>
      <c r="G55" s="76">
        <v>45911</v>
      </c>
      <c r="H55" s="41"/>
      <c r="I55" s="15"/>
      <c r="J55" s="28"/>
      <c r="K55" s="16"/>
      <c r="L55" s="19"/>
      <c r="M55" s="40">
        <f t="shared" si="16"/>
        <v>0</v>
      </c>
      <c r="N55" s="73"/>
    </row>
    <row r="56" spans="1:18" x14ac:dyDescent="0.15">
      <c r="A56" s="41" t="s">
        <v>61</v>
      </c>
      <c r="B56" s="15"/>
      <c r="C56" s="28">
        <v>1</v>
      </c>
      <c r="D56" s="16"/>
      <c r="E56" s="19">
        <v>1</v>
      </c>
      <c r="F56" s="40">
        <f t="shared" si="15"/>
        <v>2</v>
      </c>
      <c r="G56" s="76">
        <v>45916</v>
      </c>
      <c r="H56" s="41"/>
      <c r="I56" s="15"/>
      <c r="J56" s="28"/>
      <c r="K56" s="16"/>
      <c r="L56" s="19"/>
      <c r="M56" s="40">
        <f t="shared" si="16"/>
        <v>0</v>
      </c>
    </row>
    <row r="57" spans="1:18" x14ac:dyDescent="0.15">
      <c r="A57" s="41" t="s">
        <v>61</v>
      </c>
      <c r="B57" s="15">
        <v>1</v>
      </c>
      <c r="C57" s="28"/>
      <c r="D57" s="16"/>
      <c r="E57" s="19">
        <v>1</v>
      </c>
      <c r="F57" s="40">
        <f t="shared" si="15"/>
        <v>2</v>
      </c>
      <c r="G57" s="76">
        <v>45919</v>
      </c>
      <c r="H57" s="31"/>
      <c r="I57" s="15"/>
      <c r="J57" s="28"/>
      <c r="K57" s="16"/>
      <c r="L57" s="19"/>
      <c r="M57" s="40">
        <f t="shared" si="16"/>
        <v>0</v>
      </c>
    </row>
    <row r="58" spans="1:18" x14ac:dyDescent="0.15">
      <c r="A58" s="41" t="s">
        <v>61</v>
      </c>
      <c r="B58" s="15">
        <v>1</v>
      </c>
      <c r="C58" s="28"/>
      <c r="D58" s="16"/>
      <c r="E58" s="19"/>
      <c r="F58" s="40">
        <f t="shared" si="15"/>
        <v>1</v>
      </c>
      <c r="G58" s="76">
        <v>45922</v>
      </c>
      <c r="H58" s="41"/>
      <c r="I58" s="15"/>
      <c r="J58" s="28"/>
      <c r="K58" s="16"/>
      <c r="L58" s="19"/>
      <c r="M58" s="40">
        <f t="shared" si="16"/>
        <v>0</v>
      </c>
    </row>
    <row r="59" spans="1:18" x14ac:dyDescent="0.15">
      <c r="A59" s="41" t="s">
        <v>61</v>
      </c>
      <c r="B59" s="15"/>
      <c r="C59" s="28">
        <v>1</v>
      </c>
      <c r="D59" s="16"/>
      <c r="E59" s="19"/>
      <c r="F59" s="40">
        <f t="shared" si="15"/>
        <v>1</v>
      </c>
      <c r="G59" s="76">
        <v>45924</v>
      </c>
      <c r="H59" s="41"/>
      <c r="I59" s="15"/>
      <c r="J59" s="28"/>
      <c r="K59" s="16"/>
      <c r="L59" s="19"/>
      <c r="M59" s="40">
        <f t="shared" si="16"/>
        <v>0</v>
      </c>
    </row>
    <row r="60" spans="1:18" x14ac:dyDescent="0.15">
      <c r="A60" s="41" t="s">
        <v>40</v>
      </c>
      <c r="B60" s="15"/>
      <c r="C60" s="28"/>
      <c r="D60" s="16"/>
      <c r="E60" s="19">
        <v>1</v>
      </c>
      <c r="F60" s="40">
        <f t="shared" si="15"/>
        <v>1</v>
      </c>
      <c r="G60" s="76">
        <v>45924</v>
      </c>
      <c r="H60" s="41"/>
      <c r="I60" s="15"/>
      <c r="J60" s="28"/>
      <c r="K60" s="16"/>
      <c r="L60" s="19"/>
      <c r="M60" s="40">
        <f t="shared" si="16"/>
        <v>0</v>
      </c>
    </row>
    <row r="61" spans="1:18" x14ac:dyDescent="0.15">
      <c r="A61" s="41" t="s">
        <v>40</v>
      </c>
      <c r="B61" s="15"/>
      <c r="C61" s="28"/>
      <c r="D61" s="16"/>
      <c r="E61" s="19">
        <v>1</v>
      </c>
      <c r="F61" s="40">
        <f t="shared" si="15"/>
        <v>1</v>
      </c>
      <c r="G61" s="77">
        <v>45939</v>
      </c>
      <c r="H61" s="41"/>
      <c r="I61" s="15"/>
      <c r="J61" s="28"/>
      <c r="K61" s="16"/>
      <c r="L61" s="19"/>
      <c r="M61" s="40">
        <f t="shared" si="16"/>
        <v>0</v>
      </c>
    </row>
    <row r="62" spans="1:18" x14ac:dyDescent="0.15">
      <c r="A62" s="41" t="s">
        <v>40</v>
      </c>
      <c r="B62" s="15"/>
      <c r="C62" s="28"/>
      <c r="D62" s="16"/>
      <c r="E62" s="19">
        <v>1</v>
      </c>
      <c r="F62" s="40">
        <f t="shared" si="15"/>
        <v>1</v>
      </c>
      <c r="G62" s="77">
        <v>45948</v>
      </c>
      <c r="H62" s="31"/>
      <c r="I62" s="15"/>
      <c r="J62" s="28"/>
      <c r="K62" s="16"/>
      <c r="L62" s="19"/>
      <c r="M62" s="40">
        <f t="shared" si="16"/>
        <v>0</v>
      </c>
    </row>
    <row r="63" spans="1:18" x14ac:dyDescent="0.15">
      <c r="A63" s="41" t="s">
        <v>63</v>
      </c>
      <c r="B63" s="15"/>
      <c r="C63" s="28"/>
      <c r="D63" s="16">
        <v>1</v>
      </c>
      <c r="E63" s="19">
        <v>-1</v>
      </c>
      <c r="F63" s="40">
        <f t="shared" si="15"/>
        <v>0</v>
      </c>
      <c r="G63" s="77">
        <v>45953</v>
      </c>
      <c r="H63" s="41"/>
      <c r="I63" s="15"/>
      <c r="J63" s="28"/>
      <c r="K63" s="16"/>
      <c r="L63" s="19"/>
      <c r="M63" s="40">
        <f t="shared" si="16"/>
        <v>0</v>
      </c>
    </row>
    <row r="64" spans="1:18" x14ac:dyDescent="0.15">
      <c r="A64" s="41" t="s">
        <v>40</v>
      </c>
      <c r="B64" s="15">
        <v>1</v>
      </c>
      <c r="C64" s="28"/>
      <c r="D64" s="16"/>
      <c r="E64" s="19"/>
      <c r="F64" s="40">
        <f t="shared" si="15"/>
        <v>1</v>
      </c>
      <c r="G64" s="77">
        <v>45957</v>
      </c>
      <c r="H64" s="41"/>
      <c r="I64" s="15"/>
      <c r="J64" s="28"/>
      <c r="K64" s="16"/>
      <c r="L64" s="19"/>
      <c r="M64" s="40">
        <f t="shared" si="16"/>
        <v>0</v>
      </c>
    </row>
    <row r="65" spans="1:14" x14ac:dyDescent="0.15">
      <c r="A65" s="41" t="s">
        <v>66</v>
      </c>
      <c r="B65" s="15">
        <v>1</v>
      </c>
      <c r="C65" s="28"/>
      <c r="D65" s="16"/>
      <c r="E65" s="19"/>
      <c r="F65" s="40">
        <f t="shared" si="15"/>
        <v>1</v>
      </c>
      <c r="G65" s="76">
        <v>45966</v>
      </c>
      <c r="H65" s="41"/>
      <c r="I65" s="15"/>
      <c r="J65" s="28"/>
      <c r="K65" s="16"/>
      <c r="L65" s="19"/>
      <c r="M65" s="40">
        <f t="shared" si="16"/>
        <v>0</v>
      </c>
    </row>
    <row r="66" spans="1:14" x14ac:dyDescent="0.15">
      <c r="A66" s="41" t="s">
        <v>67</v>
      </c>
      <c r="B66" s="15">
        <v>-5</v>
      </c>
      <c r="C66" s="28"/>
      <c r="D66" s="16"/>
      <c r="E66" s="19"/>
      <c r="F66" s="40">
        <f t="shared" si="15"/>
        <v>-5</v>
      </c>
      <c r="G66" s="76">
        <v>46003</v>
      </c>
      <c r="H66" s="41"/>
      <c r="I66" s="15"/>
      <c r="J66" s="28"/>
      <c r="K66" s="16"/>
      <c r="L66" s="19"/>
      <c r="M66" s="40">
        <f t="shared" si="16"/>
        <v>0</v>
      </c>
    </row>
    <row r="67" spans="1:14" x14ac:dyDescent="0.15">
      <c r="A67" s="41" t="s">
        <v>68</v>
      </c>
      <c r="B67" s="15">
        <v>2</v>
      </c>
      <c r="C67" s="28"/>
      <c r="D67" s="16"/>
      <c r="E67" s="19"/>
      <c r="F67" s="40">
        <f t="shared" si="15"/>
        <v>2</v>
      </c>
      <c r="G67" s="77">
        <v>46006</v>
      </c>
      <c r="H67" s="41"/>
      <c r="I67" s="15"/>
      <c r="J67" s="28"/>
      <c r="K67" s="16"/>
      <c r="L67" s="19"/>
      <c r="M67" s="40">
        <f t="shared" si="16"/>
        <v>0</v>
      </c>
    </row>
    <row r="68" spans="1:14" x14ac:dyDescent="0.15">
      <c r="A68" s="80" t="s">
        <v>67</v>
      </c>
      <c r="B68" s="81"/>
      <c r="C68" s="82"/>
      <c r="D68" s="83"/>
      <c r="E68" s="84">
        <v>-3</v>
      </c>
      <c r="F68" s="85">
        <f t="shared" si="15"/>
        <v>-3</v>
      </c>
      <c r="G68" s="86">
        <v>46015</v>
      </c>
      <c r="H68" s="41"/>
      <c r="I68" s="15"/>
      <c r="J68" s="28"/>
      <c r="K68" s="16"/>
      <c r="L68" s="19"/>
      <c r="M68" s="40">
        <f t="shared" si="16"/>
        <v>0</v>
      </c>
    </row>
    <row r="69" spans="1:14" x14ac:dyDescent="0.15">
      <c r="A69" s="41" t="s">
        <v>61</v>
      </c>
      <c r="B69" s="15"/>
      <c r="C69" s="28"/>
      <c r="D69" s="16"/>
      <c r="E69" s="19">
        <v>1</v>
      </c>
      <c r="F69" s="40">
        <f t="shared" ref="F69:F72" si="17">SUM(B69:E69)</f>
        <v>1</v>
      </c>
      <c r="G69" s="76">
        <v>46030</v>
      </c>
      <c r="H69" s="41" t="s">
        <v>34</v>
      </c>
      <c r="I69" s="15"/>
      <c r="J69" s="28"/>
      <c r="K69" s="16"/>
      <c r="L69" s="19"/>
      <c r="M69" s="40">
        <f t="shared" si="16"/>
        <v>0</v>
      </c>
    </row>
    <row r="70" spans="1:14" x14ac:dyDescent="0.15">
      <c r="A70" s="41" t="s">
        <v>40</v>
      </c>
      <c r="B70" s="15"/>
      <c r="C70" s="28"/>
      <c r="D70" s="16">
        <v>1</v>
      </c>
      <c r="E70" s="19"/>
      <c r="F70" s="40">
        <f t="shared" si="17"/>
        <v>1</v>
      </c>
      <c r="G70" s="77">
        <v>46037</v>
      </c>
      <c r="H70" s="41" t="s">
        <v>30</v>
      </c>
      <c r="I70" s="15"/>
      <c r="J70" s="28"/>
      <c r="K70" s="16"/>
      <c r="L70" s="19"/>
      <c r="M70" s="40">
        <f t="shared" si="16"/>
        <v>0</v>
      </c>
      <c r="N70" s="73" t="s">
        <v>32</v>
      </c>
    </row>
    <row r="71" spans="1:14" x14ac:dyDescent="0.15">
      <c r="A71" s="41" t="s">
        <v>40</v>
      </c>
      <c r="B71" s="15"/>
      <c r="C71" s="28">
        <v>1</v>
      </c>
      <c r="D71" s="16">
        <v>1</v>
      </c>
      <c r="E71" s="19"/>
      <c r="F71" s="40">
        <f t="shared" si="17"/>
        <v>2</v>
      </c>
      <c r="G71" s="77">
        <v>46077</v>
      </c>
      <c r="H71" s="41" t="s">
        <v>31</v>
      </c>
      <c r="I71" s="15"/>
      <c r="J71" s="28"/>
      <c r="K71" s="16"/>
      <c r="L71" s="19"/>
      <c r="M71" s="40">
        <f t="shared" si="16"/>
        <v>0</v>
      </c>
      <c r="N71" s="73" t="s">
        <v>36</v>
      </c>
    </row>
    <row r="72" spans="1:14" ht="14.25" thickBot="1" x14ac:dyDescent="0.2">
      <c r="A72" s="41" t="s">
        <v>40</v>
      </c>
      <c r="B72" s="32">
        <v>1</v>
      </c>
      <c r="C72" s="33"/>
      <c r="D72" s="34"/>
      <c r="E72" s="35"/>
      <c r="F72" s="40">
        <f t="shared" si="17"/>
        <v>1</v>
      </c>
      <c r="G72" s="77">
        <v>46078</v>
      </c>
      <c r="H72" s="41" t="s">
        <v>29</v>
      </c>
      <c r="I72" s="32"/>
      <c r="J72" s="33"/>
      <c r="K72" s="34"/>
      <c r="L72" s="35"/>
      <c r="M72" s="40">
        <f t="shared" si="16"/>
        <v>0</v>
      </c>
      <c r="N72" s="73" t="s">
        <v>33</v>
      </c>
    </row>
    <row r="73" spans="1:14" ht="14.25" thickBot="1" x14ac:dyDescent="0.2">
      <c r="A73" s="12" t="s">
        <v>8</v>
      </c>
      <c r="B73" s="21">
        <f>SUM(B48:B72)</f>
        <v>5</v>
      </c>
      <c r="C73" s="29">
        <f>SUM(C48:C72)</f>
        <v>4</v>
      </c>
      <c r="D73" s="22">
        <f>SUM(D48:D72)</f>
        <v>7</v>
      </c>
      <c r="E73" s="23">
        <f>SUM(E48:E72)</f>
        <v>5</v>
      </c>
      <c r="F73" s="20">
        <f>SUM(B73:E73)</f>
        <v>21</v>
      </c>
      <c r="H73" s="12" t="s">
        <v>8</v>
      </c>
      <c r="I73" s="21">
        <f>SUM(I48:I72)</f>
        <v>58</v>
      </c>
      <c r="J73" s="29">
        <f t="shared" ref="J73" si="18">SUM(J48:J72)</f>
        <v>68</v>
      </c>
      <c r="K73" s="22">
        <f t="shared" ref="K73" si="19">SUM(K48:K72)</f>
        <v>36</v>
      </c>
      <c r="L73" s="23">
        <f t="shared" ref="L73" si="20">SUM(L48:L72)</f>
        <v>28</v>
      </c>
      <c r="M73" s="42">
        <f t="shared" ref="M73" si="21">SUM(M48:M72)</f>
        <v>190</v>
      </c>
    </row>
    <row r="74" spans="1:14" ht="14.25" thickBot="1" x14ac:dyDescent="0.2">
      <c r="A74" s="13" t="s">
        <v>9</v>
      </c>
      <c r="B74" s="24">
        <f t="shared" ref="B74:F74" si="22">B47-B73</f>
        <v>4</v>
      </c>
      <c r="C74" s="30">
        <f t="shared" si="22"/>
        <v>4</v>
      </c>
      <c r="D74" s="25">
        <f t="shared" si="22"/>
        <v>3</v>
      </c>
      <c r="E74" s="26">
        <f t="shared" si="22"/>
        <v>4</v>
      </c>
      <c r="F74" s="62">
        <f t="shared" si="22"/>
        <v>15</v>
      </c>
      <c r="H74" s="13" t="s">
        <v>9</v>
      </c>
      <c r="I74" s="24">
        <f>I47-I73</f>
        <v>385</v>
      </c>
      <c r="J74" s="30">
        <f t="shared" ref="J74" si="23">J47-J73</f>
        <v>500</v>
      </c>
      <c r="K74" s="25">
        <f t="shared" ref="K74" si="24">K47-K73</f>
        <v>303</v>
      </c>
      <c r="L74" s="26">
        <f t="shared" ref="L74" si="25">L47-L73</f>
        <v>309</v>
      </c>
      <c r="M74" s="56">
        <f t="shared" ref="M74" si="26">M47-M73</f>
        <v>1497</v>
      </c>
    </row>
    <row r="75" spans="1:14" x14ac:dyDescent="0.15">
      <c r="I75" s="65"/>
      <c r="J75" s="65"/>
      <c r="K75" s="65"/>
      <c r="L75" s="65"/>
      <c r="M75" s="65"/>
    </row>
    <row r="76" spans="1:14" x14ac:dyDescent="0.15">
      <c r="I76" s="47"/>
      <c r="J76" s="47"/>
      <c r="K76" s="47"/>
      <c r="L76" s="47"/>
    </row>
    <row r="77" spans="1:14" ht="19.5" thickBot="1" x14ac:dyDescent="0.25">
      <c r="A77" s="2" t="s">
        <v>17</v>
      </c>
      <c r="B77" s="2"/>
      <c r="C77" s="1"/>
      <c r="D77" s="1"/>
      <c r="E77" s="63" t="s">
        <v>18</v>
      </c>
      <c r="H77" s="2" t="s">
        <v>20</v>
      </c>
      <c r="I77" s="66" t="s">
        <v>23</v>
      </c>
      <c r="J77" s="1" t="s">
        <v>50</v>
      </c>
      <c r="K77" s="1"/>
      <c r="L77" s="63" t="s">
        <v>18</v>
      </c>
    </row>
    <row r="78" spans="1:14" ht="14.25" thickBot="1" x14ac:dyDescent="0.2">
      <c r="A78" s="5" t="s">
        <v>0</v>
      </c>
      <c r="B78" s="96" t="s">
        <v>19</v>
      </c>
      <c r="C78" s="97"/>
      <c r="D78" s="97"/>
      <c r="E78" s="97"/>
      <c r="F78" s="98"/>
      <c r="H78" s="5" t="s">
        <v>0</v>
      </c>
      <c r="I78" s="96" t="s">
        <v>19</v>
      </c>
      <c r="J78" s="97"/>
      <c r="K78" s="97"/>
      <c r="L78" s="97"/>
      <c r="M78" s="98"/>
    </row>
    <row r="79" spans="1:14" ht="14.25" thickBot="1" x14ac:dyDescent="0.2">
      <c r="A79" s="5" t="s">
        <v>1</v>
      </c>
      <c r="B79" s="3" t="s">
        <v>13</v>
      </c>
      <c r="C79" s="27" t="s">
        <v>14</v>
      </c>
      <c r="D79" s="4" t="s">
        <v>15</v>
      </c>
      <c r="E79" s="14" t="s">
        <v>16</v>
      </c>
      <c r="F79" s="18" t="s">
        <v>2</v>
      </c>
      <c r="H79" s="5" t="s">
        <v>1</v>
      </c>
      <c r="I79" s="3" t="s">
        <v>13</v>
      </c>
      <c r="J79" s="27" t="s">
        <v>14</v>
      </c>
      <c r="K79" s="4" t="s">
        <v>15</v>
      </c>
      <c r="L79" s="14" t="s">
        <v>16</v>
      </c>
      <c r="M79" s="18" t="s">
        <v>2</v>
      </c>
    </row>
    <row r="80" spans="1:14" x14ac:dyDescent="0.15">
      <c r="A80" s="57" t="s">
        <v>10</v>
      </c>
      <c r="B80" s="58">
        <f>B74</f>
        <v>4</v>
      </c>
      <c r="C80" s="59">
        <f>C74</f>
        <v>4</v>
      </c>
      <c r="D80" s="59">
        <f>D74</f>
        <v>3</v>
      </c>
      <c r="E80" s="60">
        <f>E74</f>
        <v>4</v>
      </c>
      <c r="F80" s="61">
        <f>SUM(B80:E80)</f>
        <v>15</v>
      </c>
      <c r="H80" s="57" t="s">
        <v>10</v>
      </c>
      <c r="I80" s="58">
        <f>I74</f>
        <v>385</v>
      </c>
      <c r="J80" s="59">
        <f t="shared" ref="J80:M80" si="27">J74</f>
        <v>500</v>
      </c>
      <c r="K80" s="59">
        <f t="shared" si="27"/>
        <v>303</v>
      </c>
      <c r="L80" s="60">
        <f t="shared" si="27"/>
        <v>309</v>
      </c>
      <c r="M80" s="61">
        <f t="shared" si="27"/>
        <v>1497</v>
      </c>
    </row>
    <row r="81" spans="1:16" x14ac:dyDescent="0.15">
      <c r="A81" s="11" t="s">
        <v>3</v>
      </c>
      <c r="B81" s="6"/>
      <c r="C81" s="17"/>
      <c r="D81" s="7"/>
      <c r="E81" s="8"/>
      <c r="F81" s="9">
        <f t="shared" ref="F81:F82" si="28">SUM(B81:E81)</f>
        <v>0</v>
      </c>
      <c r="H81" s="41" t="s">
        <v>3</v>
      </c>
      <c r="I81" s="43"/>
      <c r="J81" s="44"/>
      <c r="K81" s="45"/>
      <c r="L81" s="46"/>
      <c r="M81" s="48">
        <f>SUM(I81:L81)</f>
        <v>0</v>
      </c>
    </row>
    <row r="82" spans="1:16" x14ac:dyDescent="0.15">
      <c r="A82" s="11" t="s">
        <v>53</v>
      </c>
      <c r="B82" s="6">
        <v>7</v>
      </c>
      <c r="C82" s="17">
        <v>8</v>
      </c>
      <c r="D82" s="7">
        <v>7</v>
      </c>
      <c r="E82" s="8">
        <v>6</v>
      </c>
      <c r="F82" s="9">
        <f t="shared" si="28"/>
        <v>28</v>
      </c>
      <c r="G82" s="76">
        <v>46126</v>
      </c>
      <c r="H82" s="11" t="s">
        <v>4</v>
      </c>
      <c r="I82" s="6"/>
      <c r="J82" s="17"/>
      <c r="K82" s="7"/>
      <c r="L82" s="8"/>
      <c r="M82" s="9">
        <f>SUM(I82:L82)</f>
        <v>0</v>
      </c>
      <c r="N82" s="75"/>
    </row>
    <row r="83" spans="1:16" x14ac:dyDescent="0.15">
      <c r="A83" s="11" t="s">
        <v>5</v>
      </c>
      <c r="B83" s="6"/>
      <c r="C83" s="17"/>
      <c r="D83" s="7"/>
      <c r="E83" s="8"/>
      <c r="F83" s="9">
        <f>SUM(B83:E83)</f>
        <v>0</v>
      </c>
      <c r="H83" s="11" t="s">
        <v>5</v>
      </c>
      <c r="I83" s="6"/>
      <c r="J83" s="17"/>
      <c r="K83" s="7"/>
      <c r="L83" s="8"/>
      <c r="M83" s="9">
        <f>SUM(I83:L83)</f>
        <v>0</v>
      </c>
      <c r="N83" s="75"/>
    </row>
    <row r="84" spans="1:16" ht="14.25" thickBot="1" x14ac:dyDescent="0.2">
      <c r="A84" s="11" t="s">
        <v>6</v>
      </c>
      <c r="B84" s="6"/>
      <c r="C84" s="17"/>
      <c r="D84" s="7"/>
      <c r="E84" s="8"/>
      <c r="F84" s="10">
        <f>SUM(B84:E84)</f>
        <v>0</v>
      </c>
      <c r="H84" s="11" t="s">
        <v>6</v>
      </c>
      <c r="I84" s="6"/>
      <c r="J84" s="17"/>
      <c r="K84" s="7"/>
      <c r="L84" s="8"/>
      <c r="M84" s="10">
        <f>SUM(I84:L84)</f>
        <v>0</v>
      </c>
      <c r="N84" s="75"/>
    </row>
    <row r="85" spans="1:16" ht="14.25" thickBot="1" x14ac:dyDescent="0.2">
      <c r="A85" s="13" t="s">
        <v>7</v>
      </c>
      <c r="B85" s="49">
        <f t="shared" ref="B85:F85" si="29">SUM(B80:B84)</f>
        <v>11</v>
      </c>
      <c r="C85" s="50">
        <f t="shared" si="29"/>
        <v>12</v>
      </c>
      <c r="D85" s="51">
        <f t="shared" si="29"/>
        <v>10</v>
      </c>
      <c r="E85" s="52">
        <f t="shared" si="29"/>
        <v>10</v>
      </c>
      <c r="F85" s="53">
        <f t="shared" si="29"/>
        <v>43</v>
      </c>
      <c r="H85" s="13" t="s">
        <v>7</v>
      </c>
      <c r="I85" s="49">
        <f t="shared" ref="I85:M85" si="30">SUM(I80:I84)</f>
        <v>385</v>
      </c>
      <c r="J85" s="50">
        <f t="shared" si="30"/>
        <v>500</v>
      </c>
      <c r="K85" s="51">
        <f t="shared" si="30"/>
        <v>303</v>
      </c>
      <c r="L85" s="52">
        <f t="shared" si="30"/>
        <v>309</v>
      </c>
      <c r="M85" s="53">
        <f t="shared" si="30"/>
        <v>1497</v>
      </c>
    </row>
    <row r="86" spans="1:16" x14ac:dyDescent="0.15">
      <c r="A86" s="41" t="s">
        <v>71</v>
      </c>
      <c r="B86" s="36"/>
      <c r="C86" s="37">
        <v>1</v>
      </c>
      <c r="D86" s="38">
        <v>-1</v>
      </c>
      <c r="E86" s="39"/>
      <c r="F86" s="55">
        <f t="shared" ref="F86:F110" si="31">SUM(B86:E86)</f>
        <v>0</v>
      </c>
      <c r="G86" s="77">
        <v>46083</v>
      </c>
      <c r="H86" s="92" t="s">
        <v>69</v>
      </c>
      <c r="I86" s="15">
        <v>10</v>
      </c>
      <c r="J86" s="28">
        <v>10</v>
      </c>
      <c r="K86" s="16">
        <v>10</v>
      </c>
      <c r="L86" s="88">
        <v>10</v>
      </c>
      <c r="M86" s="89">
        <f t="shared" ref="M86:M92" si="32">SUM(I86:L86)</f>
        <v>40</v>
      </c>
      <c r="N86" s="72">
        <v>46066</v>
      </c>
      <c r="O86" s="73"/>
      <c r="P86" s="73"/>
    </row>
    <row r="87" spans="1:16" x14ac:dyDescent="0.15">
      <c r="A87" s="41" t="s">
        <v>40</v>
      </c>
      <c r="B87" s="15"/>
      <c r="C87" s="28">
        <v>1</v>
      </c>
      <c r="D87" s="16"/>
      <c r="E87" s="19"/>
      <c r="F87" s="40">
        <f t="shared" si="31"/>
        <v>1</v>
      </c>
      <c r="G87" s="77">
        <v>46097</v>
      </c>
      <c r="H87" s="31" t="s">
        <v>73</v>
      </c>
      <c r="I87" s="15">
        <v>6</v>
      </c>
      <c r="J87" s="28">
        <v>6</v>
      </c>
      <c r="K87" s="16">
        <v>6</v>
      </c>
      <c r="L87" s="88">
        <v>6</v>
      </c>
      <c r="M87" s="9">
        <f t="shared" si="32"/>
        <v>24</v>
      </c>
      <c r="N87" s="72">
        <v>46136</v>
      </c>
      <c r="O87" s="73"/>
      <c r="P87" s="73"/>
    </row>
    <row r="88" spans="1:16" x14ac:dyDescent="0.15">
      <c r="A88" s="41" t="s">
        <v>40</v>
      </c>
      <c r="B88" s="15"/>
      <c r="C88" s="28"/>
      <c r="D88" s="16"/>
      <c r="E88" s="19">
        <v>1</v>
      </c>
      <c r="F88" s="40">
        <f t="shared" si="31"/>
        <v>1</v>
      </c>
      <c r="G88" s="77">
        <v>46104</v>
      </c>
      <c r="H88" s="11" t="s">
        <v>74</v>
      </c>
      <c r="I88" s="15">
        <v>20</v>
      </c>
      <c r="J88" s="28">
        <v>25</v>
      </c>
      <c r="K88" s="16">
        <v>13</v>
      </c>
      <c r="L88" s="19">
        <v>12</v>
      </c>
      <c r="M88" s="40">
        <f t="shared" si="32"/>
        <v>70</v>
      </c>
      <c r="N88" s="72">
        <v>46162</v>
      </c>
    </row>
    <row r="89" spans="1:16" x14ac:dyDescent="0.15">
      <c r="A89" s="41" t="s">
        <v>72</v>
      </c>
      <c r="B89" s="15"/>
      <c r="C89" s="28">
        <v>-1</v>
      </c>
      <c r="D89" s="16">
        <v>1</v>
      </c>
      <c r="E89" s="19"/>
      <c r="F89" s="40">
        <f t="shared" si="31"/>
        <v>0</v>
      </c>
      <c r="G89" s="77">
        <v>46105</v>
      </c>
      <c r="H89" s="31" t="s">
        <v>76</v>
      </c>
      <c r="I89" s="36">
        <v>15</v>
      </c>
      <c r="J89" s="37">
        <v>28</v>
      </c>
      <c r="K89" s="38">
        <v>11</v>
      </c>
      <c r="L89" s="93">
        <v>13</v>
      </c>
      <c r="M89" s="48">
        <f t="shared" si="32"/>
        <v>67</v>
      </c>
      <c r="N89" s="72">
        <v>46165</v>
      </c>
    </row>
    <row r="90" spans="1:16" x14ac:dyDescent="0.15">
      <c r="A90" s="41" t="s">
        <v>40</v>
      </c>
      <c r="B90" s="15"/>
      <c r="C90" s="28">
        <v>1</v>
      </c>
      <c r="D90" s="16"/>
      <c r="E90" s="19"/>
      <c r="F90" s="40">
        <f t="shared" si="31"/>
        <v>1</v>
      </c>
      <c r="G90" s="77">
        <v>46111</v>
      </c>
      <c r="H90" s="31" t="s">
        <v>77</v>
      </c>
      <c r="I90" s="15">
        <v>15</v>
      </c>
      <c r="J90" s="28">
        <v>20</v>
      </c>
      <c r="K90" s="16">
        <v>11</v>
      </c>
      <c r="L90" s="88">
        <v>13</v>
      </c>
      <c r="M90" s="9">
        <f t="shared" si="32"/>
        <v>59</v>
      </c>
      <c r="N90" s="72">
        <v>46169</v>
      </c>
    </row>
    <row r="91" spans="1:16" x14ac:dyDescent="0.15">
      <c r="A91" s="41" t="s">
        <v>40</v>
      </c>
      <c r="B91" s="15">
        <v>1</v>
      </c>
      <c r="C91" s="28"/>
      <c r="D91" s="16"/>
      <c r="E91" s="19"/>
      <c r="F91" s="40">
        <f t="shared" si="31"/>
        <v>1</v>
      </c>
      <c r="G91" s="77">
        <v>46118</v>
      </c>
      <c r="H91" s="41"/>
      <c r="I91" s="15"/>
      <c r="J91" s="28"/>
      <c r="K91" s="16"/>
      <c r="L91" s="88"/>
      <c r="M91" s="9">
        <f t="shared" si="32"/>
        <v>0</v>
      </c>
      <c r="N91" s="73"/>
    </row>
    <row r="92" spans="1:16" x14ac:dyDescent="0.15">
      <c r="A92" s="41" t="s">
        <v>40</v>
      </c>
      <c r="B92" s="15"/>
      <c r="C92" s="28">
        <v>1</v>
      </c>
      <c r="D92" s="16"/>
      <c r="E92" s="19"/>
      <c r="F92" s="40">
        <f t="shared" si="31"/>
        <v>1</v>
      </c>
      <c r="G92" s="77">
        <v>46125</v>
      </c>
      <c r="H92" s="41"/>
      <c r="I92" s="15"/>
      <c r="J92" s="28"/>
      <c r="K92" s="16"/>
      <c r="L92" s="88"/>
      <c r="M92" s="9">
        <f t="shared" si="32"/>
        <v>0</v>
      </c>
    </row>
    <row r="93" spans="1:16" x14ac:dyDescent="0.15">
      <c r="A93" s="41" t="s">
        <v>40</v>
      </c>
      <c r="B93" s="15"/>
      <c r="C93" s="28">
        <v>1</v>
      </c>
      <c r="D93" s="16"/>
      <c r="E93" s="19"/>
      <c r="F93" s="40">
        <f t="shared" si="31"/>
        <v>1</v>
      </c>
      <c r="G93" s="77">
        <v>46134</v>
      </c>
      <c r="H93" s="41"/>
      <c r="I93" s="15"/>
      <c r="J93" s="28"/>
      <c r="K93" s="16"/>
      <c r="L93" s="88"/>
      <c r="M93" s="9">
        <f t="shared" ref="M93" si="33">SUM(I93:L93)</f>
        <v>0</v>
      </c>
    </row>
    <row r="94" spans="1:16" x14ac:dyDescent="0.15">
      <c r="A94" s="41" t="s">
        <v>40</v>
      </c>
      <c r="B94" s="15"/>
      <c r="C94" s="28"/>
      <c r="D94" s="16">
        <v>2</v>
      </c>
      <c r="E94" s="19"/>
      <c r="F94" s="40">
        <f t="shared" si="31"/>
        <v>2</v>
      </c>
      <c r="G94" s="77">
        <v>46139</v>
      </c>
      <c r="H94" s="41"/>
      <c r="I94" s="15"/>
      <c r="J94" s="28"/>
      <c r="K94" s="16"/>
      <c r="L94" s="88"/>
      <c r="M94" s="9">
        <f t="shared" ref="M94:M110" si="34">SUM(I94:L94)</f>
        <v>0</v>
      </c>
    </row>
    <row r="95" spans="1:16" x14ac:dyDescent="0.15">
      <c r="A95" s="41" t="s">
        <v>40</v>
      </c>
      <c r="B95" s="15"/>
      <c r="C95" s="28">
        <v>1</v>
      </c>
      <c r="D95" s="16"/>
      <c r="E95" s="19"/>
      <c r="F95" s="40">
        <f t="shared" si="31"/>
        <v>1</v>
      </c>
      <c r="G95" s="77">
        <v>46149</v>
      </c>
      <c r="H95" s="41"/>
      <c r="I95" s="15"/>
      <c r="J95" s="28"/>
      <c r="K95" s="16"/>
      <c r="L95" s="88"/>
      <c r="M95" s="9">
        <f t="shared" si="34"/>
        <v>0</v>
      </c>
    </row>
    <row r="96" spans="1:16" x14ac:dyDescent="0.15">
      <c r="A96" s="41" t="s">
        <v>40</v>
      </c>
      <c r="B96" s="15"/>
      <c r="C96" s="28"/>
      <c r="D96" s="16"/>
      <c r="E96" s="19">
        <v>1</v>
      </c>
      <c r="F96" s="40">
        <f t="shared" si="31"/>
        <v>1</v>
      </c>
      <c r="G96" s="77">
        <v>46153</v>
      </c>
      <c r="H96" s="41"/>
      <c r="I96" s="15"/>
      <c r="J96" s="28"/>
      <c r="K96" s="16"/>
      <c r="L96" s="88"/>
      <c r="M96" s="9">
        <f t="shared" si="34"/>
        <v>0</v>
      </c>
    </row>
    <row r="97" spans="1:15" x14ac:dyDescent="0.15">
      <c r="A97" s="41" t="s">
        <v>75</v>
      </c>
      <c r="B97" s="15"/>
      <c r="C97" s="28"/>
      <c r="D97" s="16">
        <v>1</v>
      </c>
      <c r="E97" s="19"/>
      <c r="F97" s="40">
        <f t="shared" si="31"/>
        <v>1</v>
      </c>
      <c r="G97" s="76">
        <v>46161</v>
      </c>
      <c r="H97" s="41"/>
      <c r="I97" s="15"/>
      <c r="J97" s="28"/>
      <c r="K97" s="16"/>
      <c r="L97" s="88"/>
      <c r="M97" s="9">
        <f t="shared" si="34"/>
        <v>0</v>
      </c>
    </row>
    <row r="98" spans="1:15" x14ac:dyDescent="0.15">
      <c r="A98" s="41" t="s">
        <v>40</v>
      </c>
      <c r="B98" s="15"/>
      <c r="C98" s="28">
        <v>1</v>
      </c>
      <c r="D98" s="16"/>
      <c r="E98" s="19"/>
      <c r="F98" s="40">
        <f t="shared" si="31"/>
        <v>1</v>
      </c>
      <c r="G98" s="76">
        <v>46162</v>
      </c>
      <c r="H98" s="41"/>
      <c r="I98" s="15"/>
      <c r="J98" s="28"/>
      <c r="K98" s="16"/>
      <c r="L98" s="88"/>
      <c r="M98" s="9">
        <f t="shared" si="34"/>
        <v>0</v>
      </c>
    </row>
    <row r="99" spans="1:15" x14ac:dyDescent="0.15">
      <c r="A99" s="41" t="s">
        <v>40</v>
      </c>
      <c r="B99" s="15"/>
      <c r="C99" s="28"/>
      <c r="D99" s="16">
        <v>1</v>
      </c>
      <c r="E99" s="19"/>
      <c r="F99" s="40">
        <f t="shared" si="31"/>
        <v>1</v>
      </c>
      <c r="G99" s="77">
        <v>46164</v>
      </c>
      <c r="H99" s="41"/>
      <c r="I99" s="15"/>
      <c r="J99" s="28"/>
      <c r="K99" s="16"/>
      <c r="L99" s="88"/>
      <c r="M99" s="9">
        <f t="shared" si="34"/>
        <v>0</v>
      </c>
    </row>
    <row r="100" spans="1:15" x14ac:dyDescent="0.15">
      <c r="A100" s="41" t="s">
        <v>40</v>
      </c>
      <c r="B100" s="15"/>
      <c r="C100" s="28"/>
      <c r="D100" s="16"/>
      <c r="E100" s="19">
        <v>1</v>
      </c>
      <c r="F100" s="40">
        <f t="shared" si="31"/>
        <v>1</v>
      </c>
      <c r="G100" s="76">
        <v>46174</v>
      </c>
      <c r="H100" s="41"/>
      <c r="I100" s="15"/>
      <c r="J100" s="28"/>
      <c r="K100" s="16"/>
      <c r="L100" s="88"/>
      <c r="M100" s="9">
        <f t="shared" si="34"/>
        <v>0</v>
      </c>
    </row>
    <row r="101" spans="1:15" x14ac:dyDescent="0.15">
      <c r="A101" s="31" t="s">
        <v>78</v>
      </c>
      <c r="B101" s="15">
        <v>1</v>
      </c>
      <c r="C101" s="28"/>
      <c r="D101" s="16"/>
      <c r="E101" s="19"/>
      <c r="F101" s="40">
        <f t="shared" si="31"/>
        <v>1</v>
      </c>
      <c r="G101" s="76">
        <v>46177</v>
      </c>
      <c r="H101" s="41"/>
      <c r="I101" s="15"/>
      <c r="J101" s="28"/>
      <c r="K101" s="16"/>
      <c r="L101" s="88"/>
      <c r="M101" s="9">
        <f t="shared" si="34"/>
        <v>0</v>
      </c>
    </row>
    <row r="102" spans="1:15" x14ac:dyDescent="0.15">
      <c r="A102" s="41" t="s">
        <v>40</v>
      </c>
      <c r="B102" s="15">
        <v>1</v>
      </c>
      <c r="C102" s="28"/>
      <c r="D102" s="16"/>
      <c r="E102" s="19"/>
      <c r="F102" s="40">
        <f t="shared" si="31"/>
        <v>1</v>
      </c>
      <c r="G102" s="76">
        <v>46177</v>
      </c>
      <c r="H102" s="41"/>
      <c r="I102" s="15"/>
      <c r="J102" s="28"/>
      <c r="K102" s="16"/>
      <c r="L102" s="88"/>
      <c r="M102" s="9">
        <f t="shared" si="34"/>
        <v>0</v>
      </c>
    </row>
    <row r="103" spans="1:15" x14ac:dyDescent="0.15">
      <c r="A103" s="31" t="s">
        <v>79</v>
      </c>
      <c r="B103" s="15">
        <v>1</v>
      </c>
      <c r="C103" s="28"/>
      <c r="D103" s="16"/>
      <c r="E103" s="19"/>
      <c r="F103" s="40">
        <f t="shared" si="31"/>
        <v>1</v>
      </c>
      <c r="G103" s="76">
        <v>46184</v>
      </c>
      <c r="H103" s="41"/>
      <c r="I103" s="15"/>
      <c r="J103" s="28"/>
      <c r="K103" s="16"/>
      <c r="L103" s="88"/>
      <c r="M103" s="9">
        <f t="shared" si="34"/>
        <v>0</v>
      </c>
    </row>
    <row r="104" spans="1:15" x14ac:dyDescent="0.15">
      <c r="A104" s="41" t="s">
        <v>40</v>
      </c>
      <c r="B104" s="15"/>
      <c r="C104" s="28">
        <v>1</v>
      </c>
      <c r="D104" s="16"/>
      <c r="E104" s="19"/>
      <c r="F104" s="40">
        <f t="shared" si="31"/>
        <v>1</v>
      </c>
      <c r="G104" s="76">
        <v>46188</v>
      </c>
      <c r="H104" s="41"/>
      <c r="I104" s="15"/>
      <c r="J104" s="28"/>
      <c r="K104" s="16"/>
      <c r="L104" s="88"/>
      <c r="M104" s="9">
        <f t="shared" si="34"/>
        <v>0</v>
      </c>
    </row>
    <row r="105" spans="1:15" x14ac:dyDescent="0.15">
      <c r="A105" s="41" t="s">
        <v>40</v>
      </c>
      <c r="B105" s="15"/>
      <c r="C105" s="28"/>
      <c r="D105" s="16">
        <v>1</v>
      </c>
      <c r="E105" s="19"/>
      <c r="F105" s="40">
        <f t="shared" si="31"/>
        <v>1</v>
      </c>
      <c r="G105" s="76">
        <v>46191</v>
      </c>
      <c r="H105" s="41"/>
      <c r="I105" s="15"/>
      <c r="J105" s="28"/>
      <c r="K105" s="16"/>
      <c r="L105" s="88"/>
      <c r="M105" s="9">
        <f t="shared" si="34"/>
        <v>0</v>
      </c>
    </row>
    <row r="106" spans="1:15" x14ac:dyDescent="0.15">
      <c r="A106" s="41" t="s">
        <v>80</v>
      </c>
      <c r="B106" s="15"/>
      <c r="C106" s="28"/>
      <c r="D106" s="16"/>
      <c r="E106" s="19">
        <v>1</v>
      </c>
      <c r="F106" s="40">
        <f t="shared" si="31"/>
        <v>1</v>
      </c>
      <c r="G106" s="76">
        <v>46204</v>
      </c>
      <c r="H106" s="41"/>
      <c r="I106" s="15"/>
      <c r="J106" s="28"/>
      <c r="K106" s="16"/>
      <c r="L106" s="88"/>
      <c r="M106" s="9">
        <f t="shared" si="34"/>
        <v>0</v>
      </c>
    </row>
    <row r="107" spans="1:15" x14ac:dyDescent="0.15">
      <c r="A107" s="41" t="s">
        <v>80</v>
      </c>
      <c r="B107" s="15"/>
      <c r="C107" s="28"/>
      <c r="D107" s="16"/>
      <c r="E107" s="19">
        <v>1</v>
      </c>
      <c r="F107" s="40">
        <f t="shared" si="31"/>
        <v>1</v>
      </c>
      <c r="G107" s="77">
        <v>46217</v>
      </c>
      <c r="H107" s="41"/>
      <c r="I107" s="15"/>
      <c r="J107" s="28"/>
      <c r="K107" s="16"/>
      <c r="L107" s="88"/>
      <c r="M107" s="9">
        <f t="shared" si="34"/>
        <v>0</v>
      </c>
    </row>
    <row r="108" spans="1:15" x14ac:dyDescent="0.15">
      <c r="A108" s="41" t="s">
        <v>80</v>
      </c>
      <c r="B108" s="15">
        <v>1</v>
      </c>
      <c r="C108" s="28"/>
      <c r="D108" s="16"/>
      <c r="E108" s="19">
        <v>1</v>
      </c>
      <c r="F108" s="40">
        <f t="shared" si="31"/>
        <v>2</v>
      </c>
      <c r="G108" s="77">
        <v>46218</v>
      </c>
      <c r="H108" s="41"/>
      <c r="I108" s="15"/>
      <c r="J108" s="28"/>
      <c r="K108" s="16"/>
      <c r="L108" s="88"/>
      <c r="M108" s="9">
        <f t="shared" si="34"/>
        <v>0</v>
      </c>
    </row>
    <row r="109" spans="1:15" x14ac:dyDescent="0.15">
      <c r="A109" s="41" t="s">
        <v>80</v>
      </c>
      <c r="B109" s="15">
        <v>1</v>
      </c>
      <c r="C109" s="28"/>
      <c r="D109" s="16"/>
      <c r="E109" s="19">
        <v>1</v>
      </c>
      <c r="F109" s="40">
        <f t="shared" si="31"/>
        <v>2</v>
      </c>
      <c r="G109" s="77">
        <v>46218</v>
      </c>
      <c r="H109" s="41"/>
      <c r="I109" s="15"/>
      <c r="J109" s="28"/>
      <c r="K109" s="16"/>
      <c r="L109" s="88"/>
      <c r="M109" s="9">
        <f t="shared" si="34"/>
        <v>0</v>
      </c>
    </row>
    <row r="110" spans="1:15" ht="14.25" thickBot="1" x14ac:dyDescent="0.2">
      <c r="A110" s="41"/>
      <c r="B110" s="32"/>
      <c r="C110" s="33"/>
      <c r="D110" s="34"/>
      <c r="E110" s="35"/>
      <c r="F110" s="40">
        <f t="shared" si="31"/>
        <v>0</v>
      </c>
      <c r="H110" s="41" t="s">
        <v>64</v>
      </c>
      <c r="I110" s="32"/>
      <c r="J110" s="34"/>
      <c r="K110" s="34"/>
      <c r="L110" s="91"/>
      <c r="M110" s="10">
        <f t="shared" si="34"/>
        <v>0</v>
      </c>
      <c r="N110" s="73" t="s">
        <v>65</v>
      </c>
    </row>
    <row r="111" spans="1:15" ht="14.25" thickBot="1" x14ac:dyDescent="0.2">
      <c r="A111" s="12" t="s">
        <v>8</v>
      </c>
      <c r="B111" s="21">
        <f>SUM(B86:B110)</f>
        <v>6</v>
      </c>
      <c r="C111" s="29">
        <f>SUM(C86:C110)</f>
        <v>7</v>
      </c>
      <c r="D111" s="22">
        <f>SUM(D86:D110)</f>
        <v>5</v>
      </c>
      <c r="E111" s="23">
        <f>SUM(E86:E110)</f>
        <v>7</v>
      </c>
      <c r="F111" s="20">
        <f>SUM(B111:E111)</f>
        <v>25</v>
      </c>
      <c r="H111" s="12" t="s">
        <v>8</v>
      </c>
      <c r="I111" s="21">
        <f>SUM(I86:I110)</f>
        <v>66</v>
      </c>
      <c r="J111" s="29">
        <f t="shared" ref="J111" si="35">SUM(J86:J110)</f>
        <v>89</v>
      </c>
      <c r="K111" s="22">
        <f t="shared" ref="K111" si="36">SUM(K86:K110)</f>
        <v>51</v>
      </c>
      <c r="L111" s="23">
        <f t="shared" ref="L111" si="37">SUM(L86:L110)</f>
        <v>54</v>
      </c>
      <c r="M111" s="42">
        <f t="shared" ref="M111" si="38">SUM(M86:M110)</f>
        <v>260</v>
      </c>
    </row>
    <row r="112" spans="1:15" ht="14.25" thickBot="1" x14ac:dyDescent="0.2">
      <c r="A112" s="13" t="s">
        <v>9</v>
      </c>
      <c r="B112" s="24">
        <f t="shared" ref="B112:F112" si="39">B85-B111</f>
        <v>5</v>
      </c>
      <c r="C112" s="30">
        <f t="shared" si="39"/>
        <v>5</v>
      </c>
      <c r="D112" s="25">
        <f t="shared" si="39"/>
        <v>5</v>
      </c>
      <c r="E112" s="26">
        <f t="shared" si="39"/>
        <v>3</v>
      </c>
      <c r="F112" s="62">
        <f t="shared" si="39"/>
        <v>18</v>
      </c>
      <c r="H112" s="13" t="s">
        <v>9</v>
      </c>
      <c r="I112" s="24">
        <f>I85-I111</f>
        <v>319</v>
      </c>
      <c r="J112" s="30">
        <f t="shared" ref="J112" si="40">J85-J111</f>
        <v>411</v>
      </c>
      <c r="K112" s="25">
        <f t="shared" ref="K112" si="41">K85-K111</f>
        <v>252</v>
      </c>
      <c r="L112" s="26">
        <f t="shared" ref="L112" si="42">L85-L111</f>
        <v>255</v>
      </c>
      <c r="M112" s="56">
        <f t="shared" ref="M112" si="43">M85-M111</f>
        <v>1237</v>
      </c>
      <c r="O112" t="s">
        <v>59</v>
      </c>
    </row>
    <row r="115" spans="1:13" ht="19.5" thickBot="1" x14ac:dyDescent="0.25">
      <c r="A115" s="2" t="s">
        <v>17</v>
      </c>
      <c r="B115" s="2"/>
      <c r="C115" s="1"/>
      <c r="D115" s="1"/>
      <c r="E115" s="63" t="s">
        <v>18</v>
      </c>
      <c r="H115" s="2" t="s">
        <v>20</v>
      </c>
      <c r="I115" s="66" t="s">
        <v>23</v>
      </c>
      <c r="J115" s="1" t="s">
        <v>50</v>
      </c>
      <c r="K115" s="1"/>
      <c r="L115" s="63" t="s">
        <v>18</v>
      </c>
    </row>
    <row r="116" spans="1:13" ht="14.25" thickBot="1" x14ac:dyDescent="0.2">
      <c r="A116" s="5" t="s">
        <v>0</v>
      </c>
      <c r="B116" s="96" t="s">
        <v>19</v>
      </c>
      <c r="C116" s="97"/>
      <c r="D116" s="97"/>
      <c r="E116" s="97"/>
      <c r="F116" s="98"/>
      <c r="H116" s="5" t="s">
        <v>0</v>
      </c>
      <c r="I116" s="96" t="s">
        <v>19</v>
      </c>
      <c r="J116" s="97"/>
      <c r="K116" s="97"/>
      <c r="L116" s="97"/>
      <c r="M116" s="98"/>
    </row>
    <row r="117" spans="1:13" ht="14.25" thickBot="1" x14ac:dyDescent="0.2">
      <c r="A117" s="5" t="s">
        <v>1</v>
      </c>
      <c r="B117" s="3" t="s">
        <v>13</v>
      </c>
      <c r="C117" s="27" t="s">
        <v>14</v>
      </c>
      <c r="D117" s="4" t="s">
        <v>15</v>
      </c>
      <c r="E117" s="14" t="s">
        <v>16</v>
      </c>
      <c r="F117" s="18" t="s">
        <v>2</v>
      </c>
      <c r="H117" s="5" t="s">
        <v>1</v>
      </c>
      <c r="I117" s="3" t="s">
        <v>13</v>
      </c>
      <c r="J117" s="27" t="s">
        <v>14</v>
      </c>
      <c r="K117" s="4" t="s">
        <v>15</v>
      </c>
      <c r="L117" s="14" t="s">
        <v>16</v>
      </c>
      <c r="M117" s="18" t="s">
        <v>2</v>
      </c>
    </row>
    <row r="118" spans="1:13" x14ac:dyDescent="0.15">
      <c r="A118" s="57" t="s">
        <v>10</v>
      </c>
      <c r="B118" s="58">
        <f>B112</f>
        <v>5</v>
      </c>
      <c r="C118" s="59">
        <f>C112</f>
        <v>5</v>
      </c>
      <c r="D118" s="59">
        <f>D112</f>
        <v>5</v>
      </c>
      <c r="E118" s="60">
        <f>E112</f>
        <v>3</v>
      </c>
      <c r="F118" s="61">
        <f>SUM(B118:E118)</f>
        <v>18</v>
      </c>
      <c r="H118" s="57" t="s">
        <v>10</v>
      </c>
      <c r="I118" s="58">
        <f>I112</f>
        <v>319</v>
      </c>
      <c r="J118" s="59">
        <f t="shared" ref="J118:M118" si="44">J112</f>
        <v>411</v>
      </c>
      <c r="K118" s="59">
        <f t="shared" si="44"/>
        <v>252</v>
      </c>
      <c r="L118" s="60">
        <f t="shared" si="44"/>
        <v>255</v>
      </c>
      <c r="M118" s="61">
        <f t="shared" si="44"/>
        <v>1237</v>
      </c>
    </row>
    <row r="119" spans="1:13" x14ac:dyDescent="0.15">
      <c r="A119" s="11" t="s">
        <v>3</v>
      </c>
      <c r="B119" s="6"/>
      <c r="C119" s="17"/>
      <c r="D119" s="7"/>
      <c r="E119" s="8"/>
      <c r="F119" s="9">
        <f t="shared" ref="F119:F120" si="45">SUM(B119:E119)</f>
        <v>0</v>
      </c>
      <c r="H119" s="41" t="s">
        <v>3</v>
      </c>
      <c r="I119" s="43"/>
      <c r="J119" s="44"/>
      <c r="K119" s="45"/>
      <c r="L119" s="46"/>
      <c r="M119" s="48">
        <f>SUM(I119:L119)</f>
        <v>0</v>
      </c>
    </row>
    <row r="120" spans="1:13" x14ac:dyDescent="0.15">
      <c r="A120" s="11" t="s">
        <v>4</v>
      </c>
      <c r="B120" s="6"/>
      <c r="C120" s="17"/>
      <c r="D120" s="7"/>
      <c r="E120" s="8"/>
      <c r="F120" s="9">
        <f t="shared" si="45"/>
        <v>0</v>
      </c>
      <c r="H120" s="11" t="s">
        <v>4</v>
      </c>
      <c r="I120" s="6"/>
      <c r="J120" s="17"/>
      <c r="K120" s="7"/>
      <c r="L120" s="8"/>
      <c r="M120" s="9">
        <f>SUM(I120:L120)</f>
        <v>0</v>
      </c>
    </row>
    <row r="121" spans="1:13" x14ac:dyDescent="0.15">
      <c r="A121" s="11" t="s">
        <v>5</v>
      </c>
      <c r="B121" s="6"/>
      <c r="C121" s="17"/>
      <c r="D121" s="7"/>
      <c r="E121" s="8"/>
      <c r="F121" s="9">
        <f>SUM(B121:E121)</f>
        <v>0</v>
      </c>
      <c r="H121" s="11" t="s">
        <v>5</v>
      </c>
      <c r="I121" s="6"/>
      <c r="J121" s="17"/>
      <c r="K121" s="7"/>
      <c r="L121" s="8"/>
      <c r="M121" s="9">
        <f>SUM(I121:L121)</f>
        <v>0</v>
      </c>
    </row>
    <row r="122" spans="1:13" ht="14.25" thickBot="1" x14ac:dyDescent="0.2">
      <c r="A122" s="11" t="s">
        <v>6</v>
      </c>
      <c r="B122" s="6"/>
      <c r="C122" s="17"/>
      <c r="D122" s="7"/>
      <c r="E122" s="8"/>
      <c r="F122" s="10">
        <f>SUM(B122:E122)</f>
        <v>0</v>
      </c>
      <c r="H122" s="11" t="s">
        <v>6</v>
      </c>
      <c r="I122" s="6"/>
      <c r="J122" s="17"/>
      <c r="K122" s="7"/>
      <c r="L122" s="8"/>
      <c r="M122" s="10">
        <f>SUM(I122:L122)</f>
        <v>0</v>
      </c>
    </row>
    <row r="123" spans="1:13" ht="14.25" thickBot="1" x14ac:dyDescent="0.2">
      <c r="A123" s="13" t="s">
        <v>7</v>
      </c>
      <c r="B123" s="49">
        <f t="shared" ref="B123:F123" si="46">SUM(B118:B122)</f>
        <v>5</v>
      </c>
      <c r="C123" s="50">
        <f t="shared" si="46"/>
        <v>5</v>
      </c>
      <c r="D123" s="51">
        <f t="shared" si="46"/>
        <v>5</v>
      </c>
      <c r="E123" s="52">
        <f t="shared" si="46"/>
        <v>3</v>
      </c>
      <c r="F123" s="53">
        <f t="shared" si="46"/>
        <v>18</v>
      </c>
      <c r="H123" s="13" t="s">
        <v>7</v>
      </c>
      <c r="I123" s="49">
        <f t="shared" ref="I123:M123" si="47">SUM(I118:I122)</f>
        <v>319</v>
      </c>
      <c r="J123" s="50">
        <f t="shared" si="47"/>
        <v>411</v>
      </c>
      <c r="K123" s="51">
        <f t="shared" si="47"/>
        <v>252</v>
      </c>
      <c r="L123" s="52">
        <f t="shared" si="47"/>
        <v>255</v>
      </c>
      <c r="M123" s="53">
        <f t="shared" si="47"/>
        <v>1237</v>
      </c>
    </row>
    <row r="124" spans="1:13" x14ac:dyDescent="0.15">
      <c r="A124" s="41"/>
      <c r="B124" s="36"/>
      <c r="C124" s="37"/>
      <c r="D124" s="38"/>
      <c r="E124" s="39"/>
      <c r="F124" s="55">
        <f t="shared" ref="F124:F148" si="48">SUM(B124:E124)</f>
        <v>0</v>
      </c>
      <c r="H124" s="41"/>
      <c r="I124" s="15"/>
      <c r="J124" s="28"/>
      <c r="K124" s="16"/>
      <c r="L124" s="19"/>
      <c r="M124" s="40">
        <f t="shared" ref="M124" si="49">SUM(I124:L124)</f>
        <v>0</v>
      </c>
    </row>
    <row r="125" spans="1:13" x14ac:dyDescent="0.15">
      <c r="A125" s="41"/>
      <c r="B125" s="15"/>
      <c r="C125" s="28"/>
      <c r="D125" s="16"/>
      <c r="E125" s="19"/>
      <c r="F125" s="40">
        <f t="shared" si="48"/>
        <v>0</v>
      </c>
      <c r="H125" s="41"/>
      <c r="I125" s="15"/>
      <c r="J125" s="28"/>
      <c r="K125" s="16"/>
      <c r="L125" s="19"/>
      <c r="M125" s="40">
        <f t="shared" ref="M125:M147" si="50">SUM(I125:L125)</f>
        <v>0</v>
      </c>
    </row>
    <row r="126" spans="1:13" x14ac:dyDescent="0.15">
      <c r="A126" s="41"/>
      <c r="B126" s="15"/>
      <c r="C126" s="28"/>
      <c r="D126" s="16"/>
      <c r="E126" s="19"/>
      <c r="F126" s="40">
        <f t="shared" si="48"/>
        <v>0</v>
      </c>
      <c r="H126" s="41"/>
      <c r="I126" s="15"/>
      <c r="J126" s="28"/>
      <c r="K126" s="16"/>
      <c r="L126" s="19"/>
      <c r="M126" s="40">
        <f t="shared" si="50"/>
        <v>0</v>
      </c>
    </row>
    <row r="127" spans="1:13" x14ac:dyDescent="0.15">
      <c r="A127" s="41"/>
      <c r="B127" s="15"/>
      <c r="C127" s="28"/>
      <c r="D127" s="16"/>
      <c r="E127" s="19"/>
      <c r="F127" s="40">
        <f t="shared" si="48"/>
        <v>0</v>
      </c>
      <c r="H127" s="41"/>
      <c r="I127" s="15"/>
      <c r="J127" s="28"/>
      <c r="K127" s="16"/>
      <c r="L127" s="19"/>
      <c r="M127" s="40">
        <f t="shared" si="50"/>
        <v>0</v>
      </c>
    </row>
    <row r="128" spans="1:13" x14ac:dyDescent="0.15">
      <c r="A128" s="41"/>
      <c r="B128" s="15"/>
      <c r="C128" s="28"/>
      <c r="D128" s="16"/>
      <c r="E128" s="19"/>
      <c r="F128" s="40">
        <f t="shared" si="48"/>
        <v>0</v>
      </c>
      <c r="H128" s="41"/>
      <c r="I128" s="15"/>
      <c r="J128" s="28"/>
      <c r="K128" s="16"/>
      <c r="L128" s="19"/>
      <c r="M128" s="40">
        <f t="shared" si="50"/>
        <v>0</v>
      </c>
    </row>
    <row r="129" spans="1:13" x14ac:dyDescent="0.15">
      <c r="A129" s="41"/>
      <c r="B129" s="15"/>
      <c r="C129" s="28"/>
      <c r="D129" s="16"/>
      <c r="E129" s="19"/>
      <c r="F129" s="40">
        <f t="shared" si="48"/>
        <v>0</v>
      </c>
      <c r="H129" s="41"/>
      <c r="I129" s="15"/>
      <c r="J129" s="28"/>
      <c r="K129" s="16"/>
      <c r="L129" s="19"/>
      <c r="M129" s="40">
        <f t="shared" si="50"/>
        <v>0</v>
      </c>
    </row>
    <row r="130" spans="1:13" x14ac:dyDescent="0.15">
      <c r="A130" s="41"/>
      <c r="B130" s="15"/>
      <c r="C130" s="28"/>
      <c r="D130" s="16"/>
      <c r="E130" s="19"/>
      <c r="F130" s="40">
        <f t="shared" si="48"/>
        <v>0</v>
      </c>
      <c r="H130" s="41"/>
      <c r="I130" s="15"/>
      <c r="J130" s="28"/>
      <c r="K130" s="16"/>
      <c r="L130" s="19"/>
      <c r="M130" s="40">
        <f t="shared" si="50"/>
        <v>0</v>
      </c>
    </row>
    <row r="131" spans="1:13" x14ac:dyDescent="0.15">
      <c r="A131" s="41"/>
      <c r="B131" s="15"/>
      <c r="C131" s="28"/>
      <c r="D131" s="16"/>
      <c r="E131" s="19"/>
      <c r="F131" s="40">
        <f t="shared" si="48"/>
        <v>0</v>
      </c>
      <c r="H131" s="41"/>
      <c r="I131" s="15"/>
      <c r="J131" s="28"/>
      <c r="K131" s="16"/>
      <c r="L131" s="19"/>
      <c r="M131" s="40">
        <f t="shared" si="50"/>
        <v>0</v>
      </c>
    </row>
    <row r="132" spans="1:13" x14ac:dyDescent="0.15">
      <c r="A132" s="41"/>
      <c r="B132" s="15"/>
      <c r="C132" s="28"/>
      <c r="D132" s="16"/>
      <c r="E132" s="19"/>
      <c r="F132" s="40">
        <f t="shared" si="48"/>
        <v>0</v>
      </c>
      <c r="H132" s="41"/>
      <c r="I132" s="15"/>
      <c r="J132" s="28"/>
      <c r="K132" s="16"/>
      <c r="L132" s="19"/>
      <c r="M132" s="40">
        <f t="shared" si="50"/>
        <v>0</v>
      </c>
    </row>
    <row r="133" spans="1:13" x14ac:dyDescent="0.15">
      <c r="A133" s="31"/>
      <c r="B133" s="15"/>
      <c r="C133" s="28"/>
      <c r="D133" s="16"/>
      <c r="E133" s="19"/>
      <c r="F133" s="40">
        <f t="shared" si="48"/>
        <v>0</v>
      </c>
      <c r="H133" s="41"/>
      <c r="I133" s="15"/>
      <c r="J133" s="28"/>
      <c r="K133" s="16"/>
      <c r="L133" s="19"/>
      <c r="M133" s="40">
        <f t="shared" si="50"/>
        <v>0</v>
      </c>
    </row>
    <row r="134" spans="1:13" x14ac:dyDescent="0.15">
      <c r="A134" s="41"/>
      <c r="B134" s="15"/>
      <c r="C134" s="28"/>
      <c r="D134" s="16"/>
      <c r="E134" s="19"/>
      <c r="F134" s="40">
        <f t="shared" si="48"/>
        <v>0</v>
      </c>
      <c r="H134" s="41"/>
      <c r="I134" s="15"/>
      <c r="J134" s="28"/>
      <c r="K134" s="16"/>
      <c r="L134" s="19"/>
      <c r="M134" s="40">
        <f t="shared" si="50"/>
        <v>0</v>
      </c>
    </row>
    <row r="135" spans="1:13" x14ac:dyDescent="0.15">
      <c r="A135" s="41"/>
      <c r="B135" s="15"/>
      <c r="C135" s="28"/>
      <c r="D135" s="16"/>
      <c r="E135" s="19"/>
      <c r="F135" s="40">
        <f t="shared" si="48"/>
        <v>0</v>
      </c>
      <c r="H135" s="41"/>
      <c r="I135" s="15"/>
      <c r="J135" s="28"/>
      <c r="K135" s="16"/>
      <c r="L135" s="19"/>
      <c r="M135" s="40">
        <f t="shared" si="50"/>
        <v>0</v>
      </c>
    </row>
    <row r="136" spans="1:13" x14ac:dyDescent="0.15">
      <c r="A136" s="41"/>
      <c r="B136" s="15"/>
      <c r="C136" s="28"/>
      <c r="D136" s="16"/>
      <c r="E136" s="19"/>
      <c r="F136" s="40">
        <f t="shared" si="48"/>
        <v>0</v>
      </c>
      <c r="H136" s="41"/>
      <c r="I136" s="15"/>
      <c r="J136" s="28"/>
      <c r="K136" s="16"/>
      <c r="L136" s="19"/>
      <c r="M136" s="40">
        <f t="shared" si="50"/>
        <v>0</v>
      </c>
    </row>
    <row r="137" spans="1:13" x14ac:dyDescent="0.15">
      <c r="A137" s="41"/>
      <c r="B137" s="15"/>
      <c r="C137" s="28"/>
      <c r="D137" s="16"/>
      <c r="E137" s="19"/>
      <c r="F137" s="40">
        <f t="shared" si="48"/>
        <v>0</v>
      </c>
      <c r="H137" s="41"/>
      <c r="I137" s="15"/>
      <c r="J137" s="28"/>
      <c r="K137" s="16"/>
      <c r="L137" s="19"/>
      <c r="M137" s="40">
        <f t="shared" si="50"/>
        <v>0</v>
      </c>
    </row>
    <row r="138" spans="1:13" x14ac:dyDescent="0.15">
      <c r="A138" s="31"/>
      <c r="B138" s="15"/>
      <c r="C138" s="28"/>
      <c r="D138" s="16"/>
      <c r="E138" s="19"/>
      <c r="F138" s="40">
        <f t="shared" si="48"/>
        <v>0</v>
      </c>
      <c r="H138" s="41"/>
      <c r="I138" s="15"/>
      <c r="J138" s="28"/>
      <c r="K138" s="16"/>
      <c r="L138" s="19"/>
      <c r="M138" s="40">
        <f t="shared" si="50"/>
        <v>0</v>
      </c>
    </row>
    <row r="139" spans="1:13" x14ac:dyDescent="0.15">
      <c r="A139" s="41"/>
      <c r="B139" s="15"/>
      <c r="C139" s="28"/>
      <c r="D139" s="16"/>
      <c r="E139" s="19"/>
      <c r="F139" s="40">
        <f t="shared" si="48"/>
        <v>0</v>
      </c>
      <c r="H139" s="41"/>
      <c r="I139" s="15"/>
      <c r="J139" s="28"/>
      <c r="K139" s="16"/>
      <c r="L139" s="19"/>
      <c r="M139" s="40">
        <f t="shared" si="50"/>
        <v>0</v>
      </c>
    </row>
    <row r="140" spans="1:13" x14ac:dyDescent="0.15">
      <c r="A140" s="41"/>
      <c r="B140" s="15"/>
      <c r="C140" s="28"/>
      <c r="D140" s="16"/>
      <c r="E140" s="19"/>
      <c r="F140" s="40">
        <f t="shared" si="48"/>
        <v>0</v>
      </c>
      <c r="H140" s="41"/>
      <c r="I140" s="15"/>
      <c r="J140" s="28"/>
      <c r="K140" s="16"/>
      <c r="L140" s="19"/>
      <c r="M140" s="40">
        <f t="shared" si="50"/>
        <v>0</v>
      </c>
    </row>
    <row r="141" spans="1:13" x14ac:dyDescent="0.15">
      <c r="A141" s="41"/>
      <c r="B141" s="15"/>
      <c r="C141" s="28"/>
      <c r="D141" s="16"/>
      <c r="E141" s="19"/>
      <c r="F141" s="40">
        <f t="shared" si="48"/>
        <v>0</v>
      </c>
      <c r="H141" s="41"/>
      <c r="I141" s="15"/>
      <c r="J141" s="28"/>
      <c r="K141" s="16"/>
      <c r="L141" s="19"/>
      <c r="M141" s="40">
        <f t="shared" si="50"/>
        <v>0</v>
      </c>
    </row>
    <row r="142" spans="1:13" x14ac:dyDescent="0.15">
      <c r="A142" s="41"/>
      <c r="B142" s="15"/>
      <c r="C142" s="28"/>
      <c r="D142" s="16"/>
      <c r="E142" s="19"/>
      <c r="F142" s="40">
        <f t="shared" si="48"/>
        <v>0</v>
      </c>
      <c r="H142" s="41"/>
      <c r="I142" s="15"/>
      <c r="J142" s="28"/>
      <c r="K142" s="16"/>
      <c r="L142" s="19"/>
      <c r="M142" s="40">
        <f t="shared" si="50"/>
        <v>0</v>
      </c>
    </row>
    <row r="143" spans="1:13" x14ac:dyDescent="0.15">
      <c r="A143" s="41"/>
      <c r="B143" s="15"/>
      <c r="C143" s="28"/>
      <c r="D143" s="16"/>
      <c r="E143" s="19"/>
      <c r="F143" s="40">
        <f t="shared" si="48"/>
        <v>0</v>
      </c>
      <c r="H143" s="41"/>
      <c r="I143" s="15"/>
      <c r="J143" s="28"/>
      <c r="K143" s="16"/>
      <c r="L143" s="19"/>
      <c r="M143" s="40">
        <f t="shared" si="50"/>
        <v>0</v>
      </c>
    </row>
    <row r="144" spans="1:13" x14ac:dyDescent="0.15">
      <c r="A144" s="41"/>
      <c r="B144" s="15"/>
      <c r="C144" s="28"/>
      <c r="D144" s="16"/>
      <c r="E144" s="19"/>
      <c r="F144" s="40">
        <f t="shared" si="48"/>
        <v>0</v>
      </c>
      <c r="H144" s="41"/>
      <c r="I144" s="15"/>
      <c r="J144" s="28"/>
      <c r="K144" s="16"/>
      <c r="L144" s="19"/>
      <c r="M144" s="40">
        <f t="shared" si="50"/>
        <v>0</v>
      </c>
    </row>
    <row r="145" spans="1:14" x14ac:dyDescent="0.15">
      <c r="A145" s="41"/>
      <c r="B145" s="15"/>
      <c r="C145" s="28"/>
      <c r="D145" s="16"/>
      <c r="E145" s="19"/>
      <c r="F145" s="40">
        <f t="shared" si="48"/>
        <v>0</v>
      </c>
      <c r="H145" s="41"/>
      <c r="I145" s="15"/>
      <c r="J145" s="28"/>
      <c r="K145" s="16"/>
      <c r="L145" s="19"/>
      <c r="M145" s="40">
        <f t="shared" si="50"/>
        <v>0</v>
      </c>
    </row>
    <row r="146" spans="1:14" x14ac:dyDescent="0.15">
      <c r="A146" s="41"/>
      <c r="B146" s="15"/>
      <c r="C146" s="28"/>
      <c r="D146" s="16"/>
      <c r="E146" s="19"/>
      <c r="F146" s="40">
        <f t="shared" si="48"/>
        <v>0</v>
      </c>
      <c r="H146" s="41"/>
      <c r="I146" s="15"/>
      <c r="J146" s="28"/>
      <c r="K146" s="16"/>
      <c r="L146" s="19"/>
      <c r="M146" s="40">
        <f t="shared" si="50"/>
        <v>0</v>
      </c>
    </row>
    <row r="147" spans="1:14" x14ac:dyDescent="0.15">
      <c r="A147" s="41"/>
      <c r="B147" s="15"/>
      <c r="C147" s="28"/>
      <c r="D147" s="16"/>
      <c r="E147" s="19"/>
      <c r="F147" s="40">
        <f t="shared" si="48"/>
        <v>0</v>
      </c>
      <c r="H147" s="41"/>
      <c r="I147" s="15"/>
      <c r="J147" s="28"/>
      <c r="K147" s="16"/>
      <c r="L147" s="19"/>
      <c r="M147" s="40">
        <f t="shared" si="50"/>
        <v>0</v>
      </c>
    </row>
    <row r="148" spans="1:14" ht="14.25" thickBot="1" x14ac:dyDescent="0.2">
      <c r="A148" s="41"/>
      <c r="B148" s="32"/>
      <c r="C148" s="33"/>
      <c r="D148" s="34"/>
      <c r="E148" s="35"/>
      <c r="F148" s="40">
        <f t="shared" si="48"/>
        <v>0</v>
      </c>
      <c r="H148" s="94"/>
      <c r="I148" s="32"/>
      <c r="J148" s="33"/>
      <c r="K148" s="34"/>
      <c r="L148" s="35"/>
      <c r="M148" s="95">
        <f t="shared" ref="M148" si="51">SUM(I148:L148)</f>
        <v>0</v>
      </c>
    </row>
    <row r="149" spans="1:14" ht="14.25" thickBot="1" x14ac:dyDescent="0.2">
      <c r="A149" s="12" t="s">
        <v>8</v>
      </c>
      <c r="B149" s="21">
        <f>SUM(B124:B148)</f>
        <v>0</v>
      </c>
      <c r="C149" s="29">
        <f>SUM(C124:C148)</f>
        <v>0</v>
      </c>
      <c r="D149" s="22">
        <f>SUM(D124:D148)</f>
        <v>0</v>
      </c>
      <c r="E149" s="23">
        <f>SUM(E124:E148)</f>
        <v>0</v>
      </c>
      <c r="F149" s="20">
        <f>SUM(B149:E149)</f>
        <v>0</v>
      </c>
      <c r="H149" s="64" t="s">
        <v>8</v>
      </c>
      <c r="I149" s="21">
        <f>SUM(I124:I148)</f>
        <v>0</v>
      </c>
      <c r="J149" s="29">
        <f t="shared" ref="J149:M149" si="52">SUM(J124:J148)</f>
        <v>0</v>
      </c>
      <c r="K149" s="22">
        <f t="shared" si="52"/>
        <v>0</v>
      </c>
      <c r="L149" s="23">
        <f t="shared" si="52"/>
        <v>0</v>
      </c>
      <c r="M149" s="42">
        <f t="shared" si="52"/>
        <v>0</v>
      </c>
    </row>
    <row r="150" spans="1:14" ht="14.25" thickBot="1" x14ac:dyDescent="0.2">
      <c r="A150" s="13" t="s">
        <v>9</v>
      </c>
      <c r="B150" s="24">
        <f t="shared" ref="B150:F150" si="53">B123-B149</f>
        <v>5</v>
      </c>
      <c r="C150" s="30">
        <f t="shared" si="53"/>
        <v>5</v>
      </c>
      <c r="D150" s="25">
        <f t="shared" si="53"/>
        <v>5</v>
      </c>
      <c r="E150" s="26">
        <f t="shared" si="53"/>
        <v>3</v>
      </c>
      <c r="F150" s="62">
        <f t="shared" si="53"/>
        <v>18</v>
      </c>
      <c r="H150" s="13" t="s">
        <v>9</v>
      </c>
      <c r="I150" s="24">
        <f>I123-I149</f>
        <v>319</v>
      </c>
      <c r="J150" s="30">
        <f t="shared" ref="J150:M150" si="54">J123-J149</f>
        <v>411</v>
      </c>
      <c r="K150" s="25">
        <f t="shared" si="54"/>
        <v>252</v>
      </c>
      <c r="L150" s="26">
        <f t="shared" si="54"/>
        <v>255</v>
      </c>
      <c r="M150" s="56">
        <f t="shared" si="54"/>
        <v>1237</v>
      </c>
      <c r="N150" s="90" t="s">
        <v>70</v>
      </c>
    </row>
  </sheetData>
  <mergeCells count="8">
    <mergeCell ref="B116:F116"/>
    <mergeCell ref="I116:M116"/>
    <mergeCell ref="B2:F2"/>
    <mergeCell ref="B40:F40"/>
    <mergeCell ref="I40:M40"/>
    <mergeCell ref="I2:M2"/>
    <mergeCell ref="B78:F78"/>
    <mergeCell ref="I78:M78"/>
  </mergeCells>
  <phoneticPr fontId="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パーカー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dcterms:created xsi:type="dcterms:W3CDTF">2014-11-17T01:36:50Z</dcterms:created>
  <dcterms:modified xsi:type="dcterms:W3CDTF">2026-07-15T02:58:30Z</dcterms:modified>
</cp:coreProperties>
</file>