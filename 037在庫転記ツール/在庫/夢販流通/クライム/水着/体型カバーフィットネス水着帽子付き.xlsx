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クライム\水着\"/>
    </mc:Choice>
  </mc:AlternateContent>
  <xr:revisionPtr revIDLastSave="0" documentId="13_ncr:1_{8FBCA180-56A1-4AD1-92CE-89FFA87346B6}" xr6:coauthVersionLast="47" xr6:coauthVersionMax="47" xr10:uidLastSave="{00000000-0000-0000-0000-000000000000}"/>
  <bookViews>
    <workbookView xWindow="12465" yWindow="1410" windowWidth="16065" windowHeight="12450" xr2:uid="{00000000-000D-0000-FFFF-FFFF00000000}"/>
  </bookViews>
  <sheets>
    <sheet name="体型カバ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62" i="1" l="1"/>
  <c r="S562" i="1"/>
  <c r="X566" i="1"/>
  <c r="S566" i="1"/>
  <c r="X565" i="1"/>
  <c r="S565" i="1"/>
  <c r="X564" i="1"/>
  <c r="S564" i="1"/>
  <c r="Y564" i="1" s="1"/>
  <c r="X563" i="1"/>
  <c r="S563" i="1"/>
  <c r="Y563" i="1" s="1"/>
  <c r="S478" i="1"/>
  <c r="Y478" i="1" s="1"/>
  <c r="X478" i="1"/>
  <c r="X507" i="1"/>
  <c r="S507" i="1"/>
  <c r="Y507" i="1" s="1"/>
  <c r="S508" i="1"/>
  <c r="X508" i="1"/>
  <c r="Y508" i="1"/>
  <c r="S509" i="1"/>
  <c r="X509" i="1"/>
  <c r="Y509" i="1"/>
  <c r="F489" i="1"/>
  <c r="K489" i="1"/>
  <c r="L489" i="1" s="1"/>
  <c r="K488" i="1"/>
  <c r="F488" i="1"/>
  <c r="L488" i="1" s="1"/>
  <c r="K487" i="1"/>
  <c r="F487" i="1"/>
  <c r="L487" i="1" s="1"/>
  <c r="K486" i="1"/>
  <c r="F486" i="1"/>
  <c r="L486" i="1" s="1"/>
  <c r="K485" i="1"/>
  <c r="F485" i="1"/>
  <c r="L485" i="1" s="1"/>
  <c r="X506" i="1"/>
  <c r="S506" i="1"/>
  <c r="Y506" i="1" s="1"/>
  <c r="W488" i="1"/>
  <c r="S476" i="1"/>
  <c r="X476" i="1"/>
  <c r="Y476" i="1" s="1"/>
  <c r="X504" i="1"/>
  <c r="S504" i="1"/>
  <c r="Y504" i="1" s="1"/>
  <c r="K405" i="1"/>
  <c r="F405" i="1"/>
  <c r="L405" i="1" s="1"/>
  <c r="W567" i="1"/>
  <c r="V567" i="1"/>
  <c r="U567" i="1"/>
  <c r="T567" i="1"/>
  <c r="R567" i="1"/>
  <c r="Q567" i="1"/>
  <c r="P567" i="1"/>
  <c r="O567" i="1"/>
  <c r="J567" i="1"/>
  <c r="I567" i="1"/>
  <c r="H567" i="1"/>
  <c r="G567" i="1"/>
  <c r="K567" i="1" s="1"/>
  <c r="F567" i="1"/>
  <c r="E567" i="1"/>
  <c r="D567" i="1"/>
  <c r="C567" i="1"/>
  <c r="B567" i="1"/>
  <c r="L566" i="1"/>
  <c r="K566" i="1"/>
  <c r="F566" i="1"/>
  <c r="K565" i="1"/>
  <c r="F565" i="1"/>
  <c r="L565" i="1" s="1"/>
  <c r="K564" i="1"/>
  <c r="L564" i="1" s="1"/>
  <c r="F564" i="1"/>
  <c r="K563" i="1"/>
  <c r="F563" i="1"/>
  <c r="L563" i="1" s="1"/>
  <c r="K562" i="1"/>
  <c r="L562" i="1" s="1"/>
  <c r="F562" i="1"/>
  <c r="X561" i="1"/>
  <c r="S561" i="1"/>
  <c r="Y561" i="1" s="1"/>
  <c r="K561" i="1"/>
  <c r="F561" i="1"/>
  <c r="L561" i="1" s="1"/>
  <c r="Y560" i="1"/>
  <c r="X560" i="1"/>
  <c r="S560" i="1"/>
  <c r="K560" i="1"/>
  <c r="L560" i="1" s="1"/>
  <c r="F560" i="1"/>
  <c r="Y559" i="1"/>
  <c r="X559" i="1"/>
  <c r="S559" i="1"/>
  <c r="K559" i="1"/>
  <c r="F559" i="1"/>
  <c r="L559" i="1" s="1"/>
  <c r="X558" i="1"/>
  <c r="S558" i="1"/>
  <c r="Y558" i="1" s="1"/>
  <c r="K558" i="1"/>
  <c r="L558" i="1" s="1"/>
  <c r="F558" i="1"/>
  <c r="X557" i="1"/>
  <c r="S557" i="1"/>
  <c r="Y557" i="1" s="1"/>
  <c r="K557" i="1"/>
  <c r="F557" i="1"/>
  <c r="L557" i="1" s="1"/>
  <c r="Y556" i="1"/>
  <c r="X556" i="1"/>
  <c r="S556" i="1"/>
  <c r="L556" i="1"/>
  <c r="K556" i="1"/>
  <c r="F556" i="1"/>
  <c r="Y555" i="1"/>
  <c r="X555" i="1"/>
  <c r="S555" i="1"/>
  <c r="K555" i="1"/>
  <c r="F555" i="1"/>
  <c r="L555" i="1" s="1"/>
  <c r="X554" i="1"/>
  <c r="S554" i="1"/>
  <c r="Y554" i="1" s="1"/>
  <c r="K554" i="1"/>
  <c r="L554" i="1" s="1"/>
  <c r="F554" i="1"/>
  <c r="X553" i="1"/>
  <c r="S553" i="1"/>
  <c r="Y553" i="1" s="1"/>
  <c r="K553" i="1"/>
  <c r="F553" i="1"/>
  <c r="L553" i="1" s="1"/>
  <c r="Y552" i="1"/>
  <c r="X552" i="1"/>
  <c r="S552" i="1"/>
  <c r="L552" i="1"/>
  <c r="K552" i="1"/>
  <c r="F552" i="1"/>
  <c r="Y551" i="1"/>
  <c r="X551" i="1"/>
  <c r="S551" i="1"/>
  <c r="K551" i="1"/>
  <c r="F551" i="1"/>
  <c r="L551" i="1" s="1"/>
  <c r="X550" i="1"/>
  <c r="S550" i="1"/>
  <c r="Y550" i="1" s="1"/>
  <c r="K550" i="1"/>
  <c r="L550" i="1" s="1"/>
  <c r="F550" i="1"/>
  <c r="X549" i="1"/>
  <c r="S549" i="1"/>
  <c r="Y549" i="1" s="1"/>
  <c r="K549" i="1"/>
  <c r="F549" i="1"/>
  <c r="L549" i="1" s="1"/>
  <c r="Y548" i="1"/>
  <c r="X548" i="1"/>
  <c r="S548" i="1"/>
  <c r="L548" i="1"/>
  <c r="K548" i="1"/>
  <c r="F548" i="1"/>
  <c r="Y547" i="1"/>
  <c r="X547" i="1"/>
  <c r="S547" i="1"/>
  <c r="K547" i="1"/>
  <c r="F547" i="1"/>
  <c r="L547" i="1" s="1"/>
  <c r="X546" i="1"/>
  <c r="S546" i="1"/>
  <c r="Y546" i="1" s="1"/>
  <c r="L546" i="1"/>
  <c r="K546" i="1"/>
  <c r="F546" i="1"/>
  <c r="X545" i="1"/>
  <c r="S545" i="1"/>
  <c r="Y545" i="1" s="1"/>
  <c r="K545" i="1"/>
  <c r="F545" i="1"/>
  <c r="L545" i="1" s="1"/>
  <c r="Y544" i="1"/>
  <c r="X544" i="1"/>
  <c r="S544" i="1"/>
  <c r="L544" i="1"/>
  <c r="K544" i="1"/>
  <c r="F544" i="1"/>
  <c r="Y543" i="1"/>
  <c r="X543" i="1"/>
  <c r="S543" i="1"/>
  <c r="K543" i="1"/>
  <c r="F543" i="1"/>
  <c r="L543" i="1" s="1"/>
  <c r="X542" i="1"/>
  <c r="S542" i="1"/>
  <c r="Y542" i="1" s="1"/>
  <c r="L542" i="1"/>
  <c r="K542" i="1"/>
  <c r="F542" i="1"/>
  <c r="Y540" i="1"/>
  <c r="X540" i="1"/>
  <c r="S540" i="1"/>
  <c r="L540" i="1"/>
  <c r="K540" i="1"/>
  <c r="F540" i="1"/>
  <c r="Y539" i="1"/>
  <c r="X539" i="1"/>
  <c r="S539" i="1"/>
  <c r="K539" i="1"/>
  <c r="F539" i="1"/>
  <c r="L539" i="1" s="1"/>
  <c r="X538" i="1"/>
  <c r="S538" i="1"/>
  <c r="Y538" i="1" s="1"/>
  <c r="L538" i="1"/>
  <c r="K538" i="1"/>
  <c r="F538" i="1"/>
  <c r="X537" i="1"/>
  <c r="S537" i="1"/>
  <c r="Y537" i="1" s="1"/>
  <c r="K537" i="1"/>
  <c r="F537" i="1"/>
  <c r="L537" i="1" s="1"/>
  <c r="W490" i="1"/>
  <c r="V490" i="1"/>
  <c r="U490" i="1"/>
  <c r="R490" i="1"/>
  <c r="Q490" i="1"/>
  <c r="P490" i="1"/>
  <c r="O490" i="1"/>
  <c r="T490" i="1"/>
  <c r="V488" i="1"/>
  <c r="R488" i="1"/>
  <c r="Q488" i="1"/>
  <c r="P488" i="1"/>
  <c r="R414" i="1"/>
  <c r="S462" i="1"/>
  <c r="Y462" i="1" s="1"/>
  <c r="X462" i="1"/>
  <c r="S463" i="1"/>
  <c r="Y463" i="1" s="1"/>
  <c r="X463" i="1"/>
  <c r="X501" i="1"/>
  <c r="S501" i="1"/>
  <c r="Y501" i="1" s="1"/>
  <c r="X500" i="1"/>
  <c r="S500" i="1"/>
  <c r="Y500" i="1" s="1"/>
  <c r="S445" i="1"/>
  <c r="X445" i="1"/>
  <c r="Y445" i="1" s="1"/>
  <c r="X444" i="1"/>
  <c r="S444" i="1"/>
  <c r="Y444" i="1" s="1"/>
  <c r="X443" i="1"/>
  <c r="S443" i="1"/>
  <c r="Y443" i="1" s="1"/>
  <c r="X442" i="1"/>
  <c r="S442" i="1"/>
  <c r="Y442" i="1" s="1"/>
  <c r="K444" i="1"/>
  <c r="F444" i="1"/>
  <c r="L444" i="1" s="1"/>
  <c r="W489" i="1"/>
  <c r="V489" i="1"/>
  <c r="O489" i="1"/>
  <c r="W412" i="1"/>
  <c r="T412" i="1"/>
  <c r="K439" i="1"/>
  <c r="F439" i="1"/>
  <c r="L439" i="1" s="1"/>
  <c r="K434" i="1"/>
  <c r="F434" i="1"/>
  <c r="V412" i="1"/>
  <c r="V415" i="1" s="1"/>
  <c r="K425" i="1"/>
  <c r="F425" i="1"/>
  <c r="J529" i="1"/>
  <c r="I529" i="1"/>
  <c r="H529" i="1"/>
  <c r="G529" i="1"/>
  <c r="E529" i="1"/>
  <c r="D529" i="1"/>
  <c r="C529" i="1"/>
  <c r="B529" i="1"/>
  <c r="K528" i="1"/>
  <c r="F528" i="1"/>
  <c r="K527" i="1"/>
  <c r="F527" i="1"/>
  <c r="K526" i="1"/>
  <c r="F526" i="1"/>
  <c r="L526" i="1" s="1"/>
  <c r="L525" i="1"/>
  <c r="K525" i="1"/>
  <c r="F525" i="1"/>
  <c r="K524" i="1"/>
  <c r="F524" i="1"/>
  <c r="K523" i="1"/>
  <c r="F523" i="1"/>
  <c r="L523" i="1" s="1"/>
  <c r="K522" i="1"/>
  <c r="F522" i="1"/>
  <c r="L522" i="1" s="1"/>
  <c r="K521" i="1"/>
  <c r="F521" i="1"/>
  <c r="L521" i="1" s="1"/>
  <c r="K520" i="1"/>
  <c r="L520" i="1" s="1"/>
  <c r="F520" i="1"/>
  <c r="K519" i="1"/>
  <c r="F519" i="1"/>
  <c r="K518" i="1"/>
  <c r="F518" i="1"/>
  <c r="K517" i="1"/>
  <c r="F517" i="1"/>
  <c r="K516" i="1"/>
  <c r="F516" i="1"/>
  <c r="K515" i="1"/>
  <c r="F515" i="1"/>
  <c r="K514" i="1"/>
  <c r="F514" i="1"/>
  <c r="K513" i="1"/>
  <c r="F513" i="1"/>
  <c r="K512" i="1"/>
  <c r="F512" i="1"/>
  <c r="K511" i="1"/>
  <c r="F511" i="1"/>
  <c r="K510" i="1"/>
  <c r="F510" i="1"/>
  <c r="L510" i="1" s="1"/>
  <c r="K509" i="1"/>
  <c r="L509" i="1" s="1"/>
  <c r="F509" i="1"/>
  <c r="K508" i="1"/>
  <c r="F508" i="1"/>
  <c r="K507" i="1"/>
  <c r="F507" i="1"/>
  <c r="K506" i="1"/>
  <c r="F506" i="1"/>
  <c r="L506" i="1" s="1"/>
  <c r="K505" i="1"/>
  <c r="F505" i="1"/>
  <c r="K504" i="1"/>
  <c r="F504" i="1"/>
  <c r="K502" i="1"/>
  <c r="F502" i="1"/>
  <c r="L502" i="1" s="1"/>
  <c r="L501" i="1"/>
  <c r="K501" i="1"/>
  <c r="F501" i="1"/>
  <c r="K500" i="1"/>
  <c r="F500" i="1"/>
  <c r="K499" i="1"/>
  <c r="F499" i="1"/>
  <c r="S486" i="1"/>
  <c r="X486" i="1"/>
  <c r="S483" i="1"/>
  <c r="X483" i="1"/>
  <c r="S484" i="1"/>
  <c r="X484" i="1"/>
  <c r="S485" i="1"/>
  <c r="X485" i="1"/>
  <c r="Y485" i="1" s="1"/>
  <c r="X490" i="1"/>
  <c r="S490" i="1"/>
  <c r="X489" i="1"/>
  <c r="S489" i="1"/>
  <c r="X526" i="1"/>
  <c r="S526" i="1"/>
  <c r="X525" i="1"/>
  <c r="S525" i="1"/>
  <c r="Y525" i="1" s="1"/>
  <c r="X528" i="1"/>
  <c r="S528" i="1"/>
  <c r="X527" i="1"/>
  <c r="S527" i="1"/>
  <c r="S521" i="1"/>
  <c r="X521" i="1"/>
  <c r="S522" i="1"/>
  <c r="Y522" i="1" s="1"/>
  <c r="X522" i="1"/>
  <c r="S523" i="1"/>
  <c r="X523" i="1"/>
  <c r="Y523" i="1" s="1"/>
  <c r="S524" i="1"/>
  <c r="X524" i="1"/>
  <c r="W529" i="1"/>
  <c r="V529" i="1"/>
  <c r="U529" i="1"/>
  <c r="T529" i="1"/>
  <c r="R529" i="1"/>
  <c r="Q529" i="1"/>
  <c r="P529" i="1"/>
  <c r="O529" i="1"/>
  <c r="X520" i="1"/>
  <c r="S520" i="1"/>
  <c r="X519" i="1"/>
  <c r="S519" i="1"/>
  <c r="X518" i="1"/>
  <c r="S518" i="1"/>
  <c r="Y518" i="1" s="1"/>
  <c r="X517" i="1"/>
  <c r="Y517" i="1" s="1"/>
  <c r="S517" i="1"/>
  <c r="X516" i="1"/>
  <c r="S516" i="1"/>
  <c r="X515" i="1"/>
  <c r="S515" i="1"/>
  <c r="Y515" i="1" s="1"/>
  <c r="X514" i="1"/>
  <c r="S514" i="1"/>
  <c r="Y514" i="1" s="1"/>
  <c r="X513" i="1"/>
  <c r="S513" i="1"/>
  <c r="X512" i="1"/>
  <c r="Y512" i="1" s="1"/>
  <c r="S512" i="1"/>
  <c r="X511" i="1"/>
  <c r="S511" i="1"/>
  <c r="Y511" i="1" s="1"/>
  <c r="X510" i="1"/>
  <c r="S510" i="1"/>
  <c r="X505" i="1"/>
  <c r="Y505" i="1" s="1"/>
  <c r="S505" i="1"/>
  <c r="X502" i="1"/>
  <c r="S502" i="1"/>
  <c r="X499" i="1"/>
  <c r="S499" i="1"/>
  <c r="Y499" i="1" s="1"/>
  <c r="U412" i="1"/>
  <c r="X488" i="1"/>
  <c r="S488" i="1"/>
  <c r="X487" i="1"/>
  <c r="S487" i="1"/>
  <c r="S439" i="1"/>
  <c r="Y439" i="1" s="1"/>
  <c r="X439" i="1"/>
  <c r="S440" i="1"/>
  <c r="X440" i="1"/>
  <c r="S441" i="1"/>
  <c r="X441" i="1"/>
  <c r="X410" i="1"/>
  <c r="Y410" i="1" s="1"/>
  <c r="S410" i="1"/>
  <c r="X409" i="1"/>
  <c r="S409" i="1"/>
  <c r="Y409" i="1" s="1"/>
  <c r="X450" i="1"/>
  <c r="S449" i="1"/>
  <c r="X449" i="1"/>
  <c r="S426" i="1"/>
  <c r="X426" i="1"/>
  <c r="W414" i="1"/>
  <c r="O414" i="1"/>
  <c r="V414" i="1"/>
  <c r="U414" i="1"/>
  <c r="P414" i="1"/>
  <c r="O412" i="1"/>
  <c r="P412" i="1"/>
  <c r="Q412" i="1"/>
  <c r="Q415" i="1" s="1"/>
  <c r="R412" i="1"/>
  <c r="R415" i="1" s="1"/>
  <c r="Q414" i="1"/>
  <c r="U415" i="1"/>
  <c r="T414" i="1"/>
  <c r="X414" i="1" s="1"/>
  <c r="K385" i="1"/>
  <c r="F385" i="1"/>
  <c r="L385" i="1" s="1"/>
  <c r="S448" i="1"/>
  <c r="X448" i="1"/>
  <c r="S376" i="1"/>
  <c r="S361" i="1"/>
  <c r="X361" i="1"/>
  <c r="K361" i="1"/>
  <c r="F361" i="1"/>
  <c r="S348" i="1"/>
  <c r="X348" i="1"/>
  <c r="Y348" i="1" s="1"/>
  <c r="X386" i="1"/>
  <c r="S386" i="1"/>
  <c r="S387" i="1"/>
  <c r="X387" i="1"/>
  <c r="S388" i="1"/>
  <c r="X388" i="1"/>
  <c r="X425" i="1"/>
  <c r="S425" i="1"/>
  <c r="X424" i="1"/>
  <c r="S424" i="1"/>
  <c r="J491" i="1"/>
  <c r="I491" i="1"/>
  <c r="H491" i="1"/>
  <c r="G491" i="1"/>
  <c r="E491" i="1"/>
  <c r="D491" i="1"/>
  <c r="C491" i="1"/>
  <c r="B491" i="1"/>
  <c r="K484" i="1"/>
  <c r="F484" i="1"/>
  <c r="K483" i="1"/>
  <c r="F483" i="1"/>
  <c r="K482" i="1"/>
  <c r="F482" i="1"/>
  <c r="K481" i="1"/>
  <c r="F481" i="1"/>
  <c r="K480" i="1"/>
  <c r="F480" i="1"/>
  <c r="L480" i="1" s="1"/>
  <c r="K479" i="1"/>
  <c r="F479" i="1"/>
  <c r="L479" i="1" s="1"/>
  <c r="K478" i="1"/>
  <c r="F478" i="1"/>
  <c r="K477" i="1"/>
  <c r="F477" i="1"/>
  <c r="L477" i="1" s="1"/>
  <c r="K476" i="1"/>
  <c r="F476" i="1"/>
  <c r="K475" i="1"/>
  <c r="F475" i="1"/>
  <c r="L475" i="1" s="1"/>
  <c r="K474" i="1"/>
  <c r="F474" i="1"/>
  <c r="K473" i="1"/>
  <c r="F473" i="1"/>
  <c r="K472" i="1"/>
  <c r="F472" i="1"/>
  <c r="K471" i="1"/>
  <c r="F471" i="1"/>
  <c r="L471" i="1" s="1"/>
  <c r="K470" i="1"/>
  <c r="F470" i="1"/>
  <c r="K469" i="1"/>
  <c r="F469" i="1"/>
  <c r="L469" i="1" s="1"/>
  <c r="K468" i="1"/>
  <c r="F468" i="1"/>
  <c r="K467" i="1"/>
  <c r="F467" i="1"/>
  <c r="K466" i="1"/>
  <c r="F466" i="1"/>
  <c r="K464" i="1"/>
  <c r="F464" i="1"/>
  <c r="K463" i="1"/>
  <c r="F463" i="1"/>
  <c r="K462" i="1"/>
  <c r="F462" i="1"/>
  <c r="K461" i="1"/>
  <c r="F461" i="1"/>
  <c r="S370" i="1"/>
  <c r="X370" i="1"/>
  <c r="Y370" i="1"/>
  <c r="S371" i="1"/>
  <c r="X371" i="1"/>
  <c r="S372" i="1"/>
  <c r="X372" i="1"/>
  <c r="S373" i="1"/>
  <c r="X373" i="1"/>
  <c r="X376" i="1"/>
  <c r="X375" i="1"/>
  <c r="S375" i="1"/>
  <c r="W377" i="1"/>
  <c r="T377" i="1"/>
  <c r="S374" i="1"/>
  <c r="X413" i="1"/>
  <c r="S413" i="1"/>
  <c r="T415" i="1"/>
  <c r="X411" i="1"/>
  <c r="S411" i="1"/>
  <c r="X452" i="1"/>
  <c r="S452" i="1"/>
  <c r="X451" i="1"/>
  <c r="S451" i="1"/>
  <c r="W491" i="1"/>
  <c r="V491" i="1"/>
  <c r="U491" i="1"/>
  <c r="T491" i="1"/>
  <c r="R491" i="1"/>
  <c r="Q491" i="1"/>
  <c r="P491" i="1"/>
  <c r="O491" i="1"/>
  <c r="X482" i="1"/>
  <c r="S482" i="1"/>
  <c r="X481" i="1"/>
  <c r="S481" i="1"/>
  <c r="X480" i="1"/>
  <c r="S480" i="1"/>
  <c r="Y480" i="1" s="1"/>
  <c r="X479" i="1"/>
  <c r="S479" i="1"/>
  <c r="Y479" i="1" s="1"/>
  <c r="X477" i="1"/>
  <c r="S477" i="1"/>
  <c r="Y477" i="1" s="1"/>
  <c r="X475" i="1"/>
  <c r="S475" i="1"/>
  <c r="Y475" i="1" s="1"/>
  <c r="X474" i="1"/>
  <c r="S474" i="1"/>
  <c r="X473" i="1"/>
  <c r="S473" i="1"/>
  <c r="Y473" i="1" s="1"/>
  <c r="X472" i="1"/>
  <c r="S472" i="1"/>
  <c r="X471" i="1"/>
  <c r="S471" i="1"/>
  <c r="X470" i="1"/>
  <c r="S470" i="1"/>
  <c r="X469" i="1"/>
  <c r="S469" i="1"/>
  <c r="X468" i="1"/>
  <c r="S468" i="1"/>
  <c r="Y468" i="1" s="1"/>
  <c r="X467" i="1"/>
  <c r="S467" i="1"/>
  <c r="X466" i="1"/>
  <c r="S466" i="1"/>
  <c r="X464" i="1"/>
  <c r="S464" i="1"/>
  <c r="X461" i="1"/>
  <c r="S461" i="1"/>
  <c r="Y461" i="1" s="1"/>
  <c r="W453" i="1"/>
  <c r="V453" i="1"/>
  <c r="U453" i="1"/>
  <c r="T453" i="1"/>
  <c r="R453" i="1"/>
  <c r="Q453" i="1"/>
  <c r="O453" i="1"/>
  <c r="J453" i="1"/>
  <c r="I453" i="1"/>
  <c r="H453" i="1"/>
  <c r="G453" i="1"/>
  <c r="E453" i="1"/>
  <c r="D453" i="1"/>
  <c r="C453" i="1"/>
  <c r="B453" i="1"/>
  <c r="K452" i="1"/>
  <c r="F452" i="1"/>
  <c r="K451" i="1"/>
  <c r="F451" i="1"/>
  <c r="K450" i="1"/>
  <c r="F450" i="1"/>
  <c r="K449" i="1"/>
  <c r="F449" i="1"/>
  <c r="L449" i="1" s="1"/>
  <c r="L448" i="1"/>
  <c r="K448" i="1"/>
  <c r="F448" i="1"/>
  <c r="X447" i="1"/>
  <c r="S447" i="1"/>
  <c r="Y447" i="1" s="1"/>
  <c r="K447" i="1"/>
  <c r="F447" i="1"/>
  <c r="X446" i="1"/>
  <c r="S446" i="1"/>
  <c r="Y446" i="1" s="1"/>
  <c r="K446" i="1"/>
  <c r="F446" i="1"/>
  <c r="L446" i="1" s="1"/>
  <c r="K445" i="1"/>
  <c r="F445" i="1"/>
  <c r="L445" i="1" s="1"/>
  <c r="K443" i="1"/>
  <c r="F443" i="1"/>
  <c r="L443" i="1" s="1"/>
  <c r="K442" i="1"/>
  <c r="F442" i="1"/>
  <c r="K441" i="1"/>
  <c r="F441" i="1"/>
  <c r="L441" i="1" s="1"/>
  <c r="K440" i="1"/>
  <c r="F440" i="1"/>
  <c r="L440" i="1" s="1"/>
  <c r="X438" i="1"/>
  <c r="S438" i="1"/>
  <c r="Y438" i="1" s="1"/>
  <c r="K438" i="1"/>
  <c r="F438" i="1"/>
  <c r="L438" i="1" s="1"/>
  <c r="X437" i="1"/>
  <c r="S437" i="1"/>
  <c r="K437" i="1"/>
  <c r="F437" i="1"/>
  <c r="L437" i="1" s="1"/>
  <c r="X436" i="1"/>
  <c r="S436" i="1"/>
  <c r="K436" i="1"/>
  <c r="F436" i="1"/>
  <c r="X435" i="1"/>
  <c r="S435" i="1"/>
  <c r="Y435" i="1" s="1"/>
  <c r="K435" i="1"/>
  <c r="F435" i="1"/>
  <c r="X434" i="1"/>
  <c r="S434" i="1"/>
  <c r="X433" i="1"/>
  <c r="S433" i="1"/>
  <c r="K433" i="1"/>
  <c r="F433" i="1"/>
  <c r="X432" i="1"/>
  <c r="S432" i="1"/>
  <c r="K432" i="1"/>
  <c r="F432" i="1"/>
  <c r="L432" i="1" s="1"/>
  <c r="X431" i="1"/>
  <c r="S431" i="1"/>
  <c r="Y431" i="1" s="1"/>
  <c r="K431" i="1"/>
  <c r="F431" i="1"/>
  <c r="L431" i="1" s="1"/>
  <c r="X430" i="1"/>
  <c r="S430" i="1"/>
  <c r="Y430" i="1" s="1"/>
  <c r="K430" i="1"/>
  <c r="F430" i="1"/>
  <c r="L430" i="1" s="1"/>
  <c r="X429" i="1"/>
  <c r="S429" i="1"/>
  <c r="K429" i="1"/>
  <c r="F429" i="1"/>
  <c r="X428" i="1"/>
  <c r="S428" i="1"/>
  <c r="K428" i="1"/>
  <c r="F428" i="1"/>
  <c r="L428" i="1" s="1"/>
  <c r="K426" i="1"/>
  <c r="F426" i="1"/>
  <c r="K424" i="1"/>
  <c r="F424" i="1"/>
  <c r="X423" i="1"/>
  <c r="S423" i="1"/>
  <c r="Y423" i="1" s="1"/>
  <c r="K423" i="1"/>
  <c r="F423" i="1"/>
  <c r="X418" i="1"/>
  <c r="S418" i="1"/>
  <c r="S310" i="1"/>
  <c r="X310" i="1"/>
  <c r="Y310" i="1"/>
  <c r="S330" i="1"/>
  <c r="X330" i="1"/>
  <c r="S331" i="1"/>
  <c r="X331" i="1"/>
  <c r="S332" i="1"/>
  <c r="X332" i="1"/>
  <c r="S333" i="1"/>
  <c r="X333" i="1"/>
  <c r="Y333" i="1"/>
  <c r="S334" i="1"/>
  <c r="X334" i="1"/>
  <c r="Y334" i="1" s="1"/>
  <c r="S335" i="1"/>
  <c r="X335" i="1"/>
  <c r="Y335" i="1" s="1"/>
  <c r="S336" i="1"/>
  <c r="X336" i="1"/>
  <c r="S337" i="1"/>
  <c r="X337" i="1"/>
  <c r="S338" i="1"/>
  <c r="X338" i="1"/>
  <c r="Y338" i="1" s="1"/>
  <c r="W415" i="1"/>
  <c r="J415" i="1"/>
  <c r="I415" i="1"/>
  <c r="H415" i="1"/>
  <c r="G415" i="1"/>
  <c r="E415" i="1"/>
  <c r="D415" i="1"/>
  <c r="C415" i="1"/>
  <c r="B415" i="1"/>
  <c r="K414" i="1"/>
  <c r="F414" i="1"/>
  <c r="K413" i="1"/>
  <c r="F413" i="1"/>
  <c r="L413" i="1" s="1"/>
  <c r="K412" i="1"/>
  <c r="F412" i="1"/>
  <c r="K411" i="1"/>
  <c r="F411" i="1"/>
  <c r="L411" i="1" s="1"/>
  <c r="K410" i="1"/>
  <c r="F410" i="1"/>
  <c r="K409" i="1"/>
  <c r="F409" i="1"/>
  <c r="L409" i="1" s="1"/>
  <c r="X408" i="1"/>
  <c r="S408" i="1"/>
  <c r="K408" i="1"/>
  <c r="F408" i="1"/>
  <c r="L408" i="1" s="1"/>
  <c r="X407" i="1"/>
  <c r="S407" i="1"/>
  <c r="K407" i="1"/>
  <c r="F407" i="1"/>
  <c r="L407" i="1" s="1"/>
  <c r="X406" i="1"/>
  <c r="S406" i="1"/>
  <c r="K406" i="1"/>
  <c r="F406" i="1"/>
  <c r="L406" i="1" s="1"/>
  <c r="X405" i="1"/>
  <c r="S405" i="1"/>
  <c r="X404" i="1"/>
  <c r="S404" i="1"/>
  <c r="K404" i="1"/>
  <c r="F404" i="1"/>
  <c r="L404" i="1" s="1"/>
  <c r="X403" i="1"/>
  <c r="S403" i="1"/>
  <c r="K403" i="1"/>
  <c r="F403" i="1"/>
  <c r="X402" i="1"/>
  <c r="S402" i="1"/>
  <c r="K402" i="1"/>
  <c r="F402" i="1"/>
  <c r="X401" i="1"/>
  <c r="S401" i="1"/>
  <c r="K401" i="1"/>
  <c r="F401" i="1"/>
  <c r="X400" i="1"/>
  <c r="S400" i="1"/>
  <c r="K400" i="1"/>
  <c r="F400" i="1"/>
  <c r="L400" i="1" s="1"/>
  <c r="X399" i="1"/>
  <c r="S399" i="1"/>
  <c r="K399" i="1"/>
  <c r="F399" i="1"/>
  <c r="L399" i="1" s="1"/>
  <c r="X398" i="1"/>
  <c r="S398" i="1"/>
  <c r="K398" i="1"/>
  <c r="F398" i="1"/>
  <c r="L398" i="1" s="1"/>
  <c r="X397" i="1"/>
  <c r="S397" i="1"/>
  <c r="K397" i="1"/>
  <c r="F397" i="1"/>
  <c r="L397" i="1" s="1"/>
  <c r="X396" i="1"/>
  <c r="S396" i="1"/>
  <c r="K396" i="1"/>
  <c r="F396" i="1"/>
  <c r="L396" i="1" s="1"/>
  <c r="X395" i="1"/>
  <c r="S395" i="1"/>
  <c r="K395" i="1"/>
  <c r="F395" i="1"/>
  <c r="L395" i="1" s="1"/>
  <c r="X394" i="1"/>
  <c r="S394" i="1"/>
  <c r="K394" i="1"/>
  <c r="F394" i="1"/>
  <c r="L394" i="1" s="1"/>
  <c r="X393" i="1"/>
  <c r="S393" i="1"/>
  <c r="K393" i="1"/>
  <c r="F393" i="1"/>
  <c r="X392" i="1"/>
  <c r="S392" i="1"/>
  <c r="K392" i="1"/>
  <c r="F392" i="1"/>
  <c r="X391" i="1"/>
  <c r="S391" i="1"/>
  <c r="K391" i="1"/>
  <c r="F391" i="1"/>
  <c r="X390" i="1"/>
  <c r="S390" i="1"/>
  <c r="K390" i="1"/>
  <c r="F390" i="1"/>
  <c r="K388" i="1"/>
  <c r="F388" i="1"/>
  <c r="K387" i="1"/>
  <c r="F387" i="1"/>
  <c r="K386" i="1"/>
  <c r="F386" i="1"/>
  <c r="X385" i="1"/>
  <c r="S385" i="1"/>
  <c r="J282" i="1"/>
  <c r="J281" i="1"/>
  <c r="X240" i="1"/>
  <c r="S240" i="1"/>
  <c r="Y240" i="1" s="1"/>
  <c r="J377" i="1"/>
  <c r="I377" i="1"/>
  <c r="H377" i="1"/>
  <c r="G377" i="1"/>
  <c r="E377" i="1"/>
  <c r="D377" i="1"/>
  <c r="C377" i="1"/>
  <c r="B377" i="1"/>
  <c r="K376" i="1"/>
  <c r="F376" i="1"/>
  <c r="K375" i="1"/>
  <c r="F375" i="1"/>
  <c r="K374" i="1"/>
  <c r="F374" i="1"/>
  <c r="K373" i="1"/>
  <c r="F373" i="1"/>
  <c r="L373" i="1" s="1"/>
  <c r="K372" i="1"/>
  <c r="F372" i="1"/>
  <c r="K371" i="1"/>
  <c r="F371" i="1"/>
  <c r="K370" i="1"/>
  <c r="F370" i="1"/>
  <c r="K369" i="1"/>
  <c r="F369" i="1"/>
  <c r="K368" i="1"/>
  <c r="F368" i="1"/>
  <c r="K367" i="1"/>
  <c r="F367" i="1"/>
  <c r="K366" i="1"/>
  <c r="F366" i="1"/>
  <c r="K365" i="1"/>
  <c r="F365" i="1"/>
  <c r="K364" i="1"/>
  <c r="F364" i="1"/>
  <c r="K363" i="1"/>
  <c r="F363" i="1"/>
  <c r="K362" i="1"/>
  <c r="F362" i="1"/>
  <c r="K360" i="1"/>
  <c r="F360" i="1"/>
  <c r="K359" i="1"/>
  <c r="F359" i="1"/>
  <c r="K358" i="1"/>
  <c r="F358" i="1"/>
  <c r="K357" i="1"/>
  <c r="F357" i="1"/>
  <c r="K356" i="1"/>
  <c r="F356" i="1"/>
  <c r="K355" i="1"/>
  <c r="F355" i="1"/>
  <c r="K354" i="1"/>
  <c r="F354" i="1"/>
  <c r="K353" i="1"/>
  <c r="F353" i="1"/>
  <c r="K352" i="1"/>
  <c r="F352" i="1"/>
  <c r="K350" i="1"/>
  <c r="F350" i="1"/>
  <c r="K349" i="1"/>
  <c r="F349" i="1"/>
  <c r="K348" i="1"/>
  <c r="F348" i="1"/>
  <c r="K347" i="1"/>
  <c r="F347" i="1"/>
  <c r="J339" i="1"/>
  <c r="I339" i="1"/>
  <c r="H339" i="1"/>
  <c r="G339" i="1"/>
  <c r="E339" i="1"/>
  <c r="D339" i="1"/>
  <c r="C339" i="1"/>
  <c r="B339" i="1"/>
  <c r="K338" i="1"/>
  <c r="F338" i="1"/>
  <c r="K337" i="1"/>
  <c r="F337" i="1"/>
  <c r="L337" i="1" s="1"/>
  <c r="K336" i="1"/>
  <c r="F336" i="1"/>
  <c r="K335" i="1"/>
  <c r="F335" i="1"/>
  <c r="L335" i="1" s="1"/>
  <c r="K334" i="1"/>
  <c r="F334" i="1"/>
  <c r="K333" i="1"/>
  <c r="F333" i="1"/>
  <c r="K332" i="1"/>
  <c r="F332" i="1"/>
  <c r="K331" i="1"/>
  <c r="F331" i="1"/>
  <c r="K330" i="1"/>
  <c r="F330" i="1"/>
  <c r="K329" i="1"/>
  <c r="F329" i="1"/>
  <c r="K328" i="1"/>
  <c r="F328" i="1"/>
  <c r="K327" i="1"/>
  <c r="F327" i="1"/>
  <c r="K326" i="1"/>
  <c r="F326" i="1"/>
  <c r="K325" i="1"/>
  <c r="F325" i="1"/>
  <c r="K324" i="1"/>
  <c r="F324" i="1"/>
  <c r="K323" i="1"/>
  <c r="F323" i="1"/>
  <c r="K322" i="1"/>
  <c r="F322" i="1"/>
  <c r="K321" i="1"/>
  <c r="F321" i="1"/>
  <c r="K320" i="1"/>
  <c r="F320" i="1"/>
  <c r="K319" i="1"/>
  <c r="F319" i="1"/>
  <c r="K318" i="1"/>
  <c r="F318" i="1"/>
  <c r="K317" i="1"/>
  <c r="F317" i="1"/>
  <c r="K316" i="1"/>
  <c r="F316" i="1"/>
  <c r="K315" i="1"/>
  <c r="F315" i="1"/>
  <c r="K314" i="1"/>
  <c r="F314" i="1"/>
  <c r="K312" i="1"/>
  <c r="F312" i="1"/>
  <c r="K311" i="1"/>
  <c r="F311" i="1"/>
  <c r="K310" i="1"/>
  <c r="F310" i="1"/>
  <c r="K309" i="1"/>
  <c r="F309" i="1"/>
  <c r="S349" i="1"/>
  <c r="X349" i="1"/>
  <c r="S311" i="1"/>
  <c r="Y311" i="1" s="1"/>
  <c r="X311" i="1"/>
  <c r="V377" i="1"/>
  <c r="U377" i="1"/>
  <c r="R377" i="1"/>
  <c r="P377" i="1"/>
  <c r="O377" i="1"/>
  <c r="X369" i="1"/>
  <c r="S369" i="1"/>
  <c r="X368" i="1"/>
  <c r="S368" i="1"/>
  <c r="X367" i="1"/>
  <c r="S367" i="1"/>
  <c r="X366" i="1"/>
  <c r="S366" i="1"/>
  <c r="Y366" i="1" s="1"/>
  <c r="X365" i="1"/>
  <c r="S365" i="1"/>
  <c r="X364" i="1"/>
  <c r="S364" i="1"/>
  <c r="X363" i="1"/>
  <c r="S363" i="1"/>
  <c r="X362" i="1"/>
  <c r="S362" i="1"/>
  <c r="X360" i="1"/>
  <c r="S360" i="1"/>
  <c r="X359" i="1"/>
  <c r="S359" i="1"/>
  <c r="Y359" i="1" s="1"/>
  <c r="X358" i="1"/>
  <c r="S358" i="1"/>
  <c r="X357" i="1"/>
  <c r="S357" i="1"/>
  <c r="X356" i="1"/>
  <c r="S356" i="1"/>
  <c r="Y356" i="1" s="1"/>
  <c r="X355" i="1"/>
  <c r="S355" i="1"/>
  <c r="X354" i="1"/>
  <c r="S354" i="1"/>
  <c r="Y354" i="1" s="1"/>
  <c r="X353" i="1"/>
  <c r="S353" i="1"/>
  <c r="Y353" i="1" s="1"/>
  <c r="X352" i="1"/>
  <c r="S352" i="1"/>
  <c r="X350" i="1"/>
  <c r="S350" i="1"/>
  <c r="Y350" i="1" s="1"/>
  <c r="X347" i="1"/>
  <c r="S347" i="1"/>
  <c r="S271" i="1"/>
  <c r="X271" i="1"/>
  <c r="Y271" i="1" s="1"/>
  <c r="X273" i="1"/>
  <c r="S273" i="1"/>
  <c r="Y273" i="1" s="1"/>
  <c r="S272" i="1"/>
  <c r="X272" i="1"/>
  <c r="S298" i="1"/>
  <c r="X298" i="1"/>
  <c r="S299" i="1"/>
  <c r="X299" i="1"/>
  <c r="S300" i="1"/>
  <c r="X300" i="1"/>
  <c r="X309" i="1"/>
  <c r="S309" i="1"/>
  <c r="W339" i="1"/>
  <c r="V339" i="1"/>
  <c r="U339" i="1"/>
  <c r="T339" i="1"/>
  <c r="R339" i="1"/>
  <c r="Q339" i="1"/>
  <c r="P339" i="1"/>
  <c r="O339" i="1"/>
  <c r="X329" i="1"/>
  <c r="S329" i="1"/>
  <c r="Y329" i="1" s="1"/>
  <c r="X328" i="1"/>
  <c r="S328" i="1"/>
  <c r="Y328" i="1" s="1"/>
  <c r="X327" i="1"/>
  <c r="S327" i="1"/>
  <c r="Y327" i="1" s="1"/>
  <c r="X326" i="1"/>
  <c r="S326" i="1"/>
  <c r="X325" i="1"/>
  <c r="S325" i="1"/>
  <c r="Y325" i="1" s="1"/>
  <c r="X324" i="1"/>
  <c r="S324" i="1"/>
  <c r="X323" i="1"/>
  <c r="S323" i="1"/>
  <c r="Y323" i="1" s="1"/>
  <c r="X322" i="1"/>
  <c r="S322" i="1"/>
  <c r="X321" i="1"/>
  <c r="S321" i="1"/>
  <c r="Y321" i="1" s="1"/>
  <c r="X320" i="1"/>
  <c r="S320" i="1"/>
  <c r="X319" i="1"/>
  <c r="S319" i="1"/>
  <c r="X318" i="1"/>
  <c r="S318" i="1"/>
  <c r="X317" i="1"/>
  <c r="S317" i="1"/>
  <c r="X316" i="1"/>
  <c r="S316" i="1"/>
  <c r="Y316" i="1" s="1"/>
  <c r="X315" i="1"/>
  <c r="S315" i="1"/>
  <c r="Y315" i="1" s="1"/>
  <c r="X314" i="1"/>
  <c r="S314" i="1"/>
  <c r="X312" i="1"/>
  <c r="S312" i="1"/>
  <c r="Y312" i="1" s="1"/>
  <c r="X208" i="1"/>
  <c r="S208" i="1"/>
  <c r="P187" i="1"/>
  <c r="O187" i="1"/>
  <c r="Q187" i="1"/>
  <c r="R187" i="1"/>
  <c r="X205" i="1"/>
  <c r="S205" i="1"/>
  <c r="Y205" i="1" s="1"/>
  <c r="X204" i="1"/>
  <c r="S204" i="1"/>
  <c r="Y204" i="1" s="1"/>
  <c r="J238" i="1"/>
  <c r="K238" i="1" s="1"/>
  <c r="W301" i="1"/>
  <c r="V301" i="1"/>
  <c r="U301" i="1"/>
  <c r="T301" i="1"/>
  <c r="R301" i="1"/>
  <c r="Q301" i="1"/>
  <c r="P301" i="1"/>
  <c r="O301" i="1"/>
  <c r="J301" i="1"/>
  <c r="I301" i="1"/>
  <c r="H301" i="1"/>
  <c r="G301" i="1"/>
  <c r="E301" i="1"/>
  <c r="D301" i="1"/>
  <c r="C301" i="1"/>
  <c r="B301" i="1"/>
  <c r="K300" i="1"/>
  <c r="F300" i="1"/>
  <c r="K299" i="1"/>
  <c r="F299" i="1"/>
  <c r="K298" i="1"/>
  <c r="F298" i="1"/>
  <c r="X297" i="1"/>
  <c r="S297" i="1"/>
  <c r="K297" i="1"/>
  <c r="F297" i="1"/>
  <c r="X296" i="1"/>
  <c r="S296" i="1"/>
  <c r="K296" i="1"/>
  <c r="F296" i="1"/>
  <c r="X295" i="1"/>
  <c r="S295" i="1"/>
  <c r="K295" i="1"/>
  <c r="F295" i="1"/>
  <c r="X294" i="1"/>
  <c r="S294" i="1"/>
  <c r="K294" i="1"/>
  <c r="F294" i="1"/>
  <c r="X293" i="1"/>
  <c r="S293" i="1"/>
  <c r="K293" i="1"/>
  <c r="F293" i="1"/>
  <c r="X292" i="1"/>
  <c r="S292" i="1"/>
  <c r="K292" i="1"/>
  <c r="F292" i="1"/>
  <c r="X291" i="1"/>
  <c r="S291" i="1"/>
  <c r="K291" i="1"/>
  <c r="F291" i="1"/>
  <c r="X290" i="1"/>
  <c r="S290" i="1"/>
  <c r="K290" i="1"/>
  <c r="F290" i="1"/>
  <c r="X289" i="1"/>
  <c r="S289" i="1"/>
  <c r="K289" i="1"/>
  <c r="F289" i="1"/>
  <c r="X288" i="1"/>
  <c r="S288" i="1"/>
  <c r="K288" i="1"/>
  <c r="F288" i="1"/>
  <c r="X287" i="1"/>
  <c r="S287" i="1"/>
  <c r="K287" i="1"/>
  <c r="F287" i="1"/>
  <c r="X286" i="1"/>
  <c r="S286" i="1"/>
  <c r="K286" i="1"/>
  <c r="F286" i="1"/>
  <c r="X285" i="1"/>
  <c r="S285" i="1"/>
  <c r="K285" i="1"/>
  <c r="F285" i="1"/>
  <c r="X284" i="1"/>
  <c r="S284" i="1"/>
  <c r="K284" i="1"/>
  <c r="F284" i="1"/>
  <c r="X283" i="1"/>
  <c r="S283" i="1"/>
  <c r="K283" i="1"/>
  <c r="F283" i="1"/>
  <c r="X282" i="1"/>
  <c r="S282" i="1"/>
  <c r="K282" i="1"/>
  <c r="F282" i="1"/>
  <c r="X281" i="1"/>
  <c r="S281" i="1"/>
  <c r="K281" i="1"/>
  <c r="F281" i="1"/>
  <c r="X280" i="1"/>
  <c r="S280" i="1"/>
  <c r="K280" i="1"/>
  <c r="F280" i="1"/>
  <c r="X279" i="1"/>
  <c r="S279" i="1"/>
  <c r="K279" i="1"/>
  <c r="F279" i="1"/>
  <c r="X278" i="1"/>
  <c r="S278" i="1"/>
  <c r="K278" i="1"/>
  <c r="F278" i="1"/>
  <c r="X277" i="1"/>
  <c r="S277" i="1"/>
  <c r="K277" i="1"/>
  <c r="F277" i="1"/>
  <c r="X276" i="1"/>
  <c r="S276" i="1"/>
  <c r="K276" i="1"/>
  <c r="F276" i="1"/>
  <c r="X274" i="1"/>
  <c r="S274" i="1"/>
  <c r="K274" i="1"/>
  <c r="F274" i="1"/>
  <c r="K273" i="1"/>
  <c r="F273" i="1"/>
  <c r="K272" i="1"/>
  <c r="F272" i="1"/>
  <c r="K271" i="1"/>
  <c r="F271" i="1"/>
  <c r="S196" i="1"/>
  <c r="Y196" i="1" s="1"/>
  <c r="X196" i="1"/>
  <c r="S222" i="1"/>
  <c r="X222" i="1"/>
  <c r="S223" i="1"/>
  <c r="X223" i="1"/>
  <c r="S224" i="1"/>
  <c r="X224" i="1"/>
  <c r="S260" i="1"/>
  <c r="X260" i="1"/>
  <c r="S261" i="1"/>
  <c r="X261" i="1"/>
  <c r="S238" i="1"/>
  <c r="X238" i="1"/>
  <c r="W263" i="1"/>
  <c r="V263" i="1"/>
  <c r="U263" i="1"/>
  <c r="T263" i="1"/>
  <c r="R263" i="1"/>
  <c r="Q263" i="1"/>
  <c r="P263" i="1"/>
  <c r="O263" i="1"/>
  <c r="X262" i="1"/>
  <c r="S262" i="1"/>
  <c r="X259" i="1"/>
  <c r="S259" i="1"/>
  <c r="X258" i="1"/>
  <c r="S258" i="1"/>
  <c r="X257" i="1"/>
  <c r="S257" i="1"/>
  <c r="X256" i="1"/>
  <c r="S256" i="1"/>
  <c r="X255" i="1"/>
  <c r="S255" i="1"/>
  <c r="X254" i="1"/>
  <c r="S254" i="1"/>
  <c r="X253" i="1"/>
  <c r="S253" i="1"/>
  <c r="X252" i="1"/>
  <c r="S252" i="1"/>
  <c r="X251" i="1"/>
  <c r="Y251" i="1" s="1"/>
  <c r="S251" i="1"/>
  <c r="X250" i="1"/>
  <c r="S250" i="1"/>
  <c r="X249" i="1"/>
  <c r="S249" i="1"/>
  <c r="X248" i="1"/>
  <c r="S248" i="1"/>
  <c r="Y247" i="1"/>
  <c r="X247" i="1"/>
  <c r="S247" i="1"/>
  <c r="X246" i="1"/>
  <c r="S246" i="1"/>
  <c r="X245" i="1"/>
  <c r="S245" i="1"/>
  <c r="X244" i="1"/>
  <c r="S244" i="1"/>
  <c r="Y244" i="1" s="1"/>
  <c r="X243" i="1"/>
  <c r="S243" i="1"/>
  <c r="Y243" i="1" s="1"/>
  <c r="X242" i="1"/>
  <c r="S242" i="1"/>
  <c r="X241" i="1"/>
  <c r="S241" i="1"/>
  <c r="X239" i="1"/>
  <c r="S239" i="1"/>
  <c r="X236" i="1"/>
  <c r="S236" i="1"/>
  <c r="Y236" i="1" s="1"/>
  <c r="X235" i="1"/>
  <c r="S235" i="1"/>
  <c r="X234" i="1"/>
  <c r="S234" i="1"/>
  <c r="X233" i="1"/>
  <c r="S233" i="1"/>
  <c r="F238" i="1"/>
  <c r="F239" i="1"/>
  <c r="K239" i="1"/>
  <c r="F240" i="1"/>
  <c r="K240" i="1"/>
  <c r="F241" i="1"/>
  <c r="K241" i="1"/>
  <c r="F242" i="1"/>
  <c r="K242" i="1"/>
  <c r="F243" i="1"/>
  <c r="K243" i="1"/>
  <c r="F244" i="1"/>
  <c r="K244" i="1"/>
  <c r="F245" i="1"/>
  <c r="K245" i="1"/>
  <c r="F246" i="1"/>
  <c r="L246" i="1" s="1"/>
  <c r="K246" i="1"/>
  <c r="F247" i="1"/>
  <c r="K247" i="1"/>
  <c r="F248" i="1"/>
  <c r="K248" i="1"/>
  <c r="F249" i="1"/>
  <c r="K249" i="1"/>
  <c r="F250" i="1"/>
  <c r="L250" i="1" s="1"/>
  <c r="K250" i="1"/>
  <c r="F251" i="1"/>
  <c r="K251" i="1"/>
  <c r="F252" i="1"/>
  <c r="K252" i="1"/>
  <c r="F253" i="1"/>
  <c r="K253" i="1"/>
  <c r="F254" i="1"/>
  <c r="L254" i="1" s="1"/>
  <c r="K254" i="1"/>
  <c r="F255" i="1"/>
  <c r="K255" i="1"/>
  <c r="H263" i="1"/>
  <c r="G263" i="1"/>
  <c r="E263" i="1"/>
  <c r="D263" i="1"/>
  <c r="C263" i="1"/>
  <c r="B263" i="1"/>
  <c r="K262" i="1"/>
  <c r="F262" i="1"/>
  <c r="K261" i="1"/>
  <c r="F261" i="1"/>
  <c r="K260" i="1"/>
  <c r="F260" i="1"/>
  <c r="K259" i="1"/>
  <c r="F259" i="1"/>
  <c r="K258" i="1"/>
  <c r="F258" i="1"/>
  <c r="K257" i="1"/>
  <c r="F257" i="1"/>
  <c r="K256" i="1"/>
  <c r="F256" i="1"/>
  <c r="K236" i="1"/>
  <c r="F236" i="1"/>
  <c r="K235" i="1"/>
  <c r="F235" i="1"/>
  <c r="K234" i="1"/>
  <c r="F234" i="1"/>
  <c r="K233" i="1"/>
  <c r="F233" i="1"/>
  <c r="X176" i="1"/>
  <c r="S176" i="1"/>
  <c r="F211" i="1"/>
  <c r="K211" i="1"/>
  <c r="K210" i="1"/>
  <c r="F210" i="1"/>
  <c r="X174" i="1"/>
  <c r="S174" i="1"/>
  <c r="I202" i="1"/>
  <c r="K202" i="1" s="1"/>
  <c r="X168" i="1"/>
  <c r="S168" i="1"/>
  <c r="X166" i="1"/>
  <c r="S166" i="1"/>
  <c r="Y166" i="1" s="1"/>
  <c r="G200" i="1"/>
  <c r="G225" i="1" s="1"/>
  <c r="X165" i="1"/>
  <c r="S165" i="1"/>
  <c r="X162" i="1"/>
  <c r="S162" i="1"/>
  <c r="X143" i="1"/>
  <c r="S143" i="1"/>
  <c r="X141" i="1"/>
  <c r="S141" i="1"/>
  <c r="X140" i="1"/>
  <c r="S140" i="1"/>
  <c r="X160" i="1"/>
  <c r="S160" i="1"/>
  <c r="X159" i="1"/>
  <c r="S159" i="1"/>
  <c r="X139" i="1"/>
  <c r="S139" i="1"/>
  <c r="X133" i="1"/>
  <c r="S133" i="1"/>
  <c r="X158" i="1"/>
  <c r="S158" i="1"/>
  <c r="S181" i="1"/>
  <c r="X181" i="1"/>
  <c r="X186" i="1"/>
  <c r="X130" i="1"/>
  <c r="S130" i="1"/>
  <c r="Y130" i="1" s="1"/>
  <c r="J225" i="1"/>
  <c r="I225" i="1"/>
  <c r="H225" i="1"/>
  <c r="E225" i="1"/>
  <c r="D225" i="1"/>
  <c r="C225" i="1"/>
  <c r="B225" i="1"/>
  <c r="K224" i="1"/>
  <c r="F224" i="1"/>
  <c r="K223" i="1"/>
  <c r="F223" i="1"/>
  <c r="K222" i="1"/>
  <c r="F222" i="1"/>
  <c r="K221" i="1"/>
  <c r="F221" i="1"/>
  <c r="K220" i="1"/>
  <c r="F220" i="1"/>
  <c r="K219" i="1"/>
  <c r="F219" i="1"/>
  <c r="K218" i="1"/>
  <c r="F218" i="1"/>
  <c r="K217" i="1"/>
  <c r="F217" i="1"/>
  <c r="K216" i="1"/>
  <c r="F216" i="1"/>
  <c r="K215" i="1"/>
  <c r="F215" i="1"/>
  <c r="K214" i="1"/>
  <c r="F214" i="1"/>
  <c r="L214" i="1" s="1"/>
  <c r="K213" i="1"/>
  <c r="F213" i="1"/>
  <c r="K212" i="1"/>
  <c r="F212" i="1"/>
  <c r="K209" i="1"/>
  <c r="F209" i="1"/>
  <c r="K208" i="1"/>
  <c r="F208" i="1"/>
  <c r="K207" i="1"/>
  <c r="F207" i="1"/>
  <c r="K206" i="1"/>
  <c r="F206" i="1"/>
  <c r="L206" i="1" s="1"/>
  <c r="K205" i="1"/>
  <c r="F205" i="1"/>
  <c r="K204" i="1"/>
  <c r="F204" i="1"/>
  <c r="K203" i="1"/>
  <c r="F203" i="1"/>
  <c r="F202" i="1"/>
  <c r="K201" i="1"/>
  <c r="F201" i="1"/>
  <c r="K200" i="1"/>
  <c r="F200" i="1"/>
  <c r="K198" i="1"/>
  <c r="F198" i="1"/>
  <c r="L198" i="1" s="1"/>
  <c r="K197" i="1"/>
  <c r="F197" i="1"/>
  <c r="K196" i="1"/>
  <c r="F196" i="1"/>
  <c r="K195" i="1"/>
  <c r="F195" i="1"/>
  <c r="S219" i="1"/>
  <c r="X219" i="1"/>
  <c r="S220" i="1"/>
  <c r="X220" i="1"/>
  <c r="S221" i="1"/>
  <c r="X221" i="1"/>
  <c r="S195" i="1"/>
  <c r="X195" i="1"/>
  <c r="S197" i="1"/>
  <c r="X197" i="1"/>
  <c r="W225" i="1"/>
  <c r="V225" i="1"/>
  <c r="U225" i="1"/>
  <c r="T225" i="1"/>
  <c r="R225" i="1"/>
  <c r="Q225" i="1"/>
  <c r="P225" i="1"/>
  <c r="O225" i="1"/>
  <c r="X218" i="1"/>
  <c r="S218" i="1"/>
  <c r="X217" i="1"/>
  <c r="S217" i="1"/>
  <c r="X216" i="1"/>
  <c r="S216" i="1"/>
  <c r="X215" i="1"/>
  <c r="S215" i="1"/>
  <c r="Y215" i="1" s="1"/>
  <c r="X214" i="1"/>
  <c r="S214" i="1"/>
  <c r="X213" i="1"/>
  <c r="S213" i="1"/>
  <c r="X212" i="1"/>
  <c r="S212" i="1"/>
  <c r="X211" i="1"/>
  <c r="S211" i="1"/>
  <c r="X210" i="1"/>
  <c r="S210" i="1"/>
  <c r="X209" i="1"/>
  <c r="S209" i="1"/>
  <c r="X207" i="1"/>
  <c r="S207" i="1"/>
  <c r="X206" i="1"/>
  <c r="S206" i="1"/>
  <c r="Y206" i="1" s="1"/>
  <c r="X203" i="1"/>
  <c r="S203" i="1"/>
  <c r="X202" i="1"/>
  <c r="S202" i="1"/>
  <c r="X201" i="1"/>
  <c r="S201" i="1"/>
  <c r="X200" i="1"/>
  <c r="S200" i="1"/>
  <c r="X198" i="1"/>
  <c r="S198" i="1"/>
  <c r="X185" i="1"/>
  <c r="S185" i="1"/>
  <c r="S184" i="1"/>
  <c r="X183" i="1"/>
  <c r="S183" i="1"/>
  <c r="X182" i="1"/>
  <c r="S182" i="1"/>
  <c r="X145" i="1"/>
  <c r="S145" i="1"/>
  <c r="S108" i="1"/>
  <c r="X108" i="1"/>
  <c r="S109" i="1"/>
  <c r="X109" i="1"/>
  <c r="S110" i="1"/>
  <c r="Y110" i="1" s="1"/>
  <c r="X110" i="1"/>
  <c r="S102" i="1"/>
  <c r="X102" i="1"/>
  <c r="S103" i="1"/>
  <c r="X103" i="1"/>
  <c r="X125" i="1"/>
  <c r="S125" i="1"/>
  <c r="X124" i="1"/>
  <c r="S124" i="1"/>
  <c r="V149" i="1"/>
  <c r="Q149" i="1"/>
  <c r="O149" i="1"/>
  <c r="W120" i="1"/>
  <c r="V120" i="1"/>
  <c r="Q120" i="1"/>
  <c r="S120" i="1" s="1"/>
  <c r="S82" i="1"/>
  <c r="X82" i="1"/>
  <c r="S106" i="1"/>
  <c r="X106" i="1"/>
  <c r="S107" i="1"/>
  <c r="Y107" i="1" s="1"/>
  <c r="X107" i="1"/>
  <c r="W111" i="1"/>
  <c r="X148" i="1"/>
  <c r="S148" i="1"/>
  <c r="X147" i="1"/>
  <c r="S147" i="1"/>
  <c r="S144" i="1"/>
  <c r="X144" i="1"/>
  <c r="S121" i="1"/>
  <c r="X121" i="1"/>
  <c r="S122" i="1"/>
  <c r="X122" i="1"/>
  <c r="S119" i="1"/>
  <c r="X119" i="1"/>
  <c r="F158" i="1"/>
  <c r="K158" i="1"/>
  <c r="F159" i="1"/>
  <c r="K159" i="1"/>
  <c r="F157" i="1"/>
  <c r="K157" i="1"/>
  <c r="F162" i="1"/>
  <c r="K162" i="1"/>
  <c r="F163" i="1"/>
  <c r="L163" i="1" s="1"/>
  <c r="K163" i="1"/>
  <c r="F164" i="1"/>
  <c r="K164" i="1"/>
  <c r="F165" i="1"/>
  <c r="K165" i="1"/>
  <c r="F166" i="1"/>
  <c r="K166" i="1"/>
  <c r="F167" i="1"/>
  <c r="K167" i="1"/>
  <c r="F168" i="1"/>
  <c r="K168" i="1"/>
  <c r="F169" i="1"/>
  <c r="K169" i="1"/>
  <c r="F170" i="1"/>
  <c r="K170" i="1"/>
  <c r="W187" i="1"/>
  <c r="V187" i="1"/>
  <c r="U187" i="1"/>
  <c r="T187" i="1"/>
  <c r="J187" i="1"/>
  <c r="I187" i="1"/>
  <c r="H187" i="1"/>
  <c r="G187" i="1"/>
  <c r="E187" i="1"/>
  <c r="D187" i="1"/>
  <c r="C187" i="1"/>
  <c r="B187" i="1"/>
  <c r="K186" i="1"/>
  <c r="F186" i="1"/>
  <c r="K185" i="1"/>
  <c r="F185" i="1"/>
  <c r="K184" i="1"/>
  <c r="F184" i="1"/>
  <c r="K183" i="1"/>
  <c r="F183" i="1"/>
  <c r="K182" i="1"/>
  <c r="F182" i="1"/>
  <c r="K181" i="1"/>
  <c r="F181" i="1"/>
  <c r="X180" i="1"/>
  <c r="S180" i="1"/>
  <c r="K180" i="1"/>
  <c r="F180" i="1"/>
  <c r="X179" i="1"/>
  <c r="S179" i="1"/>
  <c r="K179" i="1"/>
  <c r="F179" i="1"/>
  <c r="X178" i="1"/>
  <c r="S178" i="1"/>
  <c r="K178" i="1"/>
  <c r="F178" i="1"/>
  <c r="X177" i="1"/>
  <c r="S177" i="1"/>
  <c r="K177" i="1"/>
  <c r="F177" i="1"/>
  <c r="K176" i="1"/>
  <c r="F176" i="1"/>
  <c r="X175" i="1"/>
  <c r="S175" i="1"/>
  <c r="K175" i="1"/>
  <c r="F175" i="1"/>
  <c r="K174" i="1"/>
  <c r="F174" i="1"/>
  <c r="X173" i="1"/>
  <c r="S173" i="1"/>
  <c r="K173" i="1"/>
  <c r="F173" i="1"/>
  <c r="X172" i="1"/>
  <c r="S172" i="1"/>
  <c r="K172" i="1"/>
  <c r="F172" i="1"/>
  <c r="X171" i="1"/>
  <c r="S171" i="1"/>
  <c r="K171" i="1"/>
  <c r="F171" i="1"/>
  <c r="X170" i="1"/>
  <c r="S170" i="1"/>
  <c r="X169" i="1"/>
  <c r="S169" i="1"/>
  <c r="X167" i="1"/>
  <c r="S167" i="1"/>
  <c r="X164" i="1"/>
  <c r="S164" i="1"/>
  <c r="X163" i="1"/>
  <c r="S163" i="1"/>
  <c r="K160" i="1"/>
  <c r="F160" i="1"/>
  <c r="X157" i="1"/>
  <c r="S157" i="1"/>
  <c r="X45" i="1"/>
  <c r="S45" i="1"/>
  <c r="T111" i="1"/>
  <c r="X95" i="1"/>
  <c r="S95" i="1"/>
  <c r="X94" i="1"/>
  <c r="S94" i="1"/>
  <c r="X65" i="1"/>
  <c r="S65" i="1"/>
  <c r="S62" i="1"/>
  <c r="X62" i="1"/>
  <c r="K91" i="1"/>
  <c r="F91" i="1"/>
  <c r="L91" i="1" s="1"/>
  <c r="K83" i="1"/>
  <c r="F83" i="1"/>
  <c r="W73" i="1"/>
  <c r="V73" i="1"/>
  <c r="X69" i="1"/>
  <c r="R73" i="1"/>
  <c r="P73" i="1"/>
  <c r="X68" i="1"/>
  <c r="S68" i="1"/>
  <c r="X67" i="1"/>
  <c r="S67" i="1"/>
  <c r="T149" i="1"/>
  <c r="X55" i="1"/>
  <c r="S55" i="1"/>
  <c r="K68" i="1"/>
  <c r="F68" i="1"/>
  <c r="L68" i="1" s="1"/>
  <c r="F93" i="1"/>
  <c r="K93" i="1"/>
  <c r="F94" i="1"/>
  <c r="K94" i="1"/>
  <c r="F65" i="1"/>
  <c r="K65" i="1"/>
  <c r="F66" i="1"/>
  <c r="K66" i="1"/>
  <c r="L66" i="1" s="1"/>
  <c r="F67" i="1"/>
  <c r="K67" i="1"/>
  <c r="S54" i="1"/>
  <c r="X53" i="1"/>
  <c r="S53" i="1"/>
  <c r="F61" i="1"/>
  <c r="K61" i="1"/>
  <c r="X71" i="1"/>
  <c r="S71" i="1"/>
  <c r="X70" i="1"/>
  <c r="S70" i="1"/>
  <c r="H54" i="1"/>
  <c r="X44" i="1"/>
  <c r="S44" i="1"/>
  <c r="X46" i="1"/>
  <c r="S46" i="1"/>
  <c r="S83" i="1"/>
  <c r="X83" i="1"/>
  <c r="S81" i="1"/>
  <c r="X81" i="1"/>
  <c r="W149" i="1"/>
  <c r="U149" i="1"/>
  <c r="R149" i="1"/>
  <c r="P149" i="1"/>
  <c r="J149" i="1"/>
  <c r="I149" i="1"/>
  <c r="H149" i="1"/>
  <c r="G149" i="1"/>
  <c r="E149" i="1"/>
  <c r="D149" i="1"/>
  <c r="C149" i="1"/>
  <c r="B149" i="1"/>
  <c r="K148" i="1"/>
  <c r="F148" i="1"/>
  <c r="K147" i="1"/>
  <c r="F147" i="1"/>
  <c r="L147" i="1" s="1"/>
  <c r="K146" i="1"/>
  <c r="F146" i="1"/>
  <c r="K145" i="1"/>
  <c r="F145" i="1"/>
  <c r="L145" i="1" s="1"/>
  <c r="K144" i="1"/>
  <c r="F144" i="1"/>
  <c r="K143" i="1"/>
  <c r="F143" i="1"/>
  <c r="L143" i="1" s="1"/>
  <c r="X142" i="1"/>
  <c r="S142" i="1"/>
  <c r="K142" i="1"/>
  <c r="F142" i="1"/>
  <c r="L142" i="1" s="1"/>
  <c r="K141" i="1"/>
  <c r="F141" i="1"/>
  <c r="K140" i="1"/>
  <c r="F140" i="1"/>
  <c r="K139" i="1"/>
  <c r="F139" i="1"/>
  <c r="X138" i="1"/>
  <c r="S138" i="1"/>
  <c r="K138" i="1"/>
  <c r="F138" i="1"/>
  <c r="X137" i="1"/>
  <c r="S137" i="1"/>
  <c r="K137" i="1"/>
  <c r="F137" i="1"/>
  <c r="X136" i="1"/>
  <c r="S136" i="1"/>
  <c r="K136" i="1"/>
  <c r="F136" i="1"/>
  <c r="X135" i="1"/>
  <c r="S135" i="1"/>
  <c r="Y135" i="1" s="1"/>
  <c r="K135" i="1"/>
  <c r="F135" i="1"/>
  <c r="X134" i="1"/>
  <c r="S134" i="1"/>
  <c r="Y134" i="1" s="1"/>
  <c r="K134" i="1"/>
  <c r="F134" i="1"/>
  <c r="K133" i="1"/>
  <c r="F133" i="1"/>
  <c r="X132" i="1"/>
  <c r="S132" i="1"/>
  <c r="K132" i="1"/>
  <c r="F132" i="1"/>
  <c r="L132" i="1" s="1"/>
  <c r="X131" i="1"/>
  <c r="S131" i="1"/>
  <c r="K131" i="1"/>
  <c r="F131" i="1"/>
  <c r="K130" i="1"/>
  <c r="F130" i="1"/>
  <c r="X129" i="1"/>
  <c r="S129" i="1"/>
  <c r="K129" i="1"/>
  <c r="F129" i="1"/>
  <c r="X128" i="1"/>
  <c r="S128" i="1"/>
  <c r="Y128" i="1" s="1"/>
  <c r="K128" i="1"/>
  <c r="F128" i="1"/>
  <c r="X127" i="1"/>
  <c r="S127" i="1"/>
  <c r="K127" i="1"/>
  <c r="F127" i="1"/>
  <c r="X126" i="1"/>
  <c r="S126" i="1"/>
  <c r="K126" i="1"/>
  <c r="F126" i="1"/>
  <c r="K125" i="1"/>
  <c r="F125" i="1"/>
  <c r="K124" i="1"/>
  <c r="F124" i="1"/>
  <c r="K122" i="1"/>
  <c r="F122" i="1"/>
  <c r="K121" i="1"/>
  <c r="F121" i="1"/>
  <c r="K120" i="1"/>
  <c r="F120" i="1"/>
  <c r="K119" i="1"/>
  <c r="F119" i="1"/>
  <c r="X20" i="1"/>
  <c r="S20" i="1"/>
  <c r="Y20" i="1" s="1"/>
  <c r="X19" i="1"/>
  <c r="S19" i="1"/>
  <c r="I48" i="1"/>
  <c r="X18" i="1"/>
  <c r="S18" i="1"/>
  <c r="P35" i="1"/>
  <c r="S34" i="1"/>
  <c r="W35" i="1"/>
  <c r="X13" i="1"/>
  <c r="S13" i="1"/>
  <c r="J111" i="1"/>
  <c r="I111" i="1"/>
  <c r="H111" i="1"/>
  <c r="G111" i="1"/>
  <c r="E111" i="1"/>
  <c r="D111" i="1"/>
  <c r="C111" i="1"/>
  <c r="B111" i="1"/>
  <c r="K110" i="1"/>
  <c r="F110" i="1"/>
  <c r="K109" i="1"/>
  <c r="F109" i="1"/>
  <c r="K108" i="1"/>
  <c r="F108" i="1"/>
  <c r="K107" i="1"/>
  <c r="F107" i="1"/>
  <c r="K106" i="1"/>
  <c r="F106" i="1"/>
  <c r="K105" i="1"/>
  <c r="F105" i="1"/>
  <c r="K104" i="1"/>
  <c r="F104" i="1"/>
  <c r="K103" i="1"/>
  <c r="F103" i="1"/>
  <c r="K102" i="1"/>
  <c r="F102" i="1"/>
  <c r="K101" i="1"/>
  <c r="F101" i="1"/>
  <c r="K100" i="1"/>
  <c r="F100" i="1"/>
  <c r="K99" i="1"/>
  <c r="F99" i="1"/>
  <c r="K98" i="1"/>
  <c r="F98" i="1"/>
  <c r="K97" i="1"/>
  <c r="F97" i="1"/>
  <c r="K96" i="1"/>
  <c r="F96" i="1"/>
  <c r="K95" i="1"/>
  <c r="F95" i="1"/>
  <c r="K92" i="1"/>
  <c r="F92" i="1"/>
  <c r="K90" i="1"/>
  <c r="F90" i="1"/>
  <c r="K89" i="1"/>
  <c r="F89" i="1"/>
  <c r="K88" i="1"/>
  <c r="F88" i="1"/>
  <c r="K87" i="1"/>
  <c r="F87" i="1"/>
  <c r="K86" i="1"/>
  <c r="F86" i="1"/>
  <c r="K84" i="1"/>
  <c r="F84" i="1"/>
  <c r="K82" i="1"/>
  <c r="F82" i="1"/>
  <c r="K81" i="1"/>
  <c r="F81" i="1"/>
  <c r="V111" i="1"/>
  <c r="R111" i="1"/>
  <c r="Q111" i="1"/>
  <c r="P111" i="1"/>
  <c r="O111" i="1"/>
  <c r="X105" i="1"/>
  <c r="S105" i="1"/>
  <c r="X104" i="1"/>
  <c r="S104" i="1"/>
  <c r="X101" i="1"/>
  <c r="S101" i="1"/>
  <c r="X100" i="1"/>
  <c r="S100" i="1"/>
  <c r="X99" i="1"/>
  <c r="S99" i="1"/>
  <c r="X98" i="1"/>
  <c r="S98" i="1"/>
  <c r="X97" i="1"/>
  <c r="S97" i="1"/>
  <c r="X96" i="1"/>
  <c r="S96" i="1"/>
  <c r="X93" i="1"/>
  <c r="S93" i="1"/>
  <c r="X92" i="1"/>
  <c r="S92" i="1"/>
  <c r="X91" i="1"/>
  <c r="S91" i="1"/>
  <c r="X90" i="1"/>
  <c r="S90" i="1"/>
  <c r="X89" i="1"/>
  <c r="S89" i="1"/>
  <c r="X88" i="1"/>
  <c r="S88" i="1"/>
  <c r="X87" i="1"/>
  <c r="S87" i="1"/>
  <c r="X86" i="1"/>
  <c r="S86" i="1"/>
  <c r="X84" i="1"/>
  <c r="S84" i="1"/>
  <c r="X11" i="1"/>
  <c r="S11" i="1"/>
  <c r="U73" i="1"/>
  <c r="T73" i="1"/>
  <c r="Q73" i="1"/>
  <c r="O73" i="1"/>
  <c r="X72" i="1"/>
  <c r="S72" i="1"/>
  <c r="X66" i="1"/>
  <c r="S66" i="1"/>
  <c r="X64" i="1"/>
  <c r="S64" i="1"/>
  <c r="Y64" i="1" s="1"/>
  <c r="X63" i="1"/>
  <c r="S63" i="1"/>
  <c r="X61" i="1"/>
  <c r="S61" i="1"/>
  <c r="X60" i="1"/>
  <c r="S60" i="1"/>
  <c r="X59" i="1"/>
  <c r="S59" i="1"/>
  <c r="Y59" i="1" s="1"/>
  <c r="X58" i="1"/>
  <c r="S58" i="1"/>
  <c r="X57" i="1"/>
  <c r="S57" i="1"/>
  <c r="X56" i="1"/>
  <c r="S56" i="1"/>
  <c r="X54" i="1"/>
  <c r="X52" i="1"/>
  <c r="S52" i="1"/>
  <c r="X51" i="1"/>
  <c r="S51" i="1"/>
  <c r="X50" i="1"/>
  <c r="S50" i="1"/>
  <c r="X49" i="1"/>
  <c r="S49" i="1"/>
  <c r="X48" i="1"/>
  <c r="S48" i="1"/>
  <c r="X43" i="1"/>
  <c r="S43" i="1"/>
  <c r="V35" i="1"/>
  <c r="U35" i="1"/>
  <c r="T35" i="1"/>
  <c r="R35" i="1"/>
  <c r="Q35" i="1"/>
  <c r="O35" i="1"/>
  <c r="X33" i="1"/>
  <c r="S33" i="1"/>
  <c r="X32" i="1"/>
  <c r="S32" i="1"/>
  <c r="X31" i="1"/>
  <c r="S31" i="1"/>
  <c r="X30" i="1"/>
  <c r="S30" i="1"/>
  <c r="X29" i="1"/>
  <c r="S29" i="1"/>
  <c r="X28" i="1"/>
  <c r="S28" i="1"/>
  <c r="X27" i="1"/>
  <c r="S27" i="1"/>
  <c r="X26" i="1"/>
  <c r="S26" i="1"/>
  <c r="X25" i="1"/>
  <c r="S25" i="1"/>
  <c r="X24" i="1"/>
  <c r="S24" i="1"/>
  <c r="X23" i="1"/>
  <c r="S23" i="1"/>
  <c r="X22" i="1"/>
  <c r="S22" i="1"/>
  <c r="X21" i="1"/>
  <c r="S21" i="1"/>
  <c r="X17" i="1"/>
  <c r="S17" i="1"/>
  <c r="X16" i="1"/>
  <c r="S16" i="1"/>
  <c r="X15" i="1"/>
  <c r="S15" i="1"/>
  <c r="X14" i="1"/>
  <c r="S14" i="1"/>
  <c r="X12" i="1"/>
  <c r="S12" i="1"/>
  <c r="X10" i="1"/>
  <c r="S10" i="1"/>
  <c r="W9" i="1"/>
  <c r="V9" i="1"/>
  <c r="U9" i="1"/>
  <c r="T9" i="1"/>
  <c r="R9" i="1"/>
  <c r="Q9" i="1"/>
  <c r="P9" i="1"/>
  <c r="O9" i="1"/>
  <c r="X8" i="1"/>
  <c r="S8" i="1"/>
  <c r="X7" i="1"/>
  <c r="S7" i="1"/>
  <c r="X6" i="1"/>
  <c r="S6" i="1"/>
  <c r="X5" i="1"/>
  <c r="S5" i="1"/>
  <c r="X4" i="1"/>
  <c r="S4" i="1"/>
  <c r="F7" i="1"/>
  <c r="K7" i="1"/>
  <c r="F6" i="1"/>
  <c r="F5" i="1"/>
  <c r="F4" i="1"/>
  <c r="L519" i="1" l="1"/>
  <c r="L517" i="1"/>
  <c r="L515" i="1"/>
  <c r="L514" i="1"/>
  <c r="L513" i="1"/>
  <c r="Y562" i="1"/>
  <c r="Y524" i="1"/>
  <c r="Y527" i="1"/>
  <c r="Y513" i="1"/>
  <c r="L507" i="1"/>
  <c r="Y565" i="1"/>
  <c r="Y566" i="1"/>
  <c r="L505" i="1"/>
  <c r="L504" i="1"/>
  <c r="L499" i="1"/>
  <c r="L474" i="1"/>
  <c r="L473" i="1"/>
  <c r="S567" i="1"/>
  <c r="X567" i="1"/>
  <c r="L567" i="1"/>
  <c r="Y471" i="1"/>
  <c r="Y469" i="1"/>
  <c r="Y448" i="1"/>
  <c r="L447" i="1"/>
  <c r="Y489" i="1"/>
  <c r="P453" i="1"/>
  <c r="S453" i="1" s="1"/>
  <c r="S450" i="1"/>
  <c r="Y450" i="1" s="1"/>
  <c r="Y516" i="1"/>
  <c r="Y337" i="1"/>
  <c r="L436" i="1"/>
  <c r="Y467" i="1"/>
  <c r="Y440" i="1"/>
  <c r="S414" i="1"/>
  <c r="O415" i="1"/>
  <c r="L311" i="1"/>
  <c r="L330" i="1"/>
  <c r="L355" i="1"/>
  <c r="L368" i="1"/>
  <c r="L376" i="1"/>
  <c r="L386" i="1"/>
  <c r="Y394" i="1"/>
  <c r="Y396" i="1"/>
  <c r="Y398" i="1"/>
  <c r="Y400" i="1"/>
  <c r="Y402" i="1"/>
  <c r="Y403" i="1"/>
  <c r="Y404" i="1"/>
  <c r="Y405" i="1"/>
  <c r="Y406" i="1"/>
  <c r="Y407" i="1"/>
  <c r="Y408" i="1"/>
  <c r="L410" i="1"/>
  <c r="L412" i="1"/>
  <c r="L414" i="1"/>
  <c r="Y449" i="1"/>
  <c r="Y487" i="1"/>
  <c r="Y490" i="1"/>
  <c r="Y484" i="1"/>
  <c r="Y486" i="1"/>
  <c r="L500" i="1"/>
  <c r="L508" i="1"/>
  <c r="L524" i="1"/>
  <c r="L260" i="1"/>
  <c r="L255" i="1"/>
  <c r="L245" i="1"/>
  <c r="L241" i="1"/>
  <c r="Y254" i="1"/>
  <c r="Y258" i="1"/>
  <c r="F377" i="1"/>
  <c r="Y331" i="1"/>
  <c r="L467" i="1"/>
  <c r="F491" i="1"/>
  <c r="Y520" i="1"/>
  <c r="Y521" i="1"/>
  <c r="L512" i="1"/>
  <c r="L528" i="1"/>
  <c r="L93" i="1"/>
  <c r="L83" i="1"/>
  <c r="L207" i="1"/>
  <c r="L209" i="1"/>
  <c r="L213" i="1"/>
  <c r="L210" i="1"/>
  <c r="L257" i="1"/>
  <c r="Y253" i="1"/>
  <c r="Y257" i="1"/>
  <c r="Y349" i="1"/>
  <c r="L312" i="1"/>
  <c r="L327" i="1"/>
  <c r="Y330" i="1"/>
  <c r="L452" i="1"/>
  <c r="Y474" i="1"/>
  <c r="Y482" i="1"/>
  <c r="Y373" i="1"/>
  <c r="L461" i="1"/>
  <c r="L463" i="1"/>
  <c r="L476" i="1"/>
  <c r="L483" i="1"/>
  <c r="Y426" i="1"/>
  <c r="Y441" i="1"/>
  <c r="Y488" i="1"/>
  <c r="Y502" i="1"/>
  <c r="Y510" i="1"/>
  <c r="Y519" i="1"/>
  <c r="Y528" i="1"/>
  <c r="Y526" i="1"/>
  <c r="Y483" i="1"/>
  <c r="L511" i="1"/>
  <c r="L516" i="1"/>
  <c r="L518" i="1"/>
  <c r="L527" i="1"/>
  <c r="F529" i="1"/>
  <c r="K529" i="1"/>
  <c r="L425" i="1"/>
  <c r="L434" i="1"/>
  <c r="F453" i="1"/>
  <c r="S529" i="1"/>
  <c r="X529" i="1"/>
  <c r="L424" i="1"/>
  <c r="L423" i="1"/>
  <c r="L429" i="1"/>
  <c r="Y432" i="1"/>
  <c r="Y451" i="1"/>
  <c r="Y425" i="1"/>
  <c r="L403" i="1"/>
  <c r="L402" i="1"/>
  <c r="Y401" i="1"/>
  <c r="L401" i="1"/>
  <c r="F415" i="1"/>
  <c r="Y413" i="1"/>
  <c r="Y452" i="1"/>
  <c r="L388" i="1"/>
  <c r="Y392" i="1"/>
  <c r="L387" i="1"/>
  <c r="L393" i="1"/>
  <c r="L392" i="1"/>
  <c r="Y390" i="1"/>
  <c r="Y371" i="1"/>
  <c r="L391" i="1"/>
  <c r="L390" i="1"/>
  <c r="L375" i="1"/>
  <c r="Y386" i="1"/>
  <c r="Y375" i="1"/>
  <c r="L369" i="1"/>
  <c r="Y364" i="1"/>
  <c r="L95" i="1"/>
  <c r="L171" i="1"/>
  <c r="Y175" i="1"/>
  <c r="Y122" i="1"/>
  <c r="Y198" i="1"/>
  <c r="Y214" i="1"/>
  <c r="Y133" i="1"/>
  <c r="Y140" i="1"/>
  <c r="Y165" i="1"/>
  <c r="Y174" i="1"/>
  <c r="L253" i="1"/>
  <c r="L249" i="1"/>
  <c r="Y248" i="1"/>
  <c r="L271" i="1"/>
  <c r="Y274" i="1"/>
  <c r="Y287" i="1"/>
  <c r="Y289" i="1"/>
  <c r="Y291" i="1"/>
  <c r="Y293" i="1"/>
  <c r="Y295" i="1"/>
  <c r="Y297" i="1"/>
  <c r="L238" i="1"/>
  <c r="Y319" i="1"/>
  <c r="Y365" i="1"/>
  <c r="L310" i="1"/>
  <c r="L319" i="1"/>
  <c r="L323" i="1"/>
  <c r="L426" i="1"/>
  <c r="L433" i="1"/>
  <c r="L435" i="1"/>
  <c r="Y436" i="1"/>
  <c r="L451" i="1"/>
  <c r="Y470" i="1"/>
  <c r="Y481" i="1"/>
  <c r="Y414" i="1"/>
  <c r="L464" i="1"/>
  <c r="L472" i="1"/>
  <c r="Y299" i="1"/>
  <c r="Y357" i="1"/>
  <c r="L331" i="1"/>
  <c r="L365" i="1"/>
  <c r="Y429" i="1"/>
  <c r="Y388" i="1"/>
  <c r="L167" i="1"/>
  <c r="L252" i="1"/>
  <c r="L248" i="1"/>
  <c r="L240" i="1"/>
  <c r="Y238" i="1"/>
  <c r="L316" i="1"/>
  <c r="Y433" i="1"/>
  <c r="Y372" i="1"/>
  <c r="L466" i="1"/>
  <c r="L484" i="1"/>
  <c r="Y424" i="1"/>
  <c r="L361" i="1"/>
  <c r="Y56" i="1"/>
  <c r="Y60" i="1"/>
  <c r="Y66" i="1"/>
  <c r="Y11" i="1"/>
  <c r="Y92" i="1"/>
  <c r="Y104" i="1"/>
  <c r="Y18" i="1"/>
  <c r="L67" i="1"/>
  <c r="L172" i="1"/>
  <c r="L174" i="1"/>
  <c r="L179" i="1"/>
  <c r="L181" i="1"/>
  <c r="L185" i="1"/>
  <c r="L170" i="1"/>
  <c r="X120" i="1"/>
  <c r="Y103" i="1"/>
  <c r="Y201" i="1"/>
  <c r="Y207" i="1"/>
  <c r="Y195" i="1"/>
  <c r="Y143" i="1"/>
  <c r="Y242" i="1"/>
  <c r="Y276" i="1"/>
  <c r="Y282" i="1"/>
  <c r="Y286" i="1"/>
  <c r="Y288" i="1"/>
  <c r="Y290" i="1"/>
  <c r="Y292" i="1"/>
  <c r="Y294" i="1"/>
  <c r="Y296" i="1"/>
  <c r="L299" i="1"/>
  <c r="Y367" i="1"/>
  <c r="Q377" i="1"/>
  <c r="S377" i="1" s="1"/>
  <c r="L317" i="1"/>
  <c r="L321" i="1"/>
  <c r="L325" i="1"/>
  <c r="L374" i="1"/>
  <c r="Y336" i="1"/>
  <c r="Y437" i="1"/>
  <c r="K453" i="1"/>
  <c r="Y464" i="1"/>
  <c r="Y472" i="1"/>
  <c r="L462" i="1"/>
  <c r="L470" i="1"/>
  <c r="L481" i="1"/>
  <c r="Y387" i="1"/>
  <c r="Y361" i="1"/>
  <c r="Y84" i="1"/>
  <c r="Y93" i="1"/>
  <c r="Y105" i="1"/>
  <c r="L165" i="1"/>
  <c r="Y102" i="1"/>
  <c r="Y209" i="1"/>
  <c r="Y217" i="1"/>
  <c r="L201" i="1"/>
  <c r="Y176" i="1"/>
  <c r="L242" i="1"/>
  <c r="Y255" i="1"/>
  <c r="Y259" i="1"/>
  <c r="Y326" i="1"/>
  <c r="Y309" i="1"/>
  <c r="Y272" i="1"/>
  <c r="L309" i="1"/>
  <c r="L318" i="1"/>
  <c r="L326" i="1"/>
  <c r="Y332" i="1"/>
  <c r="Y428" i="1"/>
  <c r="Y434" i="1"/>
  <c r="L442" i="1"/>
  <c r="L478" i="1"/>
  <c r="K491" i="1"/>
  <c r="K415" i="1"/>
  <c r="L450" i="1"/>
  <c r="Y466" i="1"/>
  <c r="S412" i="1"/>
  <c r="L468" i="1"/>
  <c r="L482" i="1"/>
  <c r="X491" i="1"/>
  <c r="S491" i="1"/>
  <c r="Y376" i="1"/>
  <c r="Y362" i="1"/>
  <c r="L360" i="1"/>
  <c r="L359" i="1"/>
  <c r="L349" i="1"/>
  <c r="Y347" i="1"/>
  <c r="L357" i="1"/>
  <c r="Y411" i="1"/>
  <c r="X374" i="1"/>
  <c r="Y374" i="1" s="1"/>
  <c r="P415" i="1"/>
  <c r="S415" i="1" s="1"/>
  <c r="X412" i="1"/>
  <c r="Y412" i="1" s="1"/>
  <c r="Y358" i="1"/>
  <c r="X453" i="1"/>
  <c r="L347" i="1"/>
  <c r="L354" i="1"/>
  <c r="L353" i="1"/>
  <c r="L352" i="1"/>
  <c r="Y369" i="1"/>
  <c r="L336" i="1"/>
  <c r="L333" i="1"/>
  <c r="X415" i="1"/>
  <c r="Y320" i="1"/>
  <c r="L320" i="1"/>
  <c r="L315" i="1"/>
  <c r="Y284" i="1"/>
  <c r="L314" i="1"/>
  <c r="F339" i="1"/>
  <c r="Y385" i="1"/>
  <c r="Y391" i="1"/>
  <c r="Y393" i="1"/>
  <c r="Y395" i="1"/>
  <c r="Y397" i="1"/>
  <c r="Y399" i="1"/>
  <c r="Y314" i="1"/>
  <c r="L119" i="1"/>
  <c r="L124" i="1"/>
  <c r="L127" i="1"/>
  <c r="L134" i="1"/>
  <c r="L136" i="1"/>
  <c r="L138" i="1"/>
  <c r="L148" i="1"/>
  <c r="Y67" i="1"/>
  <c r="L176" i="1"/>
  <c r="Y178" i="1"/>
  <c r="Y180" i="1"/>
  <c r="L184" i="1"/>
  <c r="L159" i="1"/>
  <c r="Y162" i="1"/>
  <c r="Y249" i="1"/>
  <c r="Y256" i="1"/>
  <c r="L279" i="1"/>
  <c r="L283" i="1"/>
  <c r="L287" i="1"/>
  <c r="L291" i="1"/>
  <c r="L295" i="1"/>
  <c r="L297" i="1"/>
  <c r="L300" i="1"/>
  <c r="Y317" i="1"/>
  <c r="Y324" i="1"/>
  <c r="Y360" i="1"/>
  <c r="Y363" i="1"/>
  <c r="L338" i="1"/>
  <c r="L372" i="1"/>
  <c r="L324" i="1"/>
  <c r="L87" i="1"/>
  <c r="Y95" i="1"/>
  <c r="L217" i="1"/>
  <c r="L262" i="1"/>
  <c r="J263" i="1"/>
  <c r="Y250" i="1"/>
  <c r="Y318" i="1"/>
  <c r="Y300" i="1"/>
  <c r="L328" i="1"/>
  <c r="L362" i="1"/>
  <c r="L128" i="1"/>
  <c r="L137" i="1"/>
  <c r="L146" i="1"/>
  <c r="Y44" i="1"/>
  <c r="L175" i="1"/>
  <c r="Y177" i="1"/>
  <c r="L169" i="1"/>
  <c r="Y119" i="1"/>
  <c r="Y197" i="1"/>
  <c r="Y139" i="1"/>
  <c r="Y141" i="1"/>
  <c r="L236" i="1"/>
  <c r="Y233" i="1"/>
  <c r="Y239" i="1"/>
  <c r="L272" i="1"/>
  <c r="L278" i="1"/>
  <c r="L280" i="1"/>
  <c r="L286" i="1"/>
  <c r="L294" i="1"/>
  <c r="L298" i="1"/>
  <c r="Y322" i="1"/>
  <c r="Y352" i="1"/>
  <c r="Y355" i="1"/>
  <c r="Y368" i="1"/>
  <c r="L322" i="1"/>
  <c r="L329" i="1"/>
  <c r="L332" i="1"/>
  <c r="L348" i="1"/>
  <c r="L356" i="1"/>
  <c r="L363" i="1"/>
  <c r="L366" i="1"/>
  <c r="L239" i="1"/>
  <c r="L350" i="1"/>
  <c r="Y100" i="1"/>
  <c r="Y55" i="1"/>
  <c r="Y62" i="1"/>
  <c r="L367" i="1"/>
  <c r="L370" i="1"/>
  <c r="L220" i="1"/>
  <c r="S9" i="1"/>
  <c r="Y9" i="1" s="1"/>
  <c r="L168" i="1"/>
  <c r="Y212" i="1"/>
  <c r="L204" i="1"/>
  <c r="Y181" i="1"/>
  <c r="L259" i="1"/>
  <c r="K339" i="1"/>
  <c r="L364" i="1"/>
  <c r="L371" i="1"/>
  <c r="Y246" i="1"/>
  <c r="L358" i="1"/>
  <c r="X9" i="1"/>
  <c r="Y91" i="1"/>
  <c r="L96" i="1"/>
  <c r="L94" i="1"/>
  <c r="Y65" i="1"/>
  <c r="L215" i="1"/>
  <c r="Y168" i="1"/>
  <c r="L247" i="1"/>
  <c r="L244" i="1"/>
  <c r="Y234" i="1"/>
  <c r="Y245" i="1"/>
  <c r="Y252" i="1"/>
  <c r="Y222" i="1"/>
  <c r="Y298" i="1"/>
  <c r="L334" i="1"/>
  <c r="K377" i="1"/>
  <c r="L377" i="1" s="1"/>
  <c r="L296" i="1"/>
  <c r="L293" i="1"/>
  <c r="L292" i="1"/>
  <c r="Y280" i="1"/>
  <c r="L290" i="1"/>
  <c r="L274" i="1"/>
  <c r="L289" i="1"/>
  <c r="Y278" i="1"/>
  <c r="L288" i="1"/>
  <c r="L285" i="1"/>
  <c r="L284" i="1"/>
  <c r="L282" i="1"/>
  <c r="L273" i="1"/>
  <c r="L281" i="1"/>
  <c r="Y241" i="1"/>
  <c r="F301" i="1"/>
  <c r="L277" i="1"/>
  <c r="K301" i="1"/>
  <c r="L276" i="1"/>
  <c r="L261" i="1"/>
  <c r="X339" i="1"/>
  <c r="S339" i="1"/>
  <c r="L258" i="1"/>
  <c r="L256" i="1"/>
  <c r="X377" i="1"/>
  <c r="Y235" i="1"/>
  <c r="Y208" i="1"/>
  <c r="L251" i="1"/>
  <c r="Y262" i="1"/>
  <c r="Y261" i="1"/>
  <c r="Y223" i="1"/>
  <c r="L243" i="1"/>
  <c r="S186" i="1"/>
  <c r="Y186" i="1" s="1"/>
  <c r="Y224" i="1"/>
  <c r="L233" i="1"/>
  <c r="L223" i="1"/>
  <c r="L222" i="1"/>
  <c r="Y260" i="1"/>
  <c r="Y179" i="1"/>
  <c r="Y219" i="1"/>
  <c r="S301" i="1"/>
  <c r="X301" i="1"/>
  <c r="Y277" i="1"/>
  <c r="Y279" i="1"/>
  <c r="Y281" i="1"/>
  <c r="Y283" i="1"/>
  <c r="Y285" i="1"/>
  <c r="S263" i="1"/>
  <c r="X263" i="1"/>
  <c r="L234" i="1"/>
  <c r="L235" i="1"/>
  <c r="F263" i="1"/>
  <c r="I263" i="1"/>
  <c r="L212" i="1"/>
  <c r="L211" i="1"/>
  <c r="L197" i="1"/>
  <c r="Y173" i="1"/>
  <c r="Y172" i="1"/>
  <c r="X184" i="1"/>
  <c r="Y184" i="1" s="1"/>
  <c r="Y182" i="1"/>
  <c r="Y170" i="1"/>
  <c r="L196" i="1"/>
  <c r="K225" i="1"/>
  <c r="F225" i="1"/>
  <c r="L186" i="1"/>
  <c r="L183" i="1"/>
  <c r="Y164" i="1"/>
  <c r="L182" i="1"/>
  <c r="L180" i="1"/>
  <c r="L178" i="1"/>
  <c r="L177" i="1"/>
  <c r="Y142" i="1"/>
  <c r="Y5" i="1"/>
  <c r="Y6" i="1"/>
  <c r="Y7" i="1"/>
  <c r="Y8" i="1"/>
  <c r="Y12" i="1"/>
  <c r="Y14" i="1"/>
  <c r="Y15" i="1"/>
  <c r="Y16" i="1"/>
  <c r="Y21" i="1"/>
  <c r="Y22" i="1"/>
  <c r="Y23" i="1"/>
  <c r="Y24" i="1"/>
  <c r="Y213" i="1"/>
  <c r="L205" i="1"/>
  <c r="L221" i="1"/>
  <c r="Y25" i="1"/>
  <c r="Y26" i="1"/>
  <c r="Y27" i="1"/>
  <c r="Y28" i="1"/>
  <c r="Y29" i="1"/>
  <c r="Y30" i="1"/>
  <c r="Y31" i="1"/>
  <c r="Y32" i="1"/>
  <c r="Y48" i="1"/>
  <c r="Y52" i="1"/>
  <c r="Y86" i="1"/>
  <c r="Y90" i="1"/>
  <c r="Y98" i="1"/>
  <c r="Y99" i="1"/>
  <c r="L82" i="1"/>
  <c r="L88" i="1"/>
  <c r="L89" i="1"/>
  <c r="L90" i="1"/>
  <c r="L92" i="1"/>
  <c r="L99" i="1"/>
  <c r="L100" i="1"/>
  <c r="L103" i="1"/>
  <c r="L104" i="1"/>
  <c r="L105" i="1"/>
  <c r="L107" i="1"/>
  <c r="L108" i="1"/>
  <c r="L109" i="1"/>
  <c r="L110" i="1"/>
  <c r="Y13" i="1"/>
  <c r="Y19" i="1"/>
  <c r="Y83" i="1"/>
  <c r="L61" i="1"/>
  <c r="Y53" i="1"/>
  <c r="L65" i="1"/>
  <c r="Y68" i="1"/>
  <c r="Y45" i="1"/>
  <c r="L162" i="1"/>
  <c r="L157" i="1"/>
  <c r="Y106" i="1"/>
  <c r="Y82" i="1"/>
  <c r="Y124" i="1"/>
  <c r="Y125" i="1"/>
  <c r="Y109" i="1"/>
  <c r="Y108" i="1"/>
  <c r="Y145" i="1"/>
  <c r="Y200" i="1"/>
  <c r="Y202" i="1"/>
  <c r="Y203" i="1"/>
  <c r="Y210" i="1"/>
  <c r="Y211" i="1"/>
  <c r="Y216" i="1"/>
  <c r="Y218" i="1"/>
  <c r="Y221" i="1"/>
  <c r="Y220" i="1"/>
  <c r="L195" i="1"/>
  <c r="L200" i="1"/>
  <c r="L202" i="1"/>
  <c r="L203" i="1"/>
  <c r="L208" i="1"/>
  <c r="L216" i="1"/>
  <c r="L218" i="1"/>
  <c r="L219" i="1"/>
  <c r="L224" i="1"/>
  <c r="Y159" i="1"/>
  <c r="Y160" i="1"/>
  <c r="L173" i="1"/>
  <c r="Y147" i="1"/>
  <c r="P189" i="1"/>
  <c r="P341" i="1" s="1"/>
  <c r="Y158" i="1"/>
  <c r="Y185" i="1"/>
  <c r="Y183" i="1"/>
  <c r="L158" i="1"/>
  <c r="L166" i="1"/>
  <c r="Y138" i="1"/>
  <c r="Y137" i="1"/>
  <c r="Y136" i="1"/>
  <c r="L164" i="1"/>
  <c r="L144" i="1"/>
  <c r="Y132" i="1"/>
  <c r="Y148" i="1"/>
  <c r="Y121" i="1"/>
  <c r="L141" i="1"/>
  <c r="T189" i="1"/>
  <c r="T341" i="1" s="1"/>
  <c r="L122" i="1"/>
  <c r="L140" i="1"/>
  <c r="V189" i="1"/>
  <c r="V341" i="1" s="1"/>
  <c r="W189" i="1"/>
  <c r="W341" i="1" s="1"/>
  <c r="R189" i="1"/>
  <c r="R341" i="1" s="1"/>
  <c r="Q189" i="1"/>
  <c r="Q341" i="1" s="1"/>
  <c r="O189" i="1"/>
  <c r="O341" i="1" s="1"/>
  <c r="Y144" i="1"/>
  <c r="S225" i="1"/>
  <c r="X225" i="1"/>
  <c r="L139" i="1"/>
  <c r="L135" i="1"/>
  <c r="Y126" i="1"/>
  <c r="L133" i="1"/>
  <c r="S187" i="1"/>
  <c r="X187" i="1"/>
  <c r="S146" i="1"/>
  <c r="X146" i="1"/>
  <c r="Y120" i="1"/>
  <c r="Y81" i="1"/>
  <c r="U111" i="1"/>
  <c r="X111" i="1" s="1"/>
  <c r="L160" i="1"/>
  <c r="F187" i="1"/>
  <c r="K187" i="1"/>
  <c r="Y157" i="1"/>
  <c r="Y163" i="1"/>
  <c r="Y167" i="1"/>
  <c r="Y169" i="1"/>
  <c r="Y171" i="1"/>
  <c r="Y46" i="1"/>
  <c r="L121" i="1"/>
  <c r="L131" i="1"/>
  <c r="L130" i="1"/>
  <c r="L129" i="1"/>
  <c r="F149" i="1"/>
  <c r="Y101" i="1"/>
  <c r="L126" i="1"/>
  <c r="L120" i="1"/>
  <c r="L125" i="1"/>
  <c r="K149" i="1"/>
  <c r="Y97" i="1"/>
  <c r="Y96" i="1"/>
  <c r="Y94" i="1"/>
  <c r="L106" i="1"/>
  <c r="L102" i="1"/>
  <c r="L101" i="1"/>
  <c r="Y89" i="1"/>
  <c r="Y88" i="1"/>
  <c r="L98" i="1"/>
  <c r="Y87" i="1"/>
  <c r="L97" i="1"/>
  <c r="L84" i="1"/>
  <c r="Y63" i="1"/>
  <c r="K111" i="1"/>
  <c r="Y61" i="1"/>
  <c r="S111" i="1"/>
  <c r="Y70" i="1"/>
  <c r="L86" i="1"/>
  <c r="F111" i="1"/>
  <c r="S69" i="1"/>
  <c r="Y69" i="1" s="1"/>
  <c r="Y71" i="1"/>
  <c r="Y58" i="1"/>
  <c r="Y57" i="1"/>
  <c r="X149" i="1"/>
  <c r="S149" i="1"/>
  <c r="L81" i="1"/>
  <c r="Y54" i="1"/>
  <c r="Y51" i="1"/>
  <c r="Y50" i="1"/>
  <c r="Y49" i="1"/>
  <c r="Y43" i="1"/>
  <c r="Y127" i="1"/>
  <c r="Y129" i="1"/>
  <c r="Y131" i="1"/>
  <c r="Y17" i="1"/>
  <c r="X34" i="1"/>
  <c r="Y34" i="1" s="1"/>
  <c r="X73" i="1"/>
  <c r="Y72" i="1"/>
  <c r="S73" i="1"/>
  <c r="Y10" i="1"/>
  <c r="W36" i="1"/>
  <c r="W42" i="1" s="1"/>
  <c r="W47" i="1" s="1"/>
  <c r="W74" i="1" s="1"/>
  <c r="W80" i="1" s="1"/>
  <c r="W85" i="1" s="1"/>
  <c r="W112" i="1" s="1"/>
  <c r="W118" i="1" s="1"/>
  <c r="W123" i="1" s="1"/>
  <c r="W150" i="1" s="1"/>
  <c r="V36" i="1"/>
  <c r="V42" i="1" s="1"/>
  <c r="V47" i="1" s="1"/>
  <c r="V74" i="1" s="1"/>
  <c r="V80" i="1" s="1"/>
  <c r="V85" i="1" s="1"/>
  <c r="V112" i="1" s="1"/>
  <c r="V118" i="1" s="1"/>
  <c r="V123" i="1" s="1"/>
  <c r="V150" i="1" s="1"/>
  <c r="U36" i="1"/>
  <c r="U42" i="1" s="1"/>
  <c r="U47" i="1" s="1"/>
  <c r="U74" i="1" s="1"/>
  <c r="U80" i="1" s="1"/>
  <c r="U85" i="1" s="1"/>
  <c r="X35" i="1"/>
  <c r="T36" i="1"/>
  <c r="T42" i="1" s="1"/>
  <c r="T47" i="1" s="1"/>
  <c r="T74" i="1" s="1"/>
  <c r="T80" i="1" s="1"/>
  <c r="Y33" i="1"/>
  <c r="R36" i="1"/>
  <c r="R42" i="1" s="1"/>
  <c r="R47" i="1" s="1"/>
  <c r="R74" i="1" s="1"/>
  <c r="R80" i="1" s="1"/>
  <c r="R85" i="1" s="1"/>
  <c r="R112" i="1" s="1"/>
  <c r="R118" i="1" s="1"/>
  <c r="R123" i="1" s="1"/>
  <c r="R150" i="1" s="1"/>
  <c r="Q36" i="1"/>
  <c r="Q42" i="1" s="1"/>
  <c r="Q47" i="1" s="1"/>
  <c r="Q74" i="1" s="1"/>
  <c r="Q80" i="1" s="1"/>
  <c r="Q85" i="1" s="1"/>
  <c r="Q112" i="1" s="1"/>
  <c r="Q118" i="1" s="1"/>
  <c r="Q123" i="1" s="1"/>
  <c r="Q150" i="1" s="1"/>
  <c r="P36" i="1"/>
  <c r="P42" i="1" s="1"/>
  <c r="P47" i="1" s="1"/>
  <c r="P74" i="1" s="1"/>
  <c r="P80" i="1" s="1"/>
  <c r="P85" i="1" s="1"/>
  <c r="P112" i="1" s="1"/>
  <c r="P118" i="1" s="1"/>
  <c r="P123" i="1" s="1"/>
  <c r="P150" i="1" s="1"/>
  <c r="S35" i="1"/>
  <c r="O36" i="1"/>
  <c r="O42" i="1" s="1"/>
  <c r="Y4" i="1"/>
  <c r="L7" i="1"/>
  <c r="K60" i="1"/>
  <c r="Y567" i="1" l="1"/>
  <c r="L491" i="1"/>
  <c r="L453" i="1"/>
  <c r="L415" i="1"/>
  <c r="L529" i="1"/>
  <c r="Y529" i="1"/>
  <c r="K263" i="1"/>
  <c r="S341" i="1"/>
  <c r="S342" i="1" s="1"/>
  <c r="Y491" i="1"/>
  <c r="Y453" i="1"/>
  <c r="Y415" i="1"/>
  <c r="L339" i="1"/>
  <c r="U189" i="1"/>
  <c r="U341" i="1" s="1"/>
  <c r="L301" i="1"/>
  <c r="Y339" i="1"/>
  <c r="Y377" i="1"/>
  <c r="Y301" i="1"/>
  <c r="Y263" i="1"/>
  <c r="L263" i="1"/>
  <c r="L225" i="1"/>
  <c r="Y225" i="1"/>
  <c r="X189" i="1"/>
  <c r="X190" i="1" s="1"/>
  <c r="S189" i="1"/>
  <c r="Q190" i="1" s="1"/>
  <c r="Y187" i="1"/>
  <c r="Y146" i="1"/>
  <c r="U112" i="1"/>
  <c r="U118" i="1" s="1"/>
  <c r="U123" i="1" s="1"/>
  <c r="U150" i="1" s="1"/>
  <c r="U156" i="1" s="1"/>
  <c r="U161" i="1" s="1"/>
  <c r="U188" i="1" s="1"/>
  <c r="U194" i="1" s="1"/>
  <c r="U199" i="1" s="1"/>
  <c r="U226" i="1" s="1"/>
  <c r="U232" i="1" s="1"/>
  <c r="U237" i="1" s="1"/>
  <c r="U264" i="1" s="1"/>
  <c r="U270" i="1" s="1"/>
  <c r="U275" i="1" s="1"/>
  <c r="U302" i="1" s="1"/>
  <c r="U308" i="1" s="1"/>
  <c r="U313" i="1" s="1"/>
  <c r="U340" i="1" s="1"/>
  <c r="U346" i="1" s="1"/>
  <c r="U351" i="1" s="1"/>
  <c r="U378" i="1" s="1"/>
  <c r="U384" i="1" s="1"/>
  <c r="U389" i="1" s="1"/>
  <c r="U416" i="1" s="1"/>
  <c r="U422" i="1" s="1"/>
  <c r="Q156" i="1"/>
  <c r="Q161" i="1" s="1"/>
  <c r="Q188" i="1" s="1"/>
  <c r="Q194" i="1" s="1"/>
  <c r="Q199" i="1" s="1"/>
  <c r="Q226" i="1" s="1"/>
  <c r="Q232" i="1" s="1"/>
  <c r="Q237" i="1" s="1"/>
  <c r="Q264" i="1" s="1"/>
  <c r="Q270" i="1" s="1"/>
  <c r="Q275" i="1" s="1"/>
  <c r="Q302" i="1" s="1"/>
  <c r="Q308" i="1" s="1"/>
  <c r="Q313" i="1" s="1"/>
  <c r="Q340" i="1" s="1"/>
  <c r="Q346" i="1" s="1"/>
  <c r="Q351" i="1" s="1"/>
  <c r="Q378" i="1" s="1"/>
  <c r="Q384" i="1" s="1"/>
  <c r="Q389" i="1" s="1"/>
  <c r="Q416" i="1" s="1"/>
  <c r="Q422" i="1" s="1"/>
  <c r="V156" i="1"/>
  <c r="V161" i="1" s="1"/>
  <c r="V188" i="1" s="1"/>
  <c r="V194" i="1" s="1"/>
  <c r="V199" i="1" s="1"/>
  <c r="V226" i="1" s="1"/>
  <c r="V232" i="1" s="1"/>
  <c r="V237" i="1" s="1"/>
  <c r="V264" i="1" s="1"/>
  <c r="V270" i="1" s="1"/>
  <c r="V275" i="1" s="1"/>
  <c r="V302" i="1" s="1"/>
  <c r="V308" i="1" s="1"/>
  <c r="V313" i="1" s="1"/>
  <c r="V340" i="1" s="1"/>
  <c r="V346" i="1" s="1"/>
  <c r="V351" i="1" s="1"/>
  <c r="V378" i="1" s="1"/>
  <c r="V384" i="1" s="1"/>
  <c r="V389" i="1" s="1"/>
  <c r="V416" i="1" s="1"/>
  <c r="V422" i="1" s="1"/>
  <c r="V427" i="1" s="1"/>
  <c r="V454" i="1" s="1"/>
  <c r="V460" i="1" s="1"/>
  <c r="V465" i="1" s="1"/>
  <c r="V492" i="1" s="1"/>
  <c r="V498" i="1" s="1"/>
  <c r="V503" i="1" s="1"/>
  <c r="V530" i="1" s="1"/>
  <c r="V536" i="1" s="1"/>
  <c r="P156" i="1"/>
  <c r="P161" i="1" s="1"/>
  <c r="P188" i="1" s="1"/>
  <c r="P194" i="1" s="1"/>
  <c r="P199" i="1" s="1"/>
  <c r="P226" i="1" s="1"/>
  <c r="P232" i="1" s="1"/>
  <c r="P237" i="1" s="1"/>
  <c r="P264" i="1" s="1"/>
  <c r="P270" i="1" s="1"/>
  <c r="P275" i="1" s="1"/>
  <c r="P302" i="1" s="1"/>
  <c r="P308" i="1" s="1"/>
  <c r="P313" i="1" s="1"/>
  <c r="P340" i="1" s="1"/>
  <c r="P346" i="1" s="1"/>
  <c r="P351" i="1" s="1"/>
  <c r="P378" i="1" s="1"/>
  <c r="P384" i="1" s="1"/>
  <c r="P389" i="1" s="1"/>
  <c r="P416" i="1" s="1"/>
  <c r="P422" i="1" s="1"/>
  <c r="P427" i="1" s="1"/>
  <c r="P454" i="1" s="1"/>
  <c r="P460" i="1" s="1"/>
  <c r="P465" i="1" s="1"/>
  <c r="P492" i="1" s="1"/>
  <c r="P498" i="1" s="1"/>
  <c r="P503" i="1" s="1"/>
  <c r="P530" i="1" s="1"/>
  <c r="P536" i="1" s="1"/>
  <c r="P541" i="1" s="1"/>
  <c r="P568" i="1" s="1"/>
  <c r="R156" i="1"/>
  <c r="R161" i="1" s="1"/>
  <c r="R188" i="1" s="1"/>
  <c r="R194" i="1" s="1"/>
  <c r="R199" i="1" s="1"/>
  <c r="R226" i="1" s="1"/>
  <c r="R232" i="1" s="1"/>
  <c r="R237" i="1" s="1"/>
  <c r="R264" i="1" s="1"/>
  <c r="R270" i="1" s="1"/>
  <c r="R275" i="1" s="1"/>
  <c r="R302" i="1" s="1"/>
  <c r="R308" i="1" s="1"/>
  <c r="R313" i="1" s="1"/>
  <c r="R340" i="1" s="1"/>
  <c r="R346" i="1" s="1"/>
  <c r="R351" i="1" s="1"/>
  <c r="R378" i="1" s="1"/>
  <c r="R384" i="1" s="1"/>
  <c r="R389" i="1" s="1"/>
  <c r="R416" i="1" s="1"/>
  <c r="R422" i="1" s="1"/>
  <c r="R427" i="1" s="1"/>
  <c r="R454" i="1" s="1"/>
  <c r="R460" i="1" s="1"/>
  <c r="R465" i="1" s="1"/>
  <c r="R492" i="1" s="1"/>
  <c r="R498" i="1" s="1"/>
  <c r="R503" i="1" s="1"/>
  <c r="R530" i="1" s="1"/>
  <c r="R536" i="1" s="1"/>
  <c r="R541" i="1" s="1"/>
  <c r="R568" i="1" s="1"/>
  <c r="W156" i="1"/>
  <c r="W161" i="1" s="1"/>
  <c r="W188" i="1" s="1"/>
  <c r="W194" i="1" s="1"/>
  <c r="W199" i="1" s="1"/>
  <c r="W226" i="1" s="1"/>
  <c r="W232" i="1" s="1"/>
  <c r="W237" i="1" s="1"/>
  <c r="W264" i="1" s="1"/>
  <c r="W270" i="1" s="1"/>
  <c r="W275" i="1" s="1"/>
  <c r="W302" i="1" s="1"/>
  <c r="W308" i="1" s="1"/>
  <c r="W313" i="1" s="1"/>
  <c r="W340" i="1" s="1"/>
  <c r="W346" i="1" s="1"/>
  <c r="W351" i="1" s="1"/>
  <c r="W378" i="1" s="1"/>
  <c r="W384" i="1" s="1"/>
  <c r="W389" i="1" s="1"/>
  <c r="W416" i="1" s="1"/>
  <c r="W422" i="1" s="1"/>
  <c r="W427" i="1" s="1"/>
  <c r="W454" i="1" s="1"/>
  <c r="W460" i="1" s="1"/>
  <c r="W465" i="1" s="1"/>
  <c r="W492" i="1" s="1"/>
  <c r="W498" i="1" s="1"/>
  <c r="W503" i="1" s="1"/>
  <c r="W530" i="1" s="1"/>
  <c r="W536" i="1" s="1"/>
  <c r="W541" i="1" s="1"/>
  <c r="W568" i="1" s="1"/>
  <c r="L187" i="1"/>
  <c r="L149" i="1"/>
  <c r="Y111" i="1"/>
  <c r="L111" i="1"/>
  <c r="Y149" i="1"/>
  <c r="X36" i="1"/>
  <c r="U37" i="1"/>
  <c r="W37" i="1"/>
  <c r="V37" i="1"/>
  <c r="X37" i="1"/>
  <c r="T37" i="1"/>
  <c r="Q37" i="1"/>
  <c r="S37" i="1"/>
  <c r="P37" i="1"/>
  <c r="R37" i="1"/>
  <c r="O37" i="1"/>
  <c r="X80" i="1"/>
  <c r="X85" i="1" s="1"/>
  <c r="X112" i="1" s="1"/>
  <c r="T85" i="1"/>
  <c r="T112" i="1" s="1"/>
  <c r="T118" i="1" s="1"/>
  <c r="Y73" i="1"/>
  <c r="S42" i="1"/>
  <c r="S47" i="1" s="1"/>
  <c r="Y35" i="1"/>
  <c r="S38" i="1" s="1"/>
  <c r="X42" i="1"/>
  <c r="X47" i="1" s="1"/>
  <c r="X74" i="1" s="1"/>
  <c r="S36" i="1"/>
  <c r="O47" i="1"/>
  <c r="O74" i="1" s="1"/>
  <c r="O80" i="1" s="1"/>
  <c r="K58" i="1"/>
  <c r="V541" i="1" l="1"/>
  <c r="V568" i="1" s="1"/>
  <c r="O342" i="1"/>
  <c r="Q342" i="1"/>
  <c r="R342" i="1"/>
  <c r="X341" i="1"/>
  <c r="P342" i="1"/>
  <c r="U427" i="1"/>
  <c r="U454" i="1" s="1"/>
  <c r="U460" i="1" s="1"/>
  <c r="U465" i="1" s="1"/>
  <c r="U492" i="1" s="1"/>
  <c r="U498" i="1" s="1"/>
  <c r="U503" i="1" s="1"/>
  <c r="U530" i="1" s="1"/>
  <c r="U536" i="1" s="1"/>
  <c r="U541" i="1" s="1"/>
  <c r="U568" i="1" s="1"/>
  <c r="Q427" i="1"/>
  <c r="Q454" i="1" s="1"/>
  <c r="Q460" i="1" s="1"/>
  <c r="Q465" i="1" s="1"/>
  <c r="Q492" i="1" s="1"/>
  <c r="Q498" i="1" s="1"/>
  <c r="Q503" i="1" s="1"/>
  <c r="Q530" i="1" s="1"/>
  <c r="Q536" i="1" s="1"/>
  <c r="T190" i="1"/>
  <c r="V190" i="1"/>
  <c r="U190" i="1"/>
  <c r="W190" i="1"/>
  <c r="S190" i="1"/>
  <c r="P190" i="1"/>
  <c r="O190" i="1"/>
  <c r="R190" i="1"/>
  <c r="Y189" i="1"/>
  <c r="Y341" i="1" s="1"/>
  <c r="U151" i="1"/>
  <c r="V151" i="1"/>
  <c r="W151" i="1"/>
  <c r="X118" i="1"/>
  <c r="X123" i="1" s="1"/>
  <c r="X150" i="1" s="1"/>
  <c r="X151" i="1" s="1"/>
  <c r="T123" i="1"/>
  <c r="T150" i="1" s="1"/>
  <c r="Y36" i="1"/>
  <c r="X113" i="1"/>
  <c r="U113" i="1"/>
  <c r="T113" i="1"/>
  <c r="W113" i="1"/>
  <c r="V113" i="1"/>
  <c r="S80" i="1"/>
  <c r="O85" i="1"/>
  <c r="O112" i="1" s="1"/>
  <c r="O118" i="1" s="1"/>
  <c r="Y42" i="1"/>
  <c r="S74" i="1"/>
  <c r="Y74" i="1" s="1"/>
  <c r="Y47" i="1"/>
  <c r="K54" i="1"/>
  <c r="Q541" i="1" l="1"/>
  <c r="Q568" i="1" s="1"/>
  <c r="X342" i="1"/>
  <c r="V342" i="1"/>
  <c r="T342" i="1"/>
  <c r="W342" i="1"/>
  <c r="U342" i="1"/>
  <c r="T156" i="1"/>
  <c r="T151" i="1"/>
  <c r="O123" i="1"/>
  <c r="O150" i="1" s="1"/>
  <c r="S118" i="1"/>
  <c r="S85" i="1"/>
  <c r="Y80" i="1"/>
  <c r="K50" i="1"/>
  <c r="K30" i="1"/>
  <c r="K48" i="1"/>
  <c r="O156" i="1" l="1"/>
  <c r="X156" i="1"/>
  <c r="X161" i="1" s="1"/>
  <c r="X188" i="1" s="1"/>
  <c r="T161" i="1"/>
  <c r="T188" i="1" s="1"/>
  <c r="T194" i="1" s="1"/>
  <c r="Y118" i="1"/>
  <c r="S123" i="1"/>
  <c r="S112" i="1"/>
  <c r="O151" i="1" s="1"/>
  <c r="Y85" i="1"/>
  <c r="K26" i="1"/>
  <c r="X194" i="1" l="1"/>
  <c r="X199" i="1" s="1"/>
  <c r="X226" i="1" s="1"/>
  <c r="T199" i="1"/>
  <c r="T226" i="1" s="1"/>
  <c r="T232" i="1" s="1"/>
  <c r="Q151" i="1"/>
  <c r="P151" i="1"/>
  <c r="R151" i="1"/>
  <c r="O161" i="1"/>
  <c r="O188" i="1" s="1"/>
  <c r="S156" i="1"/>
  <c r="S150" i="1"/>
  <c r="Y123" i="1"/>
  <c r="Y112" i="1"/>
  <c r="S113" i="1"/>
  <c r="R113" i="1"/>
  <c r="P113" i="1"/>
  <c r="Q113" i="1"/>
  <c r="O113" i="1"/>
  <c r="K22" i="1"/>
  <c r="K18" i="1"/>
  <c r="X232" i="1" l="1"/>
  <c r="X237" i="1" s="1"/>
  <c r="X264" i="1" s="1"/>
  <c r="T237" i="1"/>
  <c r="T264" i="1" s="1"/>
  <c r="T270" i="1" s="1"/>
  <c r="O194" i="1"/>
  <c r="S161" i="1"/>
  <c r="Y156" i="1"/>
  <c r="Y150" i="1"/>
  <c r="S151" i="1"/>
  <c r="K16" i="1"/>
  <c r="K15" i="1"/>
  <c r="X270" i="1" l="1"/>
  <c r="X275" i="1" s="1"/>
  <c r="X302" i="1" s="1"/>
  <c r="T275" i="1"/>
  <c r="T302" i="1" s="1"/>
  <c r="T308" i="1" s="1"/>
  <c r="S194" i="1"/>
  <c r="O199" i="1"/>
  <c r="O226" i="1" s="1"/>
  <c r="O232" i="1" s="1"/>
  <c r="S188" i="1"/>
  <c r="Y161" i="1"/>
  <c r="K13" i="1"/>
  <c r="X308" i="1" l="1"/>
  <c r="X313" i="1" s="1"/>
  <c r="X340" i="1" s="1"/>
  <c r="T313" i="1"/>
  <c r="T340" i="1" s="1"/>
  <c r="T346" i="1" s="1"/>
  <c r="T303" i="1"/>
  <c r="U303" i="1"/>
  <c r="W303" i="1"/>
  <c r="V303" i="1"/>
  <c r="X303" i="1"/>
  <c r="S232" i="1"/>
  <c r="O237" i="1"/>
  <c r="O264" i="1" s="1"/>
  <c r="O270" i="1" s="1"/>
  <c r="Y188" i="1"/>
  <c r="Y194" i="1"/>
  <c r="S199" i="1"/>
  <c r="K12" i="1"/>
  <c r="K11" i="1"/>
  <c r="F10" i="1"/>
  <c r="K10" i="1"/>
  <c r="K49" i="1"/>
  <c r="K51" i="1"/>
  <c r="K52" i="1"/>
  <c r="K53" i="1"/>
  <c r="K55" i="1"/>
  <c r="K56" i="1"/>
  <c r="K57" i="1"/>
  <c r="K59" i="1"/>
  <c r="K27" i="1"/>
  <c r="K28" i="1"/>
  <c r="K29" i="1"/>
  <c r="K31" i="1"/>
  <c r="K32" i="1"/>
  <c r="K33" i="1"/>
  <c r="K34" i="1"/>
  <c r="K14" i="1"/>
  <c r="K17" i="1"/>
  <c r="K19" i="1"/>
  <c r="K20" i="1"/>
  <c r="K21" i="1"/>
  <c r="K23" i="1"/>
  <c r="F48" i="1"/>
  <c r="L48" i="1" s="1"/>
  <c r="F49" i="1"/>
  <c r="L49" i="1" s="1"/>
  <c r="F50" i="1"/>
  <c r="L50" i="1" s="1"/>
  <c r="F51" i="1"/>
  <c r="F52" i="1"/>
  <c r="F53" i="1"/>
  <c r="F54" i="1"/>
  <c r="L54" i="1" s="1"/>
  <c r="F55" i="1"/>
  <c r="L55" i="1" s="1"/>
  <c r="F56" i="1"/>
  <c r="F57" i="1"/>
  <c r="L57" i="1" s="1"/>
  <c r="F58" i="1"/>
  <c r="L58" i="1" s="1"/>
  <c r="F59" i="1"/>
  <c r="F60" i="1"/>
  <c r="L60" i="1" s="1"/>
  <c r="F62" i="1"/>
  <c r="F63" i="1"/>
  <c r="F64" i="1"/>
  <c r="F11" i="1"/>
  <c r="F12" i="1"/>
  <c r="F13" i="1"/>
  <c r="L13" i="1" s="1"/>
  <c r="F14" i="1"/>
  <c r="F15" i="1"/>
  <c r="L15" i="1" s="1"/>
  <c r="F16" i="1"/>
  <c r="L16" i="1" s="1"/>
  <c r="F17" i="1"/>
  <c r="F18" i="1"/>
  <c r="L18" i="1" s="1"/>
  <c r="F19" i="1"/>
  <c r="F20" i="1"/>
  <c r="F21" i="1"/>
  <c r="F22" i="1"/>
  <c r="L22" i="1" s="1"/>
  <c r="F23" i="1"/>
  <c r="F24" i="1"/>
  <c r="F25" i="1"/>
  <c r="F26" i="1"/>
  <c r="L26" i="1" s="1"/>
  <c r="F27" i="1"/>
  <c r="F8" i="1"/>
  <c r="X346" i="1" l="1"/>
  <c r="X351" i="1" s="1"/>
  <c r="X378" i="1" s="1"/>
  <c r="T351" i="1"/>
  <c r="T378" i="1" s="1"/>
  <c r="T384" i="1" s="1"/>
  <c r="O275" i="1"/>
  <c r="O302" i="1" s="1"/>
  <c r="O308" i="1" s="1"/>
  <c r="S270" i="1"/>
  <c r="Y232" i="1"/>
  <c r="S237" i="1"/>
  <c r="Y199" i="1"/>
  <c r="S226" i="1"/>
  <c r="L56" i="1"/>
  <c r="L52" i="1"/>
  <c r="L27" i="1"/>
  <c r="L23" i="1"/>
  <c r="L20" i="1"/>
  <c r="L17" i="1"/>
  <c r="L14" i="1"/>
  <c r="L12" i="1"/>
  <c r="L19" i="1"/>
  <c r="L11" i="1"/>
  <c r="L59" i="1"/>
  <c r="L53" i="1"/>
  <c r="L51" i="1"/>
  <c r="L10" i="1"/>
  <c r="L21" i="1"/>
  <c r="X384" i="1" l="1"/>
  <c r="X389" i="1" s="1"/>
  <c r="X416" i="1" s="1"/>
  <c r="T389" i="1"/>
  <c r="T416" i="1" s="1"/>
  <c r="T422" i="1" s="1"/>
  <c r="S308" i="1"/>
  <c r="O313" i="1"/>
  <c r="O340" i="1" s="1"/>
  <c r="O346" i="1" s="1"/>
  <c r="Y270" i="1"/>
  <c r="S275" i="1"/>
  <c r="Y237" i="1"/>
  <c r="S264" i="1"/>
  <c r="Y264" i="1" s="1"/>
  <c r="Y226" i="1"/>
  <c r="F28" i="1"/>
  <c r="L28" i="1" s="1"/>
  <c r="T427" i="1" l="1"/>
  <c r="T454" i="1" s="1"/>
  <c r="T460" i="1" s="1"/>
  <c r="X422" i="1"/>
  <c r="X427" i="1" s="1"/>
  <c r="X454" i="1" s="1"/>
  <c r="T417" i="1"/>
  <c r="U417" i="1"/>
  <c r="V417" i="1"/>
  <c r="W417" i="1"/>
  <c r="X417" i="1"/>
  <c r="S346" i="1"/>
  <c r="O351" i="1"/>
  <c r="O378" i="1" s="1"/>
  <c r="O384" i="1" s="1"/>
  <c r="Y308" i="1"/>
  <c r="S313" i="1"/>
  <c r="S302" i="1"/>
  <c r="Y275" i="1"/>
  <c r="K70" i="1"/>
  <c r="K69" i="1"/>
  <c r="X460" i="1" l="1"/>
  <c r="X465" i="1" s="1"/>
  <c r="X492" i="1" s="1"/>
  <c r="T465" i="1"/>
  <c r="T492" i="1" s="1"/>
  <c r="T498" i="1" s="1"/>
  <c r="O389" i="1"/>
  <c r="O416" i="1" s="1"/>
  <c r="O422" i="1" s="1"/>
  <c r="S384" i="1"/>
  <c r="Y346" i="1"/>
  <c r="S351" i="1"/>
  <c r="S340" i="1"/>
  <c r="Y340" i="1" s="1"/>
  <c r="Y313" i="1"/>
  <c r="Y302" i="1"/>
  <c r="Q303" i="1"/>
  <c r="S303" i="1"/>
  <c r="P303" i="1"/>
  <c r="R303" i="1"/>
  <c r="O303" i="1"/>
  <c r="K72" i="1"/>
  <c r="K71" i="1"/>
  <c r="X498" i="1" l="1"/>
  <c r="X503" i="1" s="1"/>
  <c r="X530" i="1" s="1"/>
  <c r="T503" i="1"/>
  <c r="T530" i="1" s="1"/>
  <c r="T536" i="1" s="1"/>
  <c r="O427" i="1"/>
  <c r="O454" i="1" s="1"/>
  <c r="O460" i="1" s="1"/>
  <c r="S422" i="1"/>
  <c r="Y384" i="1"/>
  <c r="S389" i="1"/>
  <c r="Y351" i="1"/>
  <c r="S378" i="1"/>
  <c r="Y378" i="1" s="1"/>
  <c r="E73" i="1"/>
  <c r="D73" i="1"/>
  <c r="C73" i="1"/>
  <c r="B73" i="1"/>
  <c r="F72" i="1"/>
  <c r="L72" i="1" s="1"/>
  <c r="F71" i="1"/>
  <c r="L71" i="1" s="1"/>
  <c r="F70" i="1"/>
  <c r="L70" i="1" s="1"/>
  <c r="F69" i="1"/>
  <c r="L69" i="1" s="1"/>
  <c r="F46" i="1"/>
  <c r="F45" i="1"/>
  <c r="F44" i="1"/>
  <c r="F43" i="1"/>
  <c r="K6" i="1"/>
  <c r="L6" i="1" s="1"/>
  <c r="K5" i="1"/>
  <c r="L5" i="1" s="1"/>
  <c r="J73" i="1"/>
  <c r="I73" i="1"/>
  <c r="H73" i="1"/>
  <c r="K64" i="1"/>
  <c r="L64" i="1" s="1"/>
  <c r="K63" i="1"/>
  <c r="L63" i="1" s="1"/>
  <c r="K62" i="1"/>
  <c r="L62" i="1" s="1"/>
  <c r="K46" i="1"/>
  <c r="K45" i="1"/>
  <c r="K44" i="1"/>
  <c r="K43" i="1"/>
  <c r="T541" i="1" l="1"/>
  <c r="T568" i="1" s="1"/>
  <c r="X536" i="1"/>
  <c r="X541" i="1" s="1"/>
  <c r="X568" i="1" s="1"/>
  <c r="S460" i="1"/>
  <c r="O465" i="1"/>
  <c r="O492" i="1" s="1"/>
  <c r="O498" i="1" s="1"/>
  <c r="S427" i="1"/>
  <c r="Y422" i="1"/>
  <c r="S416" i="1"/>
  <c r="Y389" i="1"/>
  <c r="L44" i="1"/>
  <c r="L43" i="1"/>
  <c r="L46" i="1"/>
  <c r="L45" i="1"/>
  <c r="F73" i="1"/>
  <c r="G73" i="1"/>
  <c r="S498" i="1" l="1"/>
  <c r="O503" i="1"/>
  <c r="O530" i="1" s="1"/>
  <c r="O536" i="1" s="1"/>
  <c r="Y460" i="1"/>
  <c r="S465" i="1"/>
  <c r="Y427" i="1"/>
  <c r="S454" i="1"/>
  <c r="Y454" i="1" s="1"/>
  <c r="Y416" i="1"/>
  <c r="S417" i="1"/>
  <c r="P417" i="1"/>
  <c r="R417" i="1"/>
  <c r="Q417" i="1"/>
  <c r="O417" i="1"/>
  <c r="K73" i="1"/>
  <c r="L73" i="1" s="1"/>
  <c r="O541" i="1" l="1"/>
  <c r="O568" i="1" s="1"/>
  <c r="S536" i="1"/>
  <c r="Y498" i="1"/>
  <c r="S503" i="1"/>
  <c r="Y465" i="1"/>
  <c r="S492" i="1"/>
  <c r="Y492" i="1" s="1"/>
  <c r="J35" i="1"/>
  <c r="I35" i="1"/>
  <c r="H35" i="1"/>
  <c r="G35" i="1"/>
  <c r="K25" i="1"/>
  <c r="L25" i="1" s="1"/>
  <c r="K24" i="1"/>
  <c r="L24" i="1" s="1"/>
  <c r="K8" i="1"/>
  <c r="L8" i="1" s="1"/>
  <c r="E35" i="1"/>
  <c r="D35" i="1"/>
  <c r="C35" i="1"/>
  <c r="B35" i="1"/>
  <c r="F34" i="1"/>
  <c r="L34" i="1" s="1"/>
  <c r="F33" i="1"/>
  <c r="L33" i="1" s="1"/>
  <c r="F32" i="1"/>
  <c r="L32" i="1" s="1"/>
  <c r="F31" i="1"/>
  <c r="L31" i="1" s="1"/>
  <c r="F30" i="1"/>
  <c r="L30" i="1" s="1"/>
  <c r="F29" i="1"/>
  <c r="L29" i="1" s="1"/>
  <c r="S541" i="1" l="1"/>
  <c r="Y536" i="1"/>
  <c r="Y503" i="1"/>
  <c r="S530" i="1"/>
  <c r="Y530" i="1" s="1"/>
  <c r="F35" i="1"/>
  <c r="K35" i="1"/>
  <c r="Y541" i="1" l="1"/>
  <c r="S568" i="1"/>
  <c r="Y568" i="1" s="1"/>
  <c r="L35" i="1"/>
  <c r="E9" i="1"/>
  <c r="E36" i="1" s="1"/>
  <c r="E42" i="1" s="1"/>
  <c r="E47" i="1" s="1"/>
  <c r="E74" i="1" s="1"/>
  <c r="E80" i="1" s="1"/>
  <c r="E85" i="1" s="1"/>
  <c r="E112" i="1" s="1"/>
  <c r="E118" i="1" s="1"/>
  <c r="E123" i="1" l="1"/>
  <c r="E150" i="1" s="1"/>
  <c r="E156" i="1" s="1"/>
  <c r="J9" i="1"/>
  <c r="J36" i="1" s="1"/>
  <c r="J42" i="1" s="1"/>
  <c r="J47" i="1" s="1"/>
  <c r="J74" i="1" s="1"/>
  <c r="J80" i="1" s="1"/>
  <c r="J85" i="1" s="1"/>
  <c r="J112" i="1" s="1"/>
  <c r="J118" i="1" s="1"/>
  <c r="J123" i="1" s="1"/>
  <c r="J150" i="1" s="1"/>
  <c r="J156" i="1" s="1"/>
  <c r="I9" i="1"/>
  <c r="I36" i="1" s="1"/>
  <c r="I42" i="1" s="1"/>
  <c r="I47" i="1" s="1"/>
  <c r="I74" i="1" s="1"/>
  <c r="I80" i="1" s="1"/>
  <c r="I85" i="1" s="1"/>
  <c r="I112" i="1" s="1"/>
  <c r="I118" i="1" s="1"/>
  <c r="I123" i="1" s="1"/>
  <c r="I150" i="1" s="1"/>
  <c r="I156" i="1" s="1"/>
  <c r="I161" i="1" s="1"/>
  <c r="I188" i="1" s="1"/>
  <c r="I194" i="1" s="1"/>
  <c r="H9" i="1"/>
  <c r="H36" i="1" s="1"/>
  <c r="H42" i="1" s="1"/>
  <c r="H47" i="1" s="1"/>
  <c r="H74" i="1" s="1"/>
  <c r="H80" i="1" s="1"/>
  <c r="D9" i="1"/>
  <c r="D36" i="1" s="1"/>
  <c r="D42" i="1" s="1"/>
  <c r="D47" i="1" s="1"/>
  <c r="D74" i="1" s="1"/>
  <c r="D80" i="1" s="1"/>
  <c r="I199" i="1" l="1"/>
  <c r="I226" i="1" s="1"/>
  <c r="I232" i="1" s="1"/>
  <c r="I237" i="1" s="1"/>
  <c r="I264" i="1" s="1"/>
  <c r="I270" i="1" s="1"/>
  <c r="E161" i="1"/>
  <c r="E188" i="1" s="1"/>
  <c r="E194" i="1" s="1"/>
  <c r="J161" i="1"/>
  <c r="J188" i="1" s="1"/>
  <c r="J194" i="1" s="1"/>
  <c r="J199" i="1" s="1"/>
  <c r="J226" i="1" s="1"/>
  <c r="J232" i="1" s="1"/>
  <c r="D85" i="1"/>
  <c r="D112" i="1" s="1"/>
  <c r="D118" i="1" s="1"/>
  <c r="D123" i="1" s="1"/>
  <c r="D150" i="1" s="1"/>
  <c r="D156" i="1" s="1"/>
  <c r="D161" i="1" s="1"/>
  <c r="D188" i="1" s="1"/>
  <c r="D194" i="1" s="1"/>
  <c r="D199" i="1" s="1"/>
  <c r="D226" i="1" s="1"/>
  <c r="D232" i="1" s="1"/>
  <c r="H85" i="1"/>
  <c r="H112" i="1" s="1"/>
  <c r="H118" i="1" s="1"/>
  <c r="H123" i="1" s="1"/>
  <c r="H150" i="1" s="1"/>
  <c r="H156" i="1" s="1"/>
  <c r="H161" i="1" s="1"/>
  <c r="H188" i="1" s="1"/>
  <c r="H194" i="1" s="1"/>
  <c r="H199" i="1" s="1"/>
  <c r="H226" i="1" s="1"/>
  <c r="H232" i="1" s="1"/>
  <c r="H237" i="1" s="1"/>
  <c r="H264" i="1" s="1"/>
  <c r="H270" i="1" s="1"/>
  <c r="H275" i="1" s="1"/>
  <c r="H302" i="1" s="1"/>
  <c r="H308" i="1" s="1"/>
  <c r="C9" i="1"/>
  <c r="C36" i="1" s="1"/>
  <c r="C42" i="1" s="1"/>
  <c r="C47" i="1" s="1"/>
  <c r="C74" i="1" s="1"/>
  <c r="C80" i="1" s="1"/>
  <c r="C85" i="1" s="1"/>
  <c r="C112" i="1" s="1"/>
  <c r="C118" i="1" s="1"/>
  <c r="H313" i="1" l="1"/>
  <c r="H340" i="1" s="1"/>
  <c r="H346" i="1" s="1"/>
  <c r="I275" i="1"/>
  <c r="I302" i="1" s="1"/>
  <c r="I308" i="1" s="1"/>
  <c r="I313" i="1" s="1"/>
  <c r="I340" i="1" s="1"/>
  <c r="I346" i="1" s="1"/>
  <c r="I351" i="1" s="1"/>
  <c r="I378" i="1" s="1"/>
  <c r="I384" i="1" s="1"/>
  <c r="I389" i="1" s="1"/>
  <c r="I416" i="1" s="1"/>
  <c r="I422" i="1" s="1"/>
  <c r="I427" i="1" s="1"/>
  <c r="I454" i="1" s="1"/>
  <c r="I460" i="1" s="1"/>
  <c r="I465" i="1" s="1"/>
  <c r="I492" i="1" s="1"/>
  <c r="I498" i="1" s="1"/>
  <c r="I503" i="1" s="1"/>
  <c r="I530" i="1" s="1"/>
  <c r="I536" i="1" s="1"/>
  <c r="I541" i="1" s="1"/>
  <c r="I568" i="1" s="1"/>
  <c r="J237" i="1"/>
  <c r="J264" i="1" s="1"/>
  <c r="J270" i="1" s="1"/>
  <c r="J275" i="1" s="1"/>
  <c r="J302" i="1" s="1"/>
  <c r="J308" i="1" s="1"/>
  <c r="J313" i="1" s="1"/>
  <c r="J340" i="1" s="1"/>
  <c r="J346" i="1" s="1"/>
  <c r="J351" i="1" s="1"/>
  <c r="J378" i="1" s="1"/>
  <c r="J384" i="1" s="1"/>
  <c r="J389" i="1" s="1"/>
  <c r="J416" i="1" s="1"/>
  <c r="J422" i="1" s="1"/>
  <c r="J427" i="1" s="1"/>
  <c r="J454" i="1" s="1"/>
  <c r="J460" i="1" s="1"/>
  <c r="J465" i="1" s="1"/>
  <c r="J492" i="1" s="1"/>
  <c r="J498" i="1" s="1"/>
  <c r="J503" i="1" s="1"/>
  <c r="J530" i="1" s="1"/>
  <c r="J536" i="1" s="1"/>
  <c r="J541" i="1" s="1"/>
  <c r="J568" i="1" s="1"/>
  <c r="D237" i="1"/>
  <c r="D264" i="1" s="1"/>
  <c r="D270" i="1" s="1"/>
  <c r="E199" i="1"/>
  <c r="E226" i="1" s="1"/>
  <c r="E232" i="1" s="1"/>
  <c r="E237" i="1" s="1"/>
  <c r="E264" i="1" s="1"/>
  <c r="E270" i="1" s="1"/>
  <c r="E275" i="1" s="1"/>
  <c r="E302" i="1" s="1"/>
  <c r="E308" i="1" s="1"/>
  <c r="E313" i="1" s="1"/>
  <c r="E340" i="1" s="1"/>
  <c r="E346" i="1" s="1"/>
  <c r="E351" i="1" s="1"/>
  <c r="E378" i="1" s="1"/>
  <c r="E384" i="1" s="1"/>
  <c r="E389" i="1" s="1"/>
  <c r="E416" i="1" s="1"/>
  <c r="E422" i="1" s="1"/>
  <c r="E427" i="1" s="1"/>
  <c r="E454" i="1" s="1"/>
  <c r="E460" i="1" s="1"/>
  <c r="E465" i="1" s="1"/>
  <c r="E492" i="1" s="1"/>
  <c r="E498" i="1" s="1"/>
  <c r="E503" i="1" s="1"/>
  <c r="E530" i="1" s="1"/>
  <c r="E536" i="1" s="1"/>
  <c r="E541" i="1" s="1"/>
  <c r="E568" i="1" s="1"/>
  <c r="C123" i="1"/>
  <c r="C150" i="1" s="1"/>
  <c r="C156" i="1" s="1"/>
  <c r="C161" i="1" s="1"/>
  <c r="C188" i="1" s="1"/>
  <c r="C194" i="1" s="1"/>
  <c r="C199" i="1" s="1"/>
  <c r="C226" i="1" s="1"/>
  <c r="C232" i="1" s="1"/>
  <c r="C237" i="1" s="1"/>
  <c r="C264" i="1" s="1"/>
  <c r="C270" i="1" s="1"/>
  <c r="C275" i="1" s="1"/>
  <c r="C302" i="1" s="1"/>
  <c r="C308" i="1" s="1"/>
  <c r="C313" i="1" s="1"/>
  <c r="C340" i="1" s="1"/>
  <c r="C346" i="1" s="1"/>
  <c r="C351" i="1" s="1"/>
  <c r="C378" i="1" s="1"/>
  <c r="C384" i="1" s="1"/>
  <c r="B9" i="1"/>
  <c r="B36" i="1" s="1"/>
  <c r="B42" i="1" s="1"/>
  <c r="C389" i="1" l="1"/>
  <c r="C416" i="1" s="1"/>
  <c r="C422" i="1" s="1"/>
  <c r="H351" i="1"/>
  <c r="H378" i="1" s="1"/>
  <c r="H384" i="1" s="1"/>
  <c r="D275" i="1"/>
  <c r="D302" i="1" s="1"/>
  <c r="D308" i="1" s="1"/>
  <c r="B47" i="1"/>
  <c r="B74" i="1" s="1"/>
  <c r="B80" i="1" s="1"/>
  <c r="F42" i="1"/>
  <c r="F9" i="1"/>
  <c r="K4" i="1"/>
  <c r="L4" i="1" s="1"/>
  <c r="G9" i="1"/>
  <c r="G36" i="1" s="1"/>
  <c r="G42" i="1" s="1"/>
  <c r="C427" i="1" l="1"/>
  <c r="C454" i="1" s="1"/>
  <c r="C460" i="1" s="1"/>
  <c r="H389" i="1"/>
  <c r="H416" i="1" s="1"/>
  <c r="H422" i="1" s="1"/>
  <c r="D313" i="1"/>
  <c r="D340" i="1" s="1"/>
  <c r="D346" i="1" s="1"/>
  <c r="B85" i="1"/>
  <c r="B112" i="1" s="1"/>
  <c r="B118" i="1" s="1"/>
  <c r="F80" i="1"/>
  <c r="F85" i="1" s="1"/>
  <c r="F112" i="1" s="1"/>
  <c r="F47" i="1"/>
  <c r="G47" i="1"/>
  <c r="G74" i="1" s="1"/>
  <c r="G80" i="1" s="1"/>
  <c r="K42" i="1"/>
  <c r="L42" i="1" s="1"/>
  <c r="F36" i="1"/>
  <c r="K9" i="1"/>
  <c r="L9" i="1" s="1"/>
  <c r="C465" i="1" l="1"/>
  <c r="C492" i="1" s="1"/>
  <c r="C498" i="1" s="1"/>
  <c r="C503" i="1" s="1"/>
  <c r="C530" i="1" s="1"/>
  <c r="C536" i="1" s="1"/>
  <c r="C541" i="1" s="1"/>
  <c r="C568" i="1" s="1"/>
  <c r="H427" i="1"/>
  <c r="H454" i="1" s="1"/>
  <c r="H460" i="1" s="1"/>
  <c r="D351" i="1"/>
  <c r="D378" i="1" s="1"/>
  <c r="D384" i="1" s="1"/>
  <c r="D389" i="1" s="1"/>
  <c r="D416" i="1" s="1"/>
  <c r="D422" i="1" s="1"/>
  <c r="D427" i="1" s="1"/>
  <c r="D454" i="1" s="1"/>
  <c r="D460" i="1" s="1"/>
  <c r="D465" i="1" s="1"/>
  <c r="D492" i="1" s="1"/>
  <c r="D498" i="1" s="1"/>
  <c r="D503" i="1" s="1"/>
  <c r="D530" i="1" s="1"/>
  <c r="D536" i="1" s="1"/>
  <c r="B123" i="1"/>
  <c r="B150" i="1" s="1"/>
  <c r="B156" i="1" s="1"/>
  <c r="F118" i="1"/>
  <c r="F123" i="1" s="1"/>
  <c r="F150" i="1" s="1"/>
  <c r="G85" i="1"/>
  <c r="G112" i="1" s="1"/>
  <c r="G118" i="1" s="1"/>
  <c r="K80" i="1"/>
  <c r="F74" i="1"/>
  <c r="K47" i="1"/>
  <c r="L47" i="1" s="1"/>
  <c r="K36" i="1"/>
  <c r="L36" i="1" s="1"/>
  <c r="D541" i="1" l="1"/>
  <c r="D568" i="1" s="1"/>
  <c r="H465" i="1"/>
  <c r="H492" i="1" s="1"/>
  <c r="H498" i="1" s="1"/>
  <c r="H503" i="1" s="1"/>
  <c r="H530" i="1" s="1"/>
  <c r="H536" i="1" s="1"/>
  <c r="B161" i="1"/>
  <c r="B188" i="1" s="1"/>
  <c r="B194" i="1" s="1"/>
  <c r="F156" i="1"/>
  <c r="F161" i="1" s="1"/>
  <c r="F188" i="1" s="1"/>
  <c r="G123" i="1"/>
  <c r="G150" i="1" s="1"/>
  <c r="G156" i="1" s="1"/>
  <c r="K118" i="1"/>
  <c r="K85" i="1"/>
  <c r="L80" i="1"/>
  <c r="K74" i="1"/>
  <c r="L74" i="1" s="1"/>
  <c r="H541" i="1" l="1"/>
  <c r="H568" i="1" s="1"/>
  <c r="B199" i="1"/>
  <c r="B226" i="1" s="1"/>
  <c r="B232" i="1" s="1"/>
  <c r="F194" i="1"/>
  <c r="F199" i="1" s="1"/>
  <c r="F226" i="1" s="1"/>
  <c r="G161" i="1"/>
  <c r="G188" i="1" s="1"/>
  <c r="G194" i="1" s="1"/>
  <c r="K156" i="1"/>
  <c r="K123" i="1"/>
  <c r="L118" i="1"/>
  <c r="K112" i="1"/>
  <c r="L112" i="1" s="1"/>
  <c r="L85" i="1"/>
  <c r="B237" i="1" l="1"/>
  <c r="B264" i="1" s="1"/>
  <c r="B270" i="1" s="1"/>
  <c r="F232" i="1"/>
  <c r="F237" i="1" s="1"/>
  <c r="F264" i="1" s="1"/>
  <c r="G199" i="1"/>
  <c r="G226" i="1" s="1"/>
  <c r="G232" i="1" s="1"/>
  <c r="K194" i="1"/>
  <c r="K161" i="1"/>
  <c r="L156" i="1"/>
  <c r="K150" i="1"/>
  <c r="L150" i="1" s="1"/>
  <c r="L123" i="1"/>
  <c r="B275" i="1" l="1"/>
  <c r="B302" i="1" s="1"/>
  <c r="B308" i="1" s="1"/>
  <c r="F270" i="1"/>
  <c r="F275" i="1" s="1"/>
  <c r="F302" i="1" s="1"/>
  <c r="G237" i="1"/>
  <c r="G264" i="1" s="1"/>
  <c r="G270" i="1" s="1"/>
  <c r="K232" i="1"/>
  <c r="K199" i="1"/>
  <c r="L194" i="1"/>
  <c r="K188" i="1"/>
  <c r="L188" i="1" s="1"/>
  <c r="L161" i="1"/>
  <c r="B313" i="1" l="1"/>
  <c r="B340" i="1" s="1"/>
  <c r="B346" i="1" s="1"/>
  <c r="F308" i="1"/>
  <c r="F313" i="1" s="1"/>
  <c r="F340" i="1" s="1"/>
  <c r="G275" i="1"/>
  <c r="G302" i="1" s="1"/>
  <c r="G308" i="1" s="1"/>
  <c r="K270" i="1"/>
  <c r="K237" i="1"/>
  <c r="L232" i="1"/>
  <c r="K226" i="1"/>
  <c r="L226" i="1" s="1"/>
  <c r="L199" i="1"/>
  <c r="B351" i="1" l="1"/>
  <c r="B378" i="1" s="1"/>
  <c r="B384" i="1" s="1"/>
  <c r="F346" i="1"/>
  <c r="F351" i="1" s="1"/>
  <c r="F378" i="1" s="1"/>
  <c r="G313" i="1"/>
  <c r="G340" i="1" s="1"/>
  <c r="G346" i="1" s="1"/>
  <c r="K308" i="1"/>
  <c r="K275" i="1"/>
  <c r="L270" i="1"/>
  <c r="K264" i="1"/>
  <c r="L264" i="1" s="1"/>
  <c r="L237" i="1"/>
  <c r="B389" i="1" l="1"/>
  <c r="B416" i="1" s="1"/>
  <c r="B422" i="1" s="1"/>
  <c r="F384" i="1"/>
  <c r="F389" i="1" s="1"/>
  <c r="F416" i="1" s="1"/>
  <c r="K313" i="1"/>
  <c r="L308" i="1"/>
  <c r="G351" i="1"/>
  <c r="G378" i="1" s="1"/>
  <c r="G384" i="1" s="1"/>
  <c r="K346" i="1"/>
  <c r="K302" i="1"/>
  <c r="L302" i="1" s="1"/>
  <c r="L275" i="1"/>
  <c r="B427" i="1" l="1"/>
  <c r="B454" i="1" s="1"/>
  <c r="B460" i="1" s="1"/>
  <c r="F422" i="1"/>
  <c r="G389" i="1"/>
  <c r="G416" i="1" s="1"/>
  <c r="G422" i="1" s="1"/>
  <c r="K384" i="1"/>
  <c r="K351" i="1"/>
  <c r="L346" i="1"/>
  <c r="K340" i="1"/>
  <c r="L340" i="1" s="1"/>
  <c r="L313" i="1"/>
  <c r="F427" i="1" l="1"/>
  <c r="G427" i="1"/>
  <c r="G454" i="1" s="1"/>
  <c r="G460" i="1" s="1"/>
  <c r="K422" i="1"/>
  <c r="K427" i="1" s="1"/>
  <c r="K454" i="1" s="1"/>
  <c r="B465" i="1"/>
  <c r="B492" i="1" s="1"/>
  <c r="B498" i="1" s="1"/>
  <c r="F460" i="1"/>
  <c r="K389" i="1"/>
  <c r="L384" i="1"/>
  <c r="K378" i="1"/>
  <c r="L378" i="1" s="1"/>
  <c r="L351" i="1"/>
  <c r="F498" i="1" l="1"/>
  <c r="B503" i="1"/>
  <c r="B530" i="1" s="1"/>
  <c r="B536" i="1" s="1"/>
  <c r="F465" i="1"/>
  <c r="L422" i="1"/>
  <c r="G465" i="1"/>
  <c r="G492" i="1" s="1"/>
  <c r="G498" i="1" s="1"/>
  <c r="K460" i="1"/>
  <c r="K465" i="1" s="1"/>
  <c r="K492" i="1" s="1"/>
  <c r="L427" i="1"/>
  <c r="F454" i="1"/>
  <c r="L454" i="1" s="1"/>
  <c r="K416" i="1"/>
  <c r="L416" i="1" s="1"/>
  <c r="L389" i="1"/>
  <c r="B541" i="1" l="1"/>
  <c r="B568" i="1" s="1"/>
  <c r="F536" i="1"/>
  <c r="K498" i="1"/>
  <c r="K503" i="1" s="1"/>
  <c r="K530" i="1" s="1"/>
  <c r="G503" i="1"/>
  <c r="G530" i="1" s="1"/>
  <c r="G536" i="1" s="1"/>
  <c r="F503" i="1"/>
  <c r="L460" i="1"/>
  <c r="F492" i="1"/>
  <c r="L492" i="1" s="1"/>
  <c r="L465" i="1"/>
  <c r="G541" i="1" l="1"/>
  <c r="G568" i="1" s="1"/>
  <c r="K536" i="1"/>
  <c r="K541" i="1" s="1"/>
  <c r="K568" i="1" s="1"/>
  <c r="F541" i="1"/>
  <c r="L498" i="1"/>
  <c r="F530" i="1"/>
  <c r="L530" i="1" s="1"/>
  <c r="L503" i="1"/>
  <c r="L536" i="1" l="1"/>
  <c r="F568" i="1"/>
  <c r="L568" i="1" s="1"/>
  <c r="L541" i="1"/>
</calcChain>
</file>

<file path=xl/sharedStrings.xml><?xml version="1.0" encoding="utf-8"?>
<sst xmlns="http://schemas.openxmlformats.org/spreadsheetml/2006/main" count="1381" uniqueCount="372">
  <si>
    <t>カラー</t>
  </si>
  <si>
    <t>サイズ</t>
  </si>
  <si>
    <t>計</t>
    <rPh sb="0" eb="1">
      <t>ケイ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</si>
  <si>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</si>
  <si>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</si>
  <si>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</si>
  <si>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</si>
  <si>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総数</t>
    <rPh sb="0" eb="2">
      <t>ソウスウ</t>
    </rPh>
    <phoneticPr fontId="2"/>
  </si>
  <si>
    <t>出荷数</t>
    <rPh sb="0" eb="2">
      <t>シュッカ</t>
    </rPh>
    <rPh sb="2" eb="3">
      <t>スウ</t>
    </rPh>
    <phoneticPr fontId="2"/>
  </si>
  <si>
    <t>残数</t>
    <rPh sb="0" eb="2">
      <t>ザンスウ</t>
    </rPh>
    <phoneticPr fontId="2"/>
  </si>
  <si>
    <t>在庫</t>
    <rPh sb="0" eb="2">
      <t>ザイコ</t>
    </rPh>
    <phoneticPr fontId="2"/>
  </si>
  <si>
    <t>追加１</t>
    <rPh sb="0" eb="2">
      <t>ツイカ</t>
    </rPh>
    <phoneticPr fontId="2"/>
  </si>
  <si>
    <t>.＠1960</t>
    <phoneticPr fontId="5"/>
  </si>
  <si>
    <t xml:space="preserve">初回  </t>
    <rPh sb="0" eb="2">
      <t>ショカイ</t>
    </rPh>
    <phoneticPr fontId="2"/>
  </si>
  <si>
    <t>計</t>
    <rPh sb="0" eb="1">
      <t>ケイ</t>
    </rPh>
    <phoneticPr fontId="5"/>
  </si>
  <si>
    <t>体型カバー水着帽子付き　アルファベット柄　YC25003 夢販在庫</t>
    <rPh sb="0" eb="2">
      <t>タイケイ</t>
    </rPh>
    <rPh sb="5" eb="7">
      <t>ミズギ</t>
    </rPh>
    <rPh sb="7" eb="10">
      <t>ボウシツ</t>
    </rPh>
    <phoneticPr fontId="2"/>
  </si>
  <si>
    <t>体型カバー水着帽子付き　アルファベット柄 YC25003　KPORT在庫</t>
    <rPh sb="0" eb="2">
      <t>タイケイ</t>
    </rPh>
    <rPh sb="5" eb="7">
      <t>ミズギ</t>
    </rPh>
    <rPh sb="7" eb="10">
      <t>ボウシツ</t>
    </rPh>
    <phoneticPr fontId="2"/>
  </si>
  <si>
    <t>M</t>
    <phoneticPr fontId="5"/>
  </si>
  <si>
    <t>L</t>
    <phoneticPr fontId="5"/>
  </si>
  <si>
    <t>LL</t>
    <phoneticPr fontId="5"/>
  </si>
  <si>
    <t>3L</t>
    <phoneticPr fontId="5"/>
  </si>
  <si>
    <t>点1/23、アバウト・初回2/4、最終2/10</t>
    <rPh sb="0" eb="1">
      <t>テン</t>
    </rPh>
    <rPh sb="11" eb="13">
      <t>ショカイ</t>
    </rPh>
    <rPh sb="17" eb="19">
      <t>サイシュウ</t>
    </rPh>
    <phoneticPr fontId="5"/>
  </si>
  <si>
    <t>パルシステム2025年2月2回差分予測</t>
    <rPh sb="10" eb="11">
      <t>ネン</t>
    </rPh>
    <rPh sb="12" eb="13">
      <t>ガツ</t>
    </rPh>
    <rPh sb="14" eb="15">
      <t>カイ</t>
    </rPh>
    <rPh sb="15" eb="19">
      <t>サブンヨソク</t>
    </rPh>
    <phoneticPr fontId="5"/>
  </si>
  <si>
    <t>追加２ 2-1</t>
    <rPh sb="0" eb="2">
      <t>ツイカ</t>
    </rPh>
    <phoneticPr fontId="2"/>
  </si>
  <si>
    <t>追加４ 2-2</t>
    <rPh sb="0" eb="2">
      <t>ツイカ</t>
    </rPh>
    <phoneticPr fontId="2"/>
  </si>
  <si>
    <t>2024/11/7数伝</t>
    <rPh sb="9" eb="11">
      <t>スウデン</t>
    </rPh>
    <phoneticPr fontId="5"/>
  </si>
  <si>
    <t>夢販</t>
    <rPh sb="0" eb="2">
      <t>ユメハン</t>
    </rPh>
    <phoneticPr fontId="5"/>
  </si>
  <si>
    <t>ネット</t>
    <phoneticPr fontId="5"/>
  </si>
  <si>
    <t>くらしsample（パルシステム）</t>
    <phoneticPr fontId="5"/>
  </si>
  <si>
    <t>不足分</t>
    <rPh sb="0" eb="3">
      <t>フソクブン</t>
    </rPh>
    <phoneticPr fontId="2"/>
  </si>
  <si>
    <t>3月</t>
    <rPh sb="1" eb="2">
      <t>ガツ</t>
    </rPh>
    <phoneticPr fontId="5"/>
  </si>
  <si>
    <t>ボーケン検査(dinosトップスのみ)</t>
    <rPh sb="4" eb="6">
      <t>ケンサ</t>
    </rPh>
    <phoneticPr fontId="5"/>
  </si>
  <si>
    <t>2024/1/7数伝</t>
    <rPh sb="8" eb="9">
      <t>スウ</t>
    </rPh>
    <rPh sb="9" eb="10">
      <t>デン</t>
    </rPh>
    <phoneticPr fontId="5"/>
  </si>
  <si>
    <t>かりん</t>
    <phoneticPr fontId="5"/>
  </si>
  <si>
    <t>ブルーベース</t>
    <phoneticPr fontId="5"/>
  </si>
  <si>
    <t>ブラックベース</t>
    <phoneticPr fontId="5"/>
  </si>
  <si>
    <t>IEI4月号sample</t>
    <rPh sb="4" eb="6">
      <t>ガツゴウ</t>
    </rPh>
    <phoneticPr fontId="5"/>
  </si>
  <si>
    <t>ディノス2025年3月チラシ差分予測</t>
    <rPh sb="8" eb="9">
      <t>ネン</t>
    </rPh>
    <rPh sb="10" eb="11">
      <t>ガツ</t>
    </rPh>
    <rPh sb="14" eb="18">
      <t>サブンヨソク</t>
    </rPh>
    <phoneticPr fontId="5"/>
  </si>
  <si>
    <t>4/14～</t>
    <phoneticPr fontId="5"/>
  </si>
  <si>
    <t>IEI使ってヨカッタ4月号</t>
    <rPh sb="3" eb="4">
      <t>ツカ</t>
    </rPh>
    <rPh sb="11" eb="13">
      <t>ガツゴウ</t>
    </rPh>
    <phoneticPr fontId="5"/>
  </si>
  <si>
    <r>
      <t>パルシステム2025年2月2回</t>
    </r>
    <r>
      <rPr>
        <b/>
        <sz val="11"/>
        <rFont val="ＭＳ Ｐゴシック"/>
        <family val="3"/>
        <charset val="128"/>
      </rPr>
      <t>(JANシール貼付)②</t>
    </r>
    <rPh sb="10" eb="11">
      <t>ネン</t>
    </rPh>
    <rPh sb="12" eb="13">
      <t>ガツ</t>
    </rPh>
    <rPh sb="14" eb="15">
      <t>カイ</t>
    </rPh>
    <rPh sb="22" eb="24">
      <t>テンプ</t>
    </rPh>
    <phoneticPr fontId="5"/>
  </si>
  <si>
    <r>
      <t>パルシステム2025年2月2回</t>
    </r>
    <r>
      <rPr>
        <b/>
        <sz val="11"/>
        <rFont val="ＭＳ Ｐゴシック"/>
        <family val="3"/>
        <charset val="128"/>
      </rPr>
      <t>(JANシール貼付)③</t>
    </r>
    <rPh sb="10" eb="11">
      <t>ネン</t>
    </rPh>
    <rPh sb="12" eb="13">
      <t>ガツ</t>
    </rPh>
    <rPh sb="14" eb="15">
      <t>カイ</t>
    </rPh>
    <rPh sb="22" eb="24">
      <t>テンプ</t>
    </rPh>
    <phoneticPr fontId="5"/>
  </si>
  <si>
    <t>JOD撮影用サンプル</t>
    <rPh sb="3" eb="6">
      <t>サツエイヨウ</t>
    </rPh>
    <phoneticPr fontId="5"/>
  </si>
  <si>
    <r>
      <t>パルシステム2025年2月2回</t>
    </r>
    <r>
      <rPr>
        <b/>
        <sz val="11"/>
        <rFont val="ＭＳ Ｐゴシック"/>
        <family val="3"/>
        <charset val="128"/>
      </rPr>
      <t>(JANシール貼付)</t>
    </r>
    <rPh sb="10" eb="11">
      <t>ネン</t>
    </rPh>
    <rPh sb="12" eb="13">
      <t>ガツ</t>
    </rPh>
    <rPh sb="14" eb="15">
      <t>カイ</t>
    </rPh>
    <rPh sb="22" eb="24">
      <t>テンプ</t>
    </rPh>
    <phoneticPr fontId="5"/>
  </si>
  <si>
    <r>
      <t>パルシステム2025年2月2回</t>
    </r>
    <r>
      <rPr>
        <b/>
        <sz val="11"/>
        <rFont val="ＭＳ Ｐゴシック"/>
        <family val="3"/>
        <charset val="128"/>
      </rPr>
      <t>(JANシール貼付)④</t>
    </r>
    <rPh sb="10" eb="11">
      <t>ネン</t>
    </rPh>
    <rPh sb="12" eb="13">
      <t>ガツ</t>
    </rPh>
    <rPh sb="14" eb="15">
      <t>カイ</t>
    </rPh>
    <rPh sb="22" eb="24">
      <t>テンプ</t>
    </rPh>
    <phoneticPr fontId="5"/>
  </si>
  <si>
    <t>追加３ 2-1</t>
    <rPh sb="0" eb="2">
      <t>ツイカ</t>
    </rPh>
    <phoneticPr fontId="2"/>
  </si>
  <si>
    <r>
      <t>パルシステム2025年2月2回</t>
    </r>
    <r>
      <rPr>
        <b/>
        <sz val="11"/>
        <rFont val="ＭＳ Ｐゴシック"/>
        <family val="3"/>
        <charset val="128"/>
      </rPr>
      <t>(JANシール貼付)⑤</t>
    </r>
    <rPh sb="10" eb="11">
      <t>ネン</t>
    </rPh>
    <rPh sb="12" eb="13">
      <t>ガツ</t>
    </rPh>
    <rPh sb="14" eb="15">
      <t>カイ</t>
    </rPh>
    <rPh sb="22" eb="24">
      <t>テンプ</t>
    </rPh>
    <phoneticPr fontId="5"/>
  </si>
  <si>
    <t>夢販</t>
    <rPh sb="0" eb="2">
      <t>ユメハン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</si>
  <si>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</t>
    </r>
    <r>
      <rPr>
        <sz val="11"/>
        <rFont val="ＭＳ Ｐゴシック"/>
        <family val="3"/>
        <charset val="128"/>
      </rPr>
      <t>①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</si>
  <si>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くらし返品</t>
    <rPh sb="3" eb="5">
      <t>ヘンピン</t>
    </rPh>
    <phoneticPr fontId="2"/>
  </si>
  <si>
    <t>追加３　2-2</t>
    <rPh sb="0" eb="2">
      <t>ツイカ</t>
    </rPh>
    <phoneticPr fontId="2"/>
  </si>
  <si>
    <t xml:space="preserve">追加２ </t>
    <rPh sb="0" eb="2">
      <t>ツイカ</t>
    </rPh>
    <phoneticPr fontId="2"/>
  </si>
  <si>
    <t>あいコープみやぎ4月5回</t>
    <rPh sb="9" eb="10">
      <t>ガツ</t>
    </rPh>
    <rPh sb="11" eb="12">
      <t>カイ</t>
    </rPh>
    <phoneticPr fontId="5"/>
  </si>
  <si>
    <t>2025/3/10数伝</t>
    <rPh sb="9" eb="10">
      <t>スウ</t>
    </rPh>
    <rPh sb="10" eb="11">
      <t>デン</t>
    </rPh>
    <phoneticPr fontId="5"/>
  </si>
  <si>
    <t>夢販</t>
    <rPh sb="0" eb="2">
      <t>ユメハン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</si>
  <si>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(耐光ケアのペラ紙)②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</si>
  <si>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(耐光ケアのペラ紙)③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</si>
  <si>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(耐光ケアのペラ紙)④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</si>
  <si>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ブルーベース　3634-050～053</t>
    <phoneticPr fontId="5"/>
  </si>
  <si>
    <t>ブラックベース　3634-060～063</t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</si>
  <si>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(耐光ケアのペラ紙)⑤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</si>
  <si>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(耐光ケアのペラ紙)⑥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</si>
  <si>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(耐光ケアのペラ紙)⑦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</si>
  <si>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追加</t>
    <rPh sb="0" eb="2">
      <t>ツイカ</t>
    </rPh>
    <phoneticPr fontId="5"/>
  </si>
  <si>
    <t>在庫確認</t>
    <rPh sb="0" eb="4">
      <t>ザイコカクニン</t>
    </rPh>
    <phoneticPr fontId="2"/>
  </si>
  <si>
    <t>千趣会（2025WEB）</t>
    <rPh sb="0" eb="3">
      <t>センシュカイ</t>
    </rPh>
    <phoneticPr fontId="5"/>
  </si>
  <si>
    <t>IEI4月号sample返却</t>
    <rPh sb="4" eb="6">
      <t>ガツゴウ</t>
    </rPh>
    <rPh sb="12" eb="14">
      <t>ヘンキャク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</si>
  <si>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(耐光ケアのペラ紙)⑧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</si>
  <si>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くらしsample（きんき）</t>
    <phoneticPr fontId="5"/>
  </si>
  <si>
    <t>ディノス返品</t>
    <rPh sb="4" eb="6">
      <t>ヘンピン</t>
    </rPh>
    <phoneticPr fontId="5"/>
  </si>
  <si>
    <t>4/9～</t>
    <phoneticPr fontId="5"/>
  </si>
  <si>
    <t>千趣会（2025WEB）①</t>
    <rPh sb="0" eb="3">
      <t>センシュカイ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</si>
  <si>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(耐光ケアのペラ紙)⑨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</si>
  <si>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(耐光ケアのペラ紙)⑩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</si>
  <si>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IEI使ってヨカッタ4月号①</t>
    <rPh sb="3" eb="4">
      <t>ツカ</t>
    </rPh>
    <rPh sb="11" eb="13">
      <t>ガツゴウ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</si>
  <si>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</si>
  <si>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くらし企画（きんき）登録用sample</t>
    <rPh sb="3" eb="5">
      <t>キカク</t>
    </rPh>
    <rPh sb="10" eb="13">
      <t>トウロクヨウ</t>
    </rPh>
    <phoneticPr fontId="5"/>
  </si>
  <si>
    <t>JOD①</t>
    <phoneticPr fontId="5"/>
  </si>
  <si>
    <t>JOD②</t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</si>
  <si>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(耐光ケアのペラ紙)⑪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</si>
  <si>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あいコープみやぎ6月2回</t>
    <rPh sb="9" eb="10">
      <t>ガツ</t>
    </rPh>
    <rPh sb="11" eb="12">
      <t>カイ</t>
    </rPh>
    <phoneticPr fontId="5"/>
  </si>
  <si>
    <t>JOD③</t>
    <phoneticPr fontId="5"/>
  </si>
  <si>
    <t>くらし企画返品</t>
    <rPh sb="3" eb="7">
      <t>キカクヘンピン</t>
    </rPh>
    <phoneticPr fontId="2"/>
  </si>
  <si>
    <t>JOD撮影用サンプル返却</t>
    <rPh sb="3" eb="6">
      <t>サツエイヨウ</t>
    </rPh>
    <rPh sb="10" eb="12">
      <t>ヘンキャク</t>
    </rPh>
    <phoneticPr fontId="5"/>
  </si>
  <si>
    <t>サクラマチ提案sample</t>
    <rPh sb="5" eb="7">
      <t>テイアン</t>
    </rPh>
    <phoneticPr fontId="5"/>
  </si>
  <si>
    <t>千趣会（2025WEB）②</t>
    <rPh sb="0" eb="3">
      <t>センシュカイ</t>
    </rPh>
    <phoneticPr fontId="5"/>
  </si>
  <si>
    <t>JOD④</t>
    <phoneticPr fontId="5"/>
  </si>
  <si>
    <t>JOD⑤</t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</si>
  <si>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(耐光ケアのペラ紙)⑫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</si>
  <si>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JOD⑥</t>
    <phoneticPr fontId="5"/>
  </si>
  <si>
    <t>JOD⑦</t>
    <phoneticPr fontId="5"/>
  </si>
  <si>
    <t>IEI使ってヨカッタ4月号②</t>
    <rPh sb="3" eb="4">
      <t>ツカ</t>
    </rPh>
    <rPh sb="11" eb="13">
      <t>ガツゴウ</t>
    </rPh>
    <phoneticPr fontId="5"/>
  </si>
  <si>
    <t>JOD⑧</t>
    <phoneticPr fontId="5"/>
  </si>
  <si>
    <t>JOD⑨</t>
    <phoneticPr fontId="5"/>
  </si>
  <si>
    <t>あいコープみやぎ4月5回①</t>
    <rPh sb="9" eb="10">
      <t>ガツ</t>
    </rPh>
    <rPh sb="11" eb="12">
      <t>カイ</t>
    </rPh>
    <phoneticPr fontId="5"/>
  </si>
  <si>
    <t>IEI使ってヨカッタ4月号③</t>
    <rPh sb="3" eb="4">
      <t>ツカ</t>
    </rPh>
    <rPh sb="11" eb="13">
      <t>ガツゴウ</t>
    </rPh>
    <phoneticPr fontId="5"/>
  </si>
  <si>
    <t>コープきんき7月4回差分予測</t>
    <rPh sb="7" eb="8">
      <t>ガツ</t>
    </rPh>
    <rPh sb="9" eb="10">
      <t>カイ</t>
    </rPh>
    <rPh sb="10" eb="14">
      <t>サブンヨソク</t>
    </rPh>
    <phoneticPr fontId="5"/>
  </si>
  <si>
    <t>コープきんき7月4回</t>
    <rPh sb="7" eb="8">
      <t>ガツ</t>
    </rPh>
    <rPh sb="9" eb="10">
      <t>カイ</t>
    </rPh>
    <phoneticPr fontId="5"/>
  </si>
  <si>
    <t>IEI 朝日新聞（大阪・北中西版）</t>
    <rPh sb="4" eb="8">
      <t>アサヒシンブン</t>
    </rPh>
    <rPh sb="9" eb="11">
      <t>オオサカ</t>
    </rPh>
    <rPh sb="12" eb="14">
      <t>キタナカ</t>
    </rPh>
    <rPh sb="14" eb="15">
      <t>ニシ</t>
    </rPh>
    <rPh sb="15" eb="16">
      <t>バン</t>
    </rPh>
    <phoneticPr fontId="5"/>
  </si>
  <si>
    <t>JOD⑩</t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</si>
  <si>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(耐光ケアのペラ紙)⑬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</si>
  <si>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(再送)あいコープみやぎ4月5回①</t>
    <rPh sb="1" eb="3">
      <t>サイソウ</t>
    </rPh>
    <rPh sb="13" eb="14">
      <t>ガツ</t>
    </rPh>
    <rPh sb="15" eb="16">
      <t>カイ</t>
    </rPh>
    <phoneticPr fontId="5"/>
  </si>
  <si>
    <t>IEI使ってヨカッタ4月号④</t>
    <rPh sb="3" eb="4">
      <t>ツカ</t>
    </rPh>
    <rPh sb="11" eb="13">
      <t>ガツゴウ</t>
    </rPh>
    <phoneticPr fontId="5"/>
  </si>
  <si>
    <t>JOD⑪</t>
    <phoneticPr fontId="5"/>
  </si>
  <si>
    <t>JOD⑫</t>
    <phoneticPr fontId="5"/>
  </si>
  <si>
    <t>JOD⑬</t>
    <phoneticPr fontId="5"/>
  </si>
  <si>
    <t>追加</t>
    <rPh sb="0" eb="2">
      <t>ツイカ</t>
    </rPh>
    <phoneticPr fontId="5"/>
  </si>
  <si>
    <t>夢販</t>
    <rPh sb="0" eb="2">
      <t>ユメハン</t>
    </rPh>
    <phoneticPr fontId="5"/>
  </si>
  <si>
    <t>JOD⑭</t>
    <phoneticPr fontId="5"/>
  </si>
  <si>
    <t>JOD返品</t>
    <rPh sb="3" eb="5">
      <t>ヘンピン</t>
    </rPh>
    <phoneticPr fontId="5"/>
  </si>
  <si>
    <t>JODプリマナ7278</t>
    <phoneticPr fontId="5"/>
  </si>
  <si>
    <t>4/4～</t>
    <phoneticPr fontId="5"/>
  </si>
  <si>
    <t>JOD⑮</t>
    <phoneticPr fontId="5"/>
  </si>
  <si>
    <t>あいコープみやぎ7月3回</t>
    <rPh sb="9" eb="10">
      <t>ガツ</t>
    </rPh>
    <rPh sb="11" eb="12">
      <t>カイ</t>
    </rPh>
    <phoneticPr fontId="5"/>
  </si>
  <si>
    <t>確定発注7/9</t>
    <rPh sb="0" eb="4">
      <t>カクテイハッチュウ</t>
    </rPh>
    <phoneticPr fontId="5"/>
  </si>
  <si>
    <t>千趣会（2025WEB）③</t>
    <rPh sb="0" eb="3">
      <t>センシュカイ</t>
    </rPh>
    <phoneticPr fontId="5"/>
  </si>
  <si>
    <t>IEI JCB同梱誌6月号</t>
    <rPh sb="7" eb="9">
      <t>ドウコン</t>
    </rPh>
    <rPh sb="9" eb="10">
      <t>シ</t>
    </rPh>
    <rPh sb="11" eb="13">
      <t>ガツゴウ</t>
    </rPh>
    <phoneticPr fontId="5"/>
  </si>
  <si>
    <t>発行日6/20～8/31</t>
    <rPh sb="0" eb="3">
      <t>ハッコウビ</t>
    </rPh>
    <phoneticPr fontId="5"/>
  </si>
  <si>
    <t>発行日6/7～7/31</t>
    <rPh sb="0" eb="3">
      <t>ハッコウビ</t>
    </rPh>
    <phoneticPr fontId="5"/>
  </si>
  <si>
    <t>ディノス返品</t>
    <rPh sb="4" eb="6">
      <t>ヘンピン</t>
    </rPh>
    <phoneticPr fontId="2"/>
  </si>
  <si>
    <t>IEI交換</t>
    <rPh sb="3" eb="5">
      <t>コウカン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</si>
  <si>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(耐光ケアのペラ紙)⑭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</si>
  <si>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点７/3　アバ7/15　7/15～21</t>
    <rPh sb="0" eb="1">
      <t>テン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</si>
  <si>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(耐光ケアのペラ紙)⑮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</si>
  <si>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千趣会（2025WEB）④</t>
    <rPh sb="0" eb="3">
      <t>センシュカイ</t>
    </rPh>
    <phoneticPr fontId="5"/>
  </si>
  <si>
    <t>JOD特別版0625</t>
    <rPh sb="3" eb="6">
      <t>トクベツバン</t>
    </rPh>
    <phoneticPr fontId="5"/>
  </si>
  <si>
    <t>6/24～</t>
    <phoneticPr fontId="5"/>
  </si>
  <si>
    <t>あいコープみやぎ7月5回</t>
    <rPh sb="9" eb="10">
      <t>ガツ</t>
    </rPh>
    <rPh sb="11" eb="12">
      <t>カイ</t>
    </rPh>
    <phoneticPr fontId="5"/>
  </si>
  <si>
    <t>確定発注7/23</t>
    <rPh sb="0" eb="4">
      <t>カクテイハッチュウ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</si>
  <si>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(耐光ケアのペラ紙)⑯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</si>
  <si>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JOD⑯</t>
    <phoneticPr fontId="5"/>
  </si>
  <si>
    <t>IEI使ってヨカッタ4月号⑤</t>
    <rPh sb="3" eb="4">
      <t>ツカ</t>
    </rPh>
    <rPh sb="11" eb="13">
      <t>ガツゴウ</t>
    </rPh>
    <phoneticPr fontId="5"/>
  </si>
  <si>
    <t>IEI使ってヨカッタ4月号⑥　朝日新聞①</t>
    <rPh sb="3" eb="4">
      <t>ツカ</t>
    </rPh>
    <rPh sb="11" eb="13">
      <t>ガツゴウ</t>
    </rPh>
    <phoneticPr fontId="5"/>
  </si>
  <si>
    <t>IEI 朝日新聞（大阪・北中西版）②</t>
    <rPh sb="4" eb="8">
      <t>アサヒシンブン</t>
    </rPh>
    <rPh sb="9" eb="11">
      <t>オオサカ</t>
    </rPh>
    <rPh sb="12" eb="14">
      <t>キタナカ</t>
    </rPh>
    <rPh sb="14" eb="15">
      <t>ニシ</t>
    </rPh>
    <rPh sb="15" eb="16">
      <t>バン</t>
    </rPh>
    <phoneticPr fontId="5"/>
  </si>
  <si>
    <t>追加６</t>
    <rPh sb="0" eb="2">
      <t>ツイカ</t>
    </rPh>
    <phoneticPr fontId="2"/>
  </si>
  <si>
    <t>2025/5/24数伝</t>
    <rPh sb="9" eb="11">
      <t>スウデン</t>
    </rPh>
    <phoneticPr fontId="5"/>
  </si>
  <si>
    <t>IEIヴィヴァン7月号</t>
    <rPh sb="9" eb="11">
      <t>ガツゴウ</t>
    </rPh>
    <phoneticPr fontId="5"/>
  </si>
  <si>
    <t>7/28～</t>
    <phoneticPr fontId="5"/>
  </si>
  <si>
    <t>IEIあつめる同梱冊子8月号</t>
    <rPh sb="7" eb="9">
      <t>ドウコン</t>
    </rPh>
    <rPh sb="9" eb="11">
      <t>サッシ</t>
    </rPh>
    <rPh sb="12" eb="14">
      <t>ガツゴウ</t>
    </rPh>
    <phoneticPr fontId="5"/>
  </si>
  <si>
    <t>8/18～</t>
    <phoneticPr fontId="5"/>
  </si>
  <si>
    <t>千趣会（2025WEB）⑤</t>
    <rPh sb="0" eb="3">
      <t>センシュカイ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</si>
  <si>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(耐光ケアのペラ紙)⑰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</si>
  <si>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千趣会（2025WEB）⑥</t>
    <rPh sb="0" eb="3">
      <t>センシュカイ</t>
    </rPh>
    <phoneticPr fontId="5"/>
  </si>
  <si>
    <t>オバタsample</t>
    <phoneticPr fontId="5"/>
  </si>
  <si>
    <t>JOD⑰</t>
    <phoneticPr fontId="5"/>
  </si>
  <si>
    <t>実績構成比</t>
    <rPh sb="0" eb="2">
      <t>ジッセキ</t>
    </rPh>
    <rPh sb="2" eb="5">
      <t>コウセイヒ</t>
    </rPh>
    <phoneticPr fontId="5"/>
  </si>
  <si>
    <t>在庫構成比</t>
    <rPh sb="0" eb="2">
      <t>ザイコ</t>
    </rPh>
    <rPh sb="2" eb="5">
      <t>コウセイヒ</t>
    </rPh>
    <phoneticPr fontId="5"/>
  </si>
  <si>
    <t>実績販売数</t>
    <rPh sb="0" eb="2">
      <t>ジッセキ</t>
    </rPh>
    <rPh sb="2" eb="4">
      <t>ハンバイ</t>
    </rPh>
    <rPh sb="4" eb="5">
      <t>スウ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</si>
  <si>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(耐光ケアのペラ紙)⑱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</si>
  <si>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過入荷分</t>
    <rPh sb="0" eb="4">
      <t>カニュウカブン</t>
    </rPh>
    <phoneticPr fontId="2"/>
  </si>
  <si>
    <t>千趣会（2025WEB）⑦</t>
    <rPh sb="0" eb="3">
      <t>センシュカイ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</si>
  <si>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(耐光ケアのペラ紙)⑲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</si>
  <si>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千趣会返品</t>
    <rPh sb="0" eb="3">
      <t>センシュカイ</t>
    </rPh>
    <rPh sb="3" eb="5">
      <t>ヘンピン</t>
    </rPh>
    <phoneticPr fontId="5"/>
  </si>
  <si>
    <t>確定発注8/20</t>
    <rPh sb="0" eb="4">
      <t>カクテイハッチュウ</t>
    </rPh>
    <phoneticPr fontId="5"/>
  </si>
  <si>
    <t>あいコープみやぎ8月4回￥6490</t>
    <rPh sb="9" eb="10">
      <t>ガツ</t>
    </rPh>
    <rPh sb="11" eb="12">
      <t>カイ</t>
    </rPh>
    <phoneticPr fontId="5"/>
  </si>
  <si>
    <t>国内在庫6/20数伝</t>
    <rPh sb="0" eb="4">
      <t>コクナイザイコ</t>
    </rPh>
    <rPh sb="8" eb="10">
      <t>スウデン</t>
    </rPh>
    <phoneticPr fontId="5"/>
  </si>
  <si>
    <t>コープきんき7月4回①</t>
    <rPh sb="7" eb="8">
      <t>ガツ</t>
    </rPh>
    <rPh sb="9" eb="10">
      <t>カイ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</si>
  <si>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(耐光ケアのペラ紙)⑳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</si>
  <si>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JOD⑱</t>
    <phoneticPr fontId="5"/>
  </si>
  <si>
    <t>千趣会（2025WEB）⑧</t>
    <rPh sb="0" eb="3">
      <t>センシュカイ</t>
    </rPh>
    <phoneticPr fontId="5"/>
  </si>
  <si>
    <t>JOD⑲</t>
    <phoneticPr fontId="5"/>
  </si>
  <si>
    <t>JOD⑳</t>
    <phoneticPr fontId="5"/>
  </si>
  <si>
    <t>追加１</t>
    <rPh sb="0" eb="2">
      <t>ツイカ</t>
    </rPh>
    <phoneticPr fontId="5"/>
  </si>
  <si>
    <t>追加２</t>
    <rPh sb="0" eb="2">
      <t>ツイカ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</si>
  <si>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(耐光ケアのペラ紙)㉒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</si>
  <si>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(耐光ケアのペラ紙)㉑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</si>
  <si>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JOD㉑</t>
    <phoneticPr fontId="5"/>
  </si>
  <si>
    <t>JOD㉒</t>
    <phoneticPr fontId="5"/>
  </si>
  <si>
    <t>JOD㉓</t>
    <phoneticPr fontId="5"/>
  </si>
  <si>
    <t>追加</t>
    <rPh sb="0" eb="2">
      <t>ツイカ</t>
    </rPh>
    <phoneticPr fontId="5"/>
  </si>
  <si>
    <t>JOD㉔</t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</si>
  <si>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(耐光ケアのペラ紙)㉓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</si>
  <si>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JOD㉕</t>
    <phoneticPr fontId="5"/>
  </si>
  <si>
    <t>JOD㉖</t>
    <phoneticPr fontId="5"/>
  </si>
  <si>
    <t>JOD㉗</t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</si>
  <si>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(耐光ケアのペラ紙)㉔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</si>
  <si>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(耐光ケアのペラ紙)㉕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</si>
  <si>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JOD㉘</t>
    <phoneticPr fontId="5"/>
  </si>
  <si>
    <t>2025/7/12数伝</t>
    <rPh sb="9" eb="10">
      <t>スウ</t>
    </rPh>
    <rPh sb="10" eb="11">
      <t>デン</t>
    </rPh>
    <phoneticPr fontId="5"/>
  </si>
  <si>
    <t>千趣会（2025WEB）⑨</t>
    <rPh sb="0" eb="3">
      <t>センシュカイ</t>
    </rPh>
    <phoneticPr fontId="5"/>
  </si>
  <si>
    <t>コープきんき7月4回②</t>
    <rPh sb="7" eb="8">
      <t>ガツ</t>
    </rPh>
    <rPh sb="9" eb="10">
      <t>カイ</t>
    </rPh>
    <phoneticPr fontId="5"/>
  </si>
  <si>
    <t>JOD㉙</t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</si>
  <si>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(耐光ケアのペラ紙)㉖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</si>
  <si>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JOD㉚</t>
    <phoneticPr fontId="5"/>
  </si>
  <si>
    <t>コープきんき7月4回③</t>
    <rPh sb="7" eb="8">
      <t>ガツ</t>
    </rPh>
    <rPh sb="9" eb="10">
      <t>カイ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</si>
  <si>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(耐光ケアのペラ紙)㉘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</si>
  <si>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(耐光ケアのペラ紙)㉗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</si>
  <si>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JOD㉛</t>
    <phoneticPr fontId="5"/>
  </si>
  <si>
    <t>コープきんき7月4回④</t>
    <rPh sb="7" eb="8">
      <t>ガツ</t>
    </rPh>
    <rPh sb="9" eb="10">
      <t>カイ</t>
    </rPh>
    <phoneticPr fontId="5"/>
  </si>
  <si>
    <t>IEIヴィヴァン7月号①</t>
    <rPh sb="9" eb="11">
      <t>ガツゴウ</t>
    </rPh>
    <phoneticPr fontId="5"/>
  </si>
  <si>
    <t>JOD㉜</t>
    <phoneticPr fontId="5"/>
  </si>
  <si>
    <t>2025/7/19数伝</t>
    <rPh sb="9" eb="11">
      <t>スウデン</t>
    </rPh>
    <phoneticPr fontId="5"/>
  </si>
  <si>
    <t>JOD㉝</t>
    <phoneticPr fontId="5"/>
  </si>
  <si>
    <t>IEI使ってヨカッタ9月号</t>
    <rPh sb="3" eb="4">
      <t>ツカ</t>
    </rPh>
    <rPh sb="11" eb="13">
      <t>ガツゴウ</t>
    </rPh>
    <phoneticPr fontId="5"/>
  </si>
  <si>
    <t>9/8～</t>
    <phoneticPr fontId="5"/>
  </si>
  <si>
    <t>JOD返品</t>
    <rPh sb="3" eb="5">
      <t>ヘンピン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</si>
  <si>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(耐光ケアのペラ紙)㉙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</si>
  <si>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ディノス26新春号</t>
    <rPh sb="6" eb="9">
      <t>シンシュンゴウ</t>
    </rPh>
    <phoneticPr fontId="5"/>
  </si>
  <si>
    <t>1/5～6/30</t>
    <phoneticPr fontId="5"/>
  </si>
  <si>
    <t>JOD㉞</t>
    <phoneticPr fontId="5"/>
  </si>
  <si>
    <t>追加</t>
    <rPh sb="0" eb="2">
      <t>ツイカ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</si>
  <si>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(耐光ケアのペラ紙)㉚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</si>
  <si>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JOD㉟</t>
    <phoneticPr fontId="5"/>
  </si>
  <si>
    <t>IEIヴィヴァン7月号②</t>
    <rPh sb="9" eb="11">
      <t>ガツゴウ</t>
    </rPh>
    <phoneticPr fontId="5"/>
  </si>
  <si>
    <t>かりん</t>
    <phoneticPr fontId="5"/>
  </si>
  <si>
    <t>JOD㊱</t>
    <phoneticPr fontId="5"/>
  </si>
  <si>
    <t>IEIあつめる同梱冊子8月号①</t>
    <rPh sb="7" eb="9">
      <t>ドウコン</t>
    </rPh>
    <rPh sb="9" eb="11">
      <t>サッシ</t>
    </rPh>
    <rPh sb="12" eb="14">
      <t>ガツゴウ</t>
    </rPh>
    <phoneticPr fontId="5"/>
  </si>
  <si>
    <t>IEIあつめる同梱冊子8月号②</t>
    <rPh sb="7" eb="9">
      <t>ドウコン</t>
    </rPh>
    <rPh sb="9" eb="11">
      <t>サッシ</t>
    </rPh>
    <rPh sb="12" eb="14">
      <t>ガツゴウ</t>
    </rPh>
    <phoneticPr fontId="5"/>
  </si>
  <si>
    <t>ディノス返品</t>
    <rPh sb="4" eb="6">
      <t>ヘンピン</t>
    </rPh>
    <phoneticPr fontId="5"/>
  </si>
  <si>
    <t>JOD㊲</t>
    <phoneticPr fontId="5"/>
  </si>
  <si>
    <t>追加</t>
    <rPh sb="0" eb="2">
      <t>ツイカ</t>
    </rPh>
    <phoneticPr fontId="5"/>
  </si>
  <si>
    <t>JOD㊳</t>
    <phoneticPr fontId="5"/>
  </si>
  <si>
    <t>2025/9/1数伝</t>
    <rPh sb="8" eb="10">
      <t>スウデン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</si>
  <si>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(耐光ケアのペラ紙)㉛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</si>
  <si>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IEI返品</t>
    <rPh sb="3" eb="5">
      <t>ヘンピン</t>
    </rPh>
    <phoneticPr fontId="5"/>
  </si>
  <si>
    <t>IEI使ってヨカッタ9月号①</t>
    <rPh sb="3" eb="4">
      <t>ツカ</t>
    </rPh>
    <rPh sb="11" eb="13">
      <t>ガツゴウ</t>
    </rPh>
    <phoneticPr fontId="5"/>
  </si>
  <si>
    <t>JOD㊴</t>
    <phoneticPr fontId="5"/>
  </si>
  <si>
    <t>ディノス撮影用sample</t>
    <rPh sb="4" eb="7">
      <t>サツエイヨウ</t>
    </rPh>
    <phoneticPr fontId="5"/>
  </si>
  <si>
    <t>グリーンコープ12月40号</t>
    <rPh sb="9" eb="10">
      <t>ガツ</t>
    </rPh>
    <rPh sb="12" eb="13">
      <t>ゴウ</t>
    </rPh>
    <phoneticPr fontId="5"/>
  </si>
  <si>
    <t>ディノス26新春号差分予測</t>
    <rPh sb="6" eb="9">
      <t>シンシュンゴウ</t>
    </rPh>
    <rPh sb="9" eb="13">
      <t>サブンヨソク</t>
    </rPh>
    <phoneticPr fontId="5"/>
  </si>
  <si>
    <t>グリーンコープ12月40号　差分予測</t>
    <rPh sb="14" eb="18">
      <t>サブンヨソク</t>
    </rPh>
    <phoneticPr fontId="5"/>
  </si>
  <si>
    <t>JOD㊵</t>
    <phoneticPr fontId="5"/>
  </si>
  <si>
    <t>JOD返品</t>
    <rPh sb="3" eb="5">
      <t>ヘンピン</t>
    </rPh>
    <phoneticPr fontId="2"/>
  </si>
  <si>
    <t>IEI使ってヨカッタ9月号②</t>
    <rPh sb="3" eb="4">
      <t>ツカ</t>
    </rPh>
    <rPh sb="11" eb="13">
      <t>ガツゴウ</t>
    </rPh>
    <phoneticPr fontId="5"/>
  </si>
  <si>
    <t>JOD㊶</t>
    <phoneticPr fontId="5"/>
  </si>
  <si>
    <t>IEI交換</t>
    <rPh sb="3" eb="5">
      <t>コウカン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</si>
  <si>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(耐光ケアのペラ紙)㉜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</si>
  <si>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JOD㊷</t>
    <phoneticPr fontId="5"/>
  </si>
  <si>
    <t>千趣会返品</t>
    <rPh sb="0" eb="3">
      <t>センシュカイ</t>
    </rPh>
    <rPh sb="3" eb="5">
      <t>ヘンピン</t>
    </rPh>
    <phoneticPr fontId="2"/>
  </si>
  <si>
    <t>夢販</t>
    <rPh sb="0" eb="2">
      <t>ユメハン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</si>
  <si>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(耐光ケアのペラ紙)㉝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</si>
  <si>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ベルーナ26春sample</t>
    <rPh sb="6" eb="7">
      <t>ハル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</si>
  <si>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(耐光ケアのペラ紙)㉞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</si>
  <si>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(耐光ケアのペラ紙)㉟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</si>
  <si>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本番2/4～</t>
    <rPh sb="0" eb="2">
      <t>ホンバン</t>
    </rPh>
    <phoneticPr fontId="5"/>
  </si>
  <si>
    <t>ベルーナ元気とキレイの秘訣26年春号</t>
    <rPh sb="4" eb="6">
      <t>ゲンキ</t>
    </rPh>
    <rPh sb="11" eb="13">
      <t>ヒケツ</t>
    </rPh>
    <rPh sb="15" eb="16">
      <t>ネン</t>
    </rPh>
    <rPh sb="16" eb="18">
      <t>ハルゴウ</t>
    </rPh>
    <phoneticPr fontId="5"/>
  </si>
  <si>
    <t>ベルーナ元気とキレイの秘訣26年春号差分予測</t>
    <rPh sb="16" eb="18">
      <t>ハルゴウ</t>
    </rPh>
    <rPh sb="18" eb="22">
      <t>サブンヨソク</t>
    </rPh>
    <phoneticPr fontId="5"/>
  </si>
  <si>
    <t>追加</t>
    <rPh sb="0" eb="2">
      <t>ツイカ</t>
    </rPh>
    <phoneticPr fontId="5"/>
  </si>
  <si>
    <t>夢販</t>
    <rPh sb="0" eb="2">
      <t>ユメハン</t>
    </rPh>
    <phoneticPr fontId="5"/>
  </si>
  <si>
    <t>サクラマチsample</t>
    <phoneticPr fontId="5"/>
  </si>
  <si>
    <t>IEI使ってヨカッタ12月号</t>
    <rPh sb="3" eb="4">
      <t>ツカ</t>
    </rPh>
    <rPh sb="12" eb="14">
      <t>ガツゴウ</t>
    </rPh>
    <phoneticPr fontId="5"/>
  </si>
  <si>
    <t>12/8～1/31</t>
    <phoneticPr fontId="5"/>
  </si>
  <si>
    <t>夢販</t>
    <rPh sb="0" eb="2">
      <t>ユメハン</t>
    </rPh>
    <phoneticPr fontId="5"/>
  </si>
  <si>
    <t>IEI使ってヨカッタ9月号③</t>
    <rPh sb="3" eb="4">
      <t>ツカ</t>
    </rPh>
    <rPh sb="11" eb="13">
      <t>ガツゴウ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</si>
  <si>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(耐光ケアのペラ紙)㊱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</si>
  <si>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IEI使ってヨカッタ9月号④</t>
    <rPh sb="3" eb="4">
      <t>ツカ</t>
    </rPh>
    <rPh sb="11" eb="13">
      <t>ガツゴウ</t>
    </rPh>
    <phoneticPr fontId="5"/>
  </si>
  <si>
    <t>12/17～1/7</t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</si>
  <si>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(耐光ケアのペラ紙)㊲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</si>
  <si>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IEI使ってヨカッタ9月号⑤</t>
    <rPh sb="3" eb="4">
      <t>ツカ</t>
    </rPh>
    <rPh sb="11" eb="13">
      <t>ガツゴウ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</si>
  <si>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(耐光ケアのペラ紙)㊳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</si>
  <si>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学校生協2026年3月企画</t>
    <rPh sb="0" eb="4">
      <t>ガッコウセイキョウ</t>
    </rPh>
    <rPh sb="8" eb="9">
      <t>ネン</t>
    </rPh>
    <rPh sb="10" eb="11">
      <t>ガツ</t>
    </rPh>
    <rPh sb="11" eb="13">
      <t>キカク</t>
    </rPh>
    <phoneticPr fontId="5"/>
  </si>
  <si>
    <t>2/中旬～3/17頃まで</t>
    <rPh sb="2" eb="4">
      <t>チュウジュン</t>
    </rPh>
    <rPh sb="9" eb="10">
      <t>コロ</t>
    </rPh>
    <phoneticPr fontId="5"/>
  </si>
  <si>
    <t>くらし企画（学校生協）sample</t>
    <rPh sb="3" eb="5">
      <t>キカク</t>
    </rPh>
    <rPh sb="6" eb="10">
      <t>ガッコウセイキョウ</t>
    </rPh>
    <phoneticPr fontId="2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</si>
  <si>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(耐光ケアのペラ紙)㊴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</si>
  <si>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くらし企画返品</t>
    <phoneticPr fontId="5"/>
  </si>
  <si>
    <t>りすぺーる（パル）３月２回　差分予測</t>
    <rPh sb="10" eb="11">
      <t>ガツ</t>
    </rPh>
    <rPh sb="12" eb="13">
      <t>カイ</t>
    </rPh>
    <rPh sb="14" eb="18">
      <t>サブンヨソク</t>
    </rPh>
    <phoneticPr fontId="5"/>
  </si>
  <si>
    <t>点2/20　アバウト3/4～3/12</t>
    <rPh sb="0" eb="1">
      <t>テン</t>
    </rPh>
    <phoneticPr fontId="5"/>
  </si>
  <si>
    <t>.＠1960　¥6980～¥5980</t>
    <phoneticPr fontId="5"/>
  </si>
  <si>
    <t>追加</t>
    <rPh sb="0" eb="2">
      <t>ツイカ</t>
    </rPh>
    <phoneticPr fontId="5"/>
  </si>
  <si>
    <t>夢販</t>
    <rPh sb="0" eb="2">
      <t>ユメハン</t>
    </rPh>
    <phoneticPr fontId="5"/>
  </si>
  <si>
    <r>
      <t>パルシステム2025年2月2回</t>
    </r>
    <r>
      <rPr>
        <b/>
        <sz val="11"/>
        <rFont val="ＭＳ Ｐゴシック"/>
        <family val="3"/>
        <charset val="128"/>
      </rPr>
      <t>(JANシール貼付)①</t>
    </r>
    <rPh sb="10" eb="11">
      <t>ネン</t>
    </rPh>
    <rPh sb="12" eb="13">
      <t>ガツ</t>
    </rPh>
    <rPh sb="14" eb="15">
      <t>カイ</t>
    </rPh>
    <rPh sb="22" eb="24">
      <t>テンプ</t>
    </rPh>
    <phoneticPr fontId="5"/>
  </si>
  <si>
    <t>実績販売数２０２４年１１月～２０２５年１１月</t>
    <rPh sb="0" eb="2">
      <t>ジッセキ</t>
    </rPh>
    <rPh sb="2" eb="4">
      <t>ハンバイ</t>
    </rPh>
    <rPh sb="4" eb="5">
      <t>スウ</t>
    </rPh>
    <rPh sb="9" eb="10">
      <t>ネン</t>
    </rPh>
    <rPh sb="12" eb="13">
      <t>ガツ</t>
    </rPh>
    <rPh sb="18" eb="19">
      <t>ネン</t>
    </rPh>
    <rPh sb="21" eb="22">
      <t>ガツ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</si>
  <si>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(耐光ケアのペラ紙)㊵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</si>
  <si>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(耐光ケアのペラ紙)㊶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</si>
  <si>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夢販</t>
    <rPh sb="0" eb="2">
      <t>ユメハン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</si>
  <si>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(耐光ケアのペラ紙)㊷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</si>
  <si>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IEI使ってヨカッタ12月号①</t>
    <rPh sb="3" eb="4">
      <t>ツカ</t>
    </rPh>
    <rPh sb="12" eb="14">
      <t>ガツゴウ</t>
    </rPh>
    <phoneticPr fontId="5"/>
  </si>
  <si>
    <t>ディノス26新春号①</t>
    <rPh sb="6" eb="9">
      <t>シンシュンゴウ</t>
    </rPh>
    <phoneticPr fontId="5"/>
  </si>
  <si>
    <t>夢販</t>
    <rPh sb="0" eb="2">
      <t>y</t>
    </rPh>
    <phoneticPr fontId="5"/>
  </si>
  <si>
    <t>学校生協2026年3月企画差分予測</t>
    <rPh sb="0" eb="4">
      <t>ガッコウセイキョウ</t>
    </rPh>
    <rPh sb="8" eb="9">
      <t>ネン</t>
    </rPh>
    <rPh sb="10" eb="11">
      <t>ガツ</t>
    </rPh>
    <rPh sb="11" eb="13">
      <t>キカク</t>
    </rPh>
    <rPh sb="13" eb="17">
      <t>サブンヨソク</t>
    </rPh>
    <phoneticPr fontId="5"/>
  </si>
  <si>
    <r>
      <t>ディノス2025年3月チラシ</t>
    </r>
    <r>
      <rPr>
        <b/>
        <sz val="11"/>
        <rFont val="ＭＳ Ｐゴシック"/>
        <family val="3"/>
        <charset val="128"/>
      </rPr>
      <t>(耐光ケアのペラ紙)㊸</t>
    </r>
    <rPh sb="8" eb="9">
      <t>ネン</t>
    </rPh>
    <rPh sb="10" eb="11">
      <t>ガツ</t>
    </rPh>
    <rPh sb="15" eb="17">
      <t>タイコウ</t>
    </rPh>
    <rPh sb="22" eb="23">
      <t>カミ</t>
    </rPh>
    <phoneticPr fontId="5"/>
  </si>
  <si>
    <t>ディノス26新春号②</t>
    <rPh sb="6" eb="9">
      <t>シンシュンゴウ</t>
    </rPh>
    <phoneticPr fontId="5"/>
  </si>
  <si>
    <t>2025/12/11数伝</t>
    <rPh sb="10" eb="12">
      <t>スウデン</t>
    </rPh>
    <phoneticPr fontId="5"/>
  </si>
  <si>
    <t>グリーンコープ12月40号①</t>
    <rPh sb="9" eb="10">
      <t>ガツ</t>
    </rPh>
    <rPh sb="12" eb="13">
      <t>ゴウ</t>
    </rPh>
    <phoneticPr fontId="5"/>
  </si>
  <si>
    <t>グリーンコープ12月40号②</t>
    <rPh sb="9" eb="10">
      <t>ガツ</t>
    </rPh>
    <rPh sb="12" eb="13">
      <t>ゴウ</t>
    </rPh>
    <phoneticPr fontId="5"/>
  </si>
  <si>
    <t>IEIヴィヴァン2月号</t>
    <rPh sb="9" eb="11">
      <t>ガツゴウ</t>
    </rPh>
    <phoneticPr fontId="5"/>
  </si>
  <si>
    <t>学校生協2026年5月初夏号</t>
    <rPh sb="0" eb="4">
      <t>ガッコウセイキョウ</t>
    </rPh>
    <rPh sb="8" eb="9">
      <t>ネン</t>
    </rPh>
    <rPh sb="10" eb="11">
      <t>ガツ</t>
    </rPh>
    <rPh sb="11" eb="13">
      <t>ショカ</t>
    </rPh>
    <rPh sb="13" eb="14">
      <t>ゴウ</t>
    </rPh>
    <phoneticPr fontId="5"/>
  </si>
  <si>
    <t>学校生協2026年5月初夏号差分予測</t>
    <rPh sb="0" eb="2">
      <t>ガッコウ</t>
    </rPh>
    <rPh sb="2" eb="4">
      <t>セイキョウ</t>
    </rPh>
    <rPh sb="8" eb="9">
      <t>ネン</t>
    </rPh>
    <rPh sb="10" eb="11">
      <t>ガツ</t>
    </rPh>
    <rPh sb="11" eb="13">
      <t>ショカ</t>
    </rPh>
    <rPh sb="13" eb="14">
      <t>ゴウ</t>
    </rPh>
    <rPh sb="14" eb="18">
      <t>サブンヨソク</t>
    </rPh>
    <phoneticPr fontId="5"/>
  </si>
  <si>
    <t>4/15頃～5/19頃</t>
    <rPh sb="4" eb="5">
      <t>コロ</t>
    </rPh>
    <rPh sb="10" eb="11">
      <t>コロ</t>
    </rPh>
    <phoneticPr fontId="5"/>
  </si>
  <si>
    <t>ディノス26新春号③</t>
    <rPh sb="6" eb="9">
      <t>シンシュンゴウ</t>
    </rPh>
    <phoneticPr fontId="5"/>
  </si>
  <si>
    <t>ディノス26新春号④</t>
    <rPh sb="6" eb="9">
      <t>シンシュンゴウ</t>
    </rPh>
    <phoneticPr fontId="5"/>
  </si>
  <si>
    <t>ベルーナ元気とキレイの秘訣26年春号①</t>
    <rPh sb="4" eb="6">
      <t>ゲンキ</t>
    </rPh>
    <rPh sb="11" eb="13">
      <t>ヒケツ</t>
    </rPh>
    <rPh sb="15" eb="16">
      <t>ネン</t>
    </rPh>
    <rPh sb="16" eb="18">
      <t>ハルゴウ</t>
    </rPh>
    <phoneticPr fontId="5"/>
  </si>
  <si>
    <t>ディノス26新春号⑤</t>
    <rPh sb="6" eb="9">
      <t>シンシュンゴウ</t>
    </rPh>
    <phoneticPr fontId="5"/>
  </si>
  <si>
    <t>オバタsample返却</t>
    <rPh sb="9" eb="11">
      <t>ヘンキャク</t>
    </rPh>
    <phoneticPr fontId="5"/>
  </si>
  <si>
    <t>りすぺーる（パル）5月4回　差分予測</t>
    <rPh sb="10" eb="11">
      <t>ガツ</t>
    </rPh>
    <rPh sb="12" eb="13">
      <t>カイ</t>
    </rPh>
    <rPh sb="14" eb="18">
      <t>サブンヨソク</t>
    </rPh>
    <phoneticPr fontId="5"/>
  </si>
  <si>
    <t>点4/28、アバウト・初回5/19、最終発注日5/25</t>
    <rPh sb="0" eb="1">
      <t>テン</t>
    </rPh>
    <rPh sb="11" eb="13">
      <t>ショカイ</t>
    </rPh>
    <rPh sb="18" eb="23">
      <t>サイシュウハッチュウビ</t>
    </rPh>
    <phoneticPr fontId="5"/>
  </si>
  <si>
    <t>ディノス26新春号⑥</t>
    <rPh sb="6" eb="9">
      <t>シンシュンゴウ</t>
    </rPh>
    <phoneticPr fontId="5"/>
  </si>
  <si>
    <t>ディノス26新春号⑦</t>
    <rPh sb="6" eb="9">
      <t>シンシュンゴウ</t>
    </rPh>
    <phoneticPr fontId="5"/>
  </si>
  <si>
    <t>4/11～8/31</t>
    <phoneticPr fontId="5"/>
  </si>
  <si>
    <t>2/21～5/31</t>
    <phoneticPr fontId="5"/>
  </si>
  <si>
    <t>2026/2/9数伝</t>
    <rPh sb="8" eb="9">
      <t>スウ</t>
    </rPh>
    <rPh sb="9" eb="10">
      <t>デン</t>
    </rPh>
    <phoneticPr fontId="5"/>
  </si>
  <si>
    <t>学校生協2026年3月企画①</t>
    <rPh sb="0" eb="4">
      <t>ガッコウセイキョウ</t>
    </rPh>
    <rPh sb="8" eb="9">
      <t>ネン</t>
    </rPh>
    <rPh sb="10" eb="11">
      <t>ガツ</t>
    </rPh>
    <rPh sb="11" eb="13">
      <t>キカク</t>
    </rPh>
    <phoneticPr fontId="5"/>
  </si>
  <si>
    <t>在庫確認</t>
    <rPh sb="0" eb="4">
      <t>ザイコカクニン</t>
    </rPh>
    <phoneticPr fontId="5"/>
  </si>
  <si>
    <t>ベルーナ元気とキレイの秘訣26年春号②</t>
    <rPh sb="4" eb="6">
      <t>ゲンキ</t>
    </rPh>
    <rPh sb="11" eb="13">
      <t>ヒケツ</t>
    </rPh>
    <rPh sb="15" eb="16">
      <t>ネン</t>
    </rPh>
    <rPh sb="16" eb="18">
      <t>ハルゴウ</t>
    </rPh>
    <phoneticPr fontId="5"/>
  </si>
  <si>
    <t>ディノス26新春号⑧</t>
    <rPh sb="6" eb="9">
      <t>シンシュンゴウ</t>
    </rPh>
    <phoneticPr fontId="5"/>
  </si>
  <si>
    <r>
      <t>りすぺーる（パル）３月２回￥5980</t>
    </r>
    <r>
      <rPr>
        <b/>
        <sz val="11"/>
        <rFont val="ＭＳ Ｐゴシック"/>
        <family val="3"/>
        <charset val="128"/>
      </rPr>
      <t>(JANシール貼付)</t>
    </r>
    <r>
      <rPr>
        <sz val="11"/>
        <rFont val="ＭＳ Ｐゴシック"/>
        <family val="3"/>
        <charset val="128"/>
      </rPr>
      <t>①</t>
    </r>
    <rPh sb="10" eb="11">
      <t>ガツ</t>
    </rPh>
    <rPh sb="12" eb="13">
      <t>カイ</t>
    </rPh>
    <phoneticPr fontId="5"/>
  </si>
  <si>
    <t>サクラマチ返品</t>
    <rPh sb="5" eb="7">
      <t>ヘンピン</t>
    </rPh>
    <phoneticPr fontId="5"/>
  </si>
  <si>
    <t>ディノス26新春号⑨</t>
    <rPh sb="6" eb="9">
      <t>シンシュンゴウ</t>
    </rPh>
    <phoneticPr fontId="5"/>
  </si>
  <si>
    <t>ベルーナ元気とキレイの秘訣26年春号③</t>
    <rPh sb="4" eb="6">
      <t>ゲンキ</t>
    </rPh>
    <rPh sb="11" eb="13">
      <t>ヒケツ</t>
    </rPh>
    <rPh sb="15" eb="16">
      <t>ネン</t>
    </rPh>
    <rPh sb="16" eb="18">
      <t>ハルゴウ</t>
    </rPh>
    <phoneticPr fontId="5"/>
  </si>
  <si>
    <t>ディノス26新春号⑩</t>
    <rPh sb="6" eb="9">
      <t>シンシュンゴウ</t>
    </rPh>
    <phoneticPr fontId="5"/>
  </si>
  <si>
    <t>←ここまで確認2026/2/25</t>
    <rPh sb="5" eb="7">
      <t>カクニン</t>
    </rPh>
    <phoneticPr fontId="18"/>
  </si>
  <si>
    <t>ベルーナ元気とキレイの秘訣26年春号④</t>
    <rPh sb="4" eb="6">
      <t>ゲンキ</t>
    </rPh>
    <rPh sb="11" eb="13">
      <t>ヒケツ</t>
    </rPh>
    <rPh sb="15" eb="16">
      <t>ネン</t>
    </rPh>
    <rPh sb="16" eb="18">
      <t>ハルゴウ</t>
    </rPh>
    <phoneticPr fontId="5"/>
  </si>
  <si>
    <t>ディノス26新春号⑪</t>
    <rPh sb="6" eb="9">
      <t>シンシュンゴウ</t>
    </rPh>
    <phoneticPr fontId="5"/>
  </si>
  <si>
    <r>
      <t>りすぺーる（パル）３月２回￥5980</t>
    </r>
    <r>
      <rPr>
        <b/>
        <sz val="11"/>
        <rFont val="ＭＳ Ｐゴシック"/>
        <family val="3"/>
        <charset val="128"/>
      </rPr>
      <t>(JANシール貼付)②</t>
    </r>
    <rPh sb="10" eb="11">
      <t>ガツ</t>
    </rPh>
    <rPh sb="12" eb="13">
      <t>カイ</t>
    </rPh>
    <phoneticPr fontId="5"/>
  </si>
  <si>
    <t>ベルーナ元気とキレイの秘訣26年春号⑤</t>
    <rPh sb="4" eb="6">
      <t>ゲンキ</t>
    </rPh>
    <rPh sb="11" eb="13">
      <t>ヒケツ</t>
    </rPh>
    <rPh sb="15" eb="16">
      <t>ネン</t>
    </rPh>
    <rPh sb="16" eb="18">
      <t>ハルゴウ</t>
    </rPh>
    <phoneticPr fontId="5"/>
  </si>
  <si>
    <t>追加３ 1-1</t>
    <rPh sb="0" eb="2">
      <t>ツイカ</t>
    </rPh>
    <phoneticPr fontId="2"/>
  </si>
  <si>
    <t>IEIヴィヴァン4月号同梱冊子</t>
    <rPh sb="9" eb="11">
      <t>ガツゴウ</t>
    </rPh>
    <rPh sb="11" eb="15">
      <t>ドウコンサッシ</t>
    </rPh>
    <phoneticPr fontId="5"/>
  </si>
  <si>
    <t>4/4～7/31</t>
    <phoneticPr fontId="5"/>
  </si>
  <si>
    <t>IEIヴィヴァン2月号①</t>
    <rPh sb="9" eb="11">
      <t>ガツゴウ</t>
    </rPh>
    <phoneticPr fontId="5"/>
  </si>
  <si>
    <r>
      <t>りすぺーる（パル）３月２回￥5980</t>
    </r>
    <r>
      <rPr>
        <b/>
        <sz val="11"/>
        <rFont val="ＭＳ Ｐゴシック"/>
        <family val="3"/>
        <charset val="128"/>
      </rPr>
      <t>(JANシール貼付)③</t>
    </r>
    <rPh sb="10" eb="11">
      <t>ガツ</t>
    </rPh>
    <rPh sb="12" eb="13">
      <t>カイ</t>
    </rPh>
    <phoneticPr fontId="5"/>
  </si>
  <si>
    <t>あいコープみやぎ6月2回差分予測</t>
    <rPh sb="9" eb="10">
      <t>ガツ</t>
    </rPh>
    <rPh sb="11" eb="12">
      <t>カイ</t>
    </rPh>
    <rPh sb="12" eb="16">
      <t>サブンヨソク</t>
    </rPh>
    <phoneticPr fontId="5"/>
  </si>
  <si>
    <t>2026/3/4数伝</t>
    <rPh sb="8" eb="10">
      <t>スウデン</t>
    </rPh>
    <phoneticPr fontId="5"/>
  </si>
  <si>
    <t>ベルーナ元気とキレイの秘訣26年春号⑥</t>
    <rPh sb="4" eb="6">
      <t>ゲンキ</t>
    </rPh>
    <rPh sb="11" eb="13">
      <t>ヒケツ</t>
    </rPh>
    <rPh sb="15" eb="16">
      <t>ネン</t>
    </rPh>
    <rPh sb="16" eb="18">
      <t>ハルゴウ</t>
    </rPh>
    <phoneticPr fontId="5"/>
  </si>
  <si>
    <r>
      <t>りすぺーる（パル）３月２回￥5980</t>
    </r>
    <r>
      <rPr>
        <b/>
        <sz val="11"/>
        <rFont val="ＭＳ Ｐゴシック"/>
        <family val="3"/>
        <charset val="128"/>
      </rPr>
      <t>(JANシール貼付)④</t>
    </r>
    <rPh sb="10" eb="11">
      <t>ガツ</t>
    </rPh>
    <rPh sb="12" eb="13">
      <t>カイ</t>
    </rPh>
    <phoneticPr fontId="5"/>
  </si>
  <si>
    <t>IEI交換</t>
    <rPh sb="3" eb="5">
      <t>コウカン</t>
    </rPh>
    <phoneticPr fontId="5"/>
  </si>
  <si>
    <r>
      <t>りすぺーる（パル）３月２回￥5980</t>
    </r>
    <r>
      <rPr>
        <b/>
        <sz val="11"/>
        <rFont val="ＭＳ Ｐゴシック"/>
        <family val="3"/>
        <charset val="128"/>
      </rPr>
      <t>(JANシール貼付)⑤</t>
    </r>
    <rPh sb="10" eb="11">
      <t>ガツ</t>
    </rPh>
    <rPh sb="12" eb="13">
      <t>カイ</t>
    </rPh>
    <phoneticPr fontId="5"/>
  </si>
  <si>
    <t>ディノス26新春号⑫</t>
    <rPh sb="6" eb="9">
      <t>シンシュンゴウ</t>
    </rPh>
    <phoneticPr fontId="5"/>
  </si>
  <si>
    <r>
      <t>りすぺーる（パル）３月２回￥5980</t>
    </r>
    <r>
      <rPr>
        <b/>
        <sz val="11"/>
        <rFont val="ＭＳ Ｐゴシック"/>
        <family val="3"/>
        <charset val="128"/>
      </rPr>
      <t>(JANシール貼付)</t>
    </r>
    <rPh sb="10" eb="11">
      <t>ガツ</t>
    </rPh>
    <rPh sb="12" eb="13">
      <t>カイ</t>
    </rPh>
    <phoneticPr fontId="5"/>
  </si>
  <si>
    <t>←ここまで確認2026/3/11</t>
    <rPh sb="5" eb="7">
      <t>カクニン</t>
    </rPh>
    <phoneticPr fontId="18"/>
  </si>
  <si>
    <t>くらし企画（きんき）登録用sample返却</t>
    <rPh sb="3" eb="5">
      <t>キカク</t>
    </rPh>
    <rPh sb="10" eb="13">
      <t>トウロクヨウ</t>
    </rPh>
    <rPh sb="19" eb="21">
      <t>ヘンキャク</t>
    </rPh>
    <phoneticPr fontId="5"/>
  </si>
  <si>
    <t>ベルーナ元気とキレイの秘訣26年春号⑦</t>
    <rPh sb="4" eb="6">
      <t>ゲンキ</t>
    </rPh>
    <rPh sb="11" eb="13">
      <t>ヒケツ</t>
    </rPh>
    <rPh sb="15" eb="16">
      <t>ネン</t>
    </rPh>
    <rPh sb="16" eb="18">
      <t>ハルゴウ</t>
    </rPh>
    <phoneticPr fontId="5"/>
  </si>
  <si>
    <t>ディノス26新春号⑬</t>
    <rPh sb="6" eb="9">
      <t>シンシュンゴウ</t>
    </rPh>
    <phoneticPr fontId="5"/>
  </si>
  <si>
    <t>ディノス返品</t>
    <rPh sb="4" eb="6">
      <t>ヘンピン</t>
    </rPh>
    <phoneticPr fontId="5"/>
  </si>
  <si>
    <t>くらしsample（きんき）返却</t>
    <rPh sb="14" eb="16">
      <t>ヘンキャク</t>
    </rPh>
    <phoneticPr fontId="5"/>
  </si>
  <si>
    <t>ベルーナ元気とキレイの秘訣26年春号⑧</t>
    <rPh sb="4" eb="6">
      <t>ゲンキ</t>
    </rPh>
    <rPh sb="11" eb="13">
      <t>ヒケツ</t>
    </rPh>
    <rPh sb="15" eb="16">
      <t>ネン</t>
    </rPh>
    <rPh sb="16" eb="18">
      <t>ハルゴウ</t>
    </rPh>
    <phoneticPr fontId="5"/>
  </si>
  <si>
    <t>ディノス撮影用sample返却</t>
    <rPh sb="4" eb="7">
      <t>サツエイヨウ</t>
    </rPh>
    <rPh sb="13" eb="15">
      <t>ヘンキャク</t>
    </rPh>
    <phoneticPr fontId="5"/>
  </si>
  <si>
    <t>6/3～6/5</t>
    <phoneticPr fontId="5"/>
  </si>
  <si>
    <t>ディノス返品</t>
    <rPh sb="4" eb="6">
      <t>ヘンピン</t>
    </rPh>
    <phoneticPr fontId="5"/>
  </si>
  <si>
    <t>ベルーナ元気とキレイの秘訣26年春号⑨</t>
    <rPh sb="4" eb="6">
      <t>ゲンキ</t>
    </rPh>
    <rPh sb="11" eb="13">
      <t>ヒケツ</t>
    </rPh>
    <rPh sb="15" eb="16">
      <t>ネン</t>
    </rPh>
    <rPh sb="16" eb="18">
      <t>ハルゴウ</t>
    </rPh>
    <phoneticPr fontId="5"/>
  </si>
  <si>
    <t>ディノス26新春号⑭</t>
    <rPh sb="6" eb="9">
      <t>シンシュンゴウ</t>
    </rPh>
    <phoneticPr fontId="5"/>
  </si>
  <si>
    <t>ディノス26新春号⑮</t>
    <rPh sb="6" eb="9">
      <t>シンシュンゴウ</t>
    </rPh>
    <phoneticPr fontId="5"/>
  </si>
  <si>
    <t>IEIヴィヴァン4月号同梱冊子①</t>
    <rPh sb="9" eb="11">
      <t>ガツゴウ</t>
    </rPh>
    <rPh sb="11" eb="15">
      <t>ドウコンサッシ</t>
    </rPh>
    <phoneticPr fontId="5"/>
  </si>
  <si>
    <t>過不足分</t>
    <rPh sb="0" eb="4">
      <t>カブソクブン</t>
    </rPh>
    <phoneticPr fontId="2"/>
  </si>
  <si>
    <t>（国内倉庫にあり）</t>
    <rPh sb="1" eb="3">
      <t>コクナイ</t>
    </rPh>
    <rPh sb="3" eb="5">
      <t>ソウコ</t>
    </rPh>
    <phoneticPr fontId="5"/>
  </si>
  <si>
    <t>ベルーナ元気とキレイの秘訣26年春号⑩</t>
    <rPh sb="4" eb="6">
      <t>ゲンキ</t>
    </rPh>
    <rPh sb="11" eb="13">
      <t>ヒケツ</t>
    </rPh>
    <rPh sb="15" eb="16">
      <t>ネン</t>
    </rPh>
    <rPh sb="16" eb="18">
      <t>ハルゴウ</t>
    </rPh>
    <phoneticPr fontId="5"/>
  </si>
  <si>
    <t>ネット返品</t>
    <rPh sb="3" eb="5">
      <t>ヘンピン</t>
    </rPh>
    <phoneticPr fontId="5"/>
  </si>
  <si>
    <t>学校生協2026年5月初夏号①</t>
    <rPh sb="0" eb="4">
      <t>ガッコウセイキョウ</t>
    </rPh>
    <rPh sb="8" eb="9">
      <t>ネン</t>
    </rPh>
    <rPh sb="10" eb="11">
      <t>ガツ</t>
    </rPh>
    <rPh sb="11" eb="13">
      <t>ショカ</t>
    </rPh>
    <rPh sb="13" eb="14">
      <t>ゴウ</t>
    </rPh>
    <phoneticPr fontId="5"/>
  </si>
  <si>
    <t>ディノス26新春号⑯</t>
    <rPh sb="6" eb="9">
      <t>シンシュンゴウ</t>
    </rPh>
    <phoneticPr fontId="5"/>
  </si>
  <si>
    <t>ディノス26新春号⑰</t>
    <rPh sb="6" eb="9">
      <t>シンシュンゴウ</t>
    </rPh>
    <phoneticPr fontId="5"/>
  </si>
  <si>
    <t>ディノス26新春号⑱</t>
    <rPh sb="6" eb="9">
      <t>シンシュンゴウ</t>
    </rPh>
    <phoneticPr fontId="5"/>
  </si>
  <si>
    <t>ベルーナ元気とキレイの秘訣26年春号⑪</t>
    <rPh sb="4" eb="6">
      <t>ゲンキ</t>
    </rPh>
    <rPh sb="11" eb="13">
      <t>ヒケツ</t>
    </rPh>
    <rPh sb="15" eb="16">
      <t>ネン</t>
    </rPh>
    <rPh sb="16" eb="18">
      <t>ハルゴウ</t>
    </rPh>
    <phoneticPr fontId="5"/>
  </si>
  <si>
    <t>ディノス26新春号⑲</t>
    <rPh sb="6" eb="9">
      <t>シンシュンゴウ</t>
    </rPh>
    <phoneticPr fontId="5"/>
  </si>
  <si>
    <t>コープきんき7月4回\6990</t>
    <rPh sb="7" eb="8">
      <t>ガツ</t>
    </rPh>
    <rPh sb="9" eb="10">
      <t>カイ</t>
    </rPh>
    <phoneticPr fontId="5"/>
  </si>
  <si>
    <t>IEI交換</t>
    <rPh sb="3" eb="5">
      <t>コウカン</t>
    </rPh>
    <phoneticPr fontId="5"/>
  </si>
  <si>
    <t>IEI</t>
    <phoneticPr fontId="5"/>
  </si>
  <si>
    <t>追加</t>
    <rPh sb="0" eb="2">
      <t>ツイカ</t>
    </rPh>
    <phoneticPr fontId="5"/>
  </si>
  <si>
    <t>ディノス26新春号⑳</t>
    <rPh sb="6" eb="9">
      <t>シンシュンゴウ</t>
    </rPh>
    <phoneticPr fontId="5"/>
  </si>
  <si>
    <t>ベルーナ元気とキレイの秘訣26年春号⑫</t>
    <rPh sb="4" eb="6">
      <t>ゲンキ</t>
    </rPh>
    <rPh sb="11" eb="13">
      <t>ヒケツ</t>
    </rPh>
    <rPh sb="15" eb="16">
      <t>ネン</t>
    </rPh>
    <rPh sb="16" eb="18">
      <t>ハルゴウ</t>
    </rPh>
    <phoneticPr fontId="5"/>
  </si>
  <si>
    <t>2026/5/1数伝</t>
    <rPh sb="8" eb="10">
      <t>スウデン</t>
    </rPh>
    <phoneticPr fontId="5"/>
  </si>
  <si>
    <t>かりん</t>
    <phoneticPr fontId="5"/>
  </si>
  <si>
    <t>追加</t>
    <rPh sb="0" eb="2">
      <t>ツイカ</t>
    </rPh>
    <phoneticPr fontId="5"/>
  </si>
  <si>
    <t>ディノス返品</t>
    <rPh sb="4" eb="6">
      <t>ヘンピン</t>
    </rPh>
    <phoneticPr fontId="5"/>
  </si>
  <si>
    <t>IEI返品</t>
    <rPh sb="3" eb="5">
      <t>ヘンピン</t>
    </rPh>
    <phoneticPr fontId="5"/>
  </si>
  <si>
    <t>りすぺーる（パル）5月4回￥5980 (JANシール貼付)①</t>
    <rPh sb="10" eb="11">
      <t>ガツ</t>
    </rPh>
    <rPh sb="12" eb="13">
      <t>カイ</t>
    </rPh>
    <phoneticPr fontId="5"/>
  </si>
  <si>
    <t>学校生協2026年5月初夏号②</t>
    <phoneticPr fontId="5"/>
  </si>
  <si>
    <t>IEI交換</t>
    <rPh sb="3" eb="5">
      <t>コウカン</t>
    </rPh>
    <phoneticPr fontId="5"/>
  </si>
  <si>
    <t>点6/26、アバウト7/14、本7/14～20</t>
    <rPh sb="0" eb="1">
      <t>テン</t>
    </rPh>
    <rPh sb="15" eb="16">
      <t>ホン</t>
    </rPh>
    <phoneticPr fontId="5"/>
  </si>
  <si>
    <t>りすぺーる（パル）5月4回￥5980 (JANシール貼付)②</t>
    <rPh sb="10" eb="11">
      <t>ガツ</t>
    </rPh>
    <rPh sb="12" eb="13">
      <t>カイ</t>
    </rPh>
    <phoneticPr fontId="5"/>
  </si>
  <si>
    <r>
      <t xml:space="preserve">りすぺーる（パル）9月3回￥6490 </t>
    </r>
    <r>
      <rPr>
        <b/>
        <sz val="11"/>
        <color rgb="FFFF0000"/>
        <rFont val="ＭＳ Ｐゴシック"/>
        <family val="3"/>
        <charset val="128"/>
      </rPr>
      <t>(JANシール貼付)</t>
    </r>
    <rPh sb="10" eb="11">
      <t>ガツ</t>
    </rPh>
    <rPh sb="12" eb="13">
      <t>カイ</t>
    </rPh>
    <phoneticPr fontId="5"/>
  </si>
  <si>
    <t>りすぺーる（パル）9月3回　差分予測</t>
    <rPh sb="10" eb="11">
      <t>ガツ</t>
    </rPh>
    <rPh sb="12" eb="13">
      <t>カイ</t>
    </rPh>
    <rPh sb="14" eb="18">
      <t>サブンヨソク</t>
    </rPh>
    <phoneticPr fontId="5"/>
  </si>
  <si>
    <t>点8/27、アバウト・初回9/8、最終発注日9/14</t>
    <rPh sb="0" eb="1">
      <t>テン</t>
    </rPh>
    <rPh sb="11" eb="13">
      <t>ショカイ</t>
    </rPh>
    <rPh sb="17" eb="22">
      <t>サイシュウハッチュウビ</t>
    </rPh>
    <phoneticPr fontId="5"/>
  </si>
  <si>
    <t>りすぺーる（パル）5月4回￥5980 (JANシール貼付)③</t>
    <rPh sb="10" eb="11">
      <t>ガツ</t>
    </rPh>
    <rPh sb="12" eb="13">
      <t>カイ</t>
    </rPh>
    <phoneticPr fontId="5"/>
  </si>
  <si>
    <t>ゆめはん</t>
    <phoneticPr fontId="5"/>
  </si>
  <si>
    <t>ディノス26新春号㉑</t>
    <rPh sb="6" eb="9">
      <t>シンシュンゴウ</t>
    </rPh>
    <phoneticPr fontId="5"/>
  </si>
  <si>
    <r>
      <t xml:space="preserve">りすぺーる（パル）5月4回￥5980 </t>
    </r>
    <r>
      <rPr>
        <b/>
        <sz val="11"/>
        <rFont val="ＭＳ Ｐゴシック"/>
        <family val="3"/>
        <charset val="128"/>
      </rPr>
      <t>(JANシール貼付)</t>
    </r>
    <rPh sb="10" eb="11">
      <t>ガツ</t>
    </rPh>
    <rPh sb="12" eb="13">
      <t>カイ</t>
    </rPh>
    <phoneticPr fontId="5"/>
  </si>
  <si>
    <t>IEIヴィヴァン7月号同梱冊子</t>
    <rPh sb="9" eb="11">
      <t>ガツゴウ</t>
    </rPh>
    <rPh sb="11" eb="15">
      <t>ドウコンサッシ</t>
    </rPh>
    <phoneticPr fontId="5"/>
  </si>
  <si>
    <t>7/25～10/31</t>
    <phoneticPr fontId="5"/>
  </si>
  <si>
    <t>ディノス26新春号㉒</t>
    <rPh sb="6" eb="9">
      <t>シンシュンゴウ</t>
    </rPh>
    <phoneticPr fontId="5"/>
  </si>
  <si>
    <t>ベルーナ元気とキレイの秘訣26年春号⑬</t>
    <rPh sb="4" eb="6">
      <t>ゲンキ</t>
    </rPh>
    <rPh sb="11" eb="13">
      <t>ヒケツ</t>
    </rPh>
    <rPh sb="15" eb="16">
      <t>ネン</t>
    </rPh>
    <rPh sb="16" eb="18">
      <t>ハルゴウ</t>
    </rPh>
    <phoneticPr fontId="5"/>
  </si>
  <si>
    <t>ベルーナ元気とキレイの秘訣26年春号⑭</t>
    <rPh sb="4" eb="6">
      <t>ゲンキ</t>
    </rPh>
    <rPh sb="11" eb="13">
      <t>ヒケツ</t>
    </rPh>
    <rPh sb="15" eb="16">
      <t>ネン</t>
    </rPh>
    <rPh sb="16" eb="18">
      <t>ハルゴウ</t>
    </rPh>
    <phoneticPr fontId="5"/>
  </si>
  <si>
    <t>くらし返品</t>
    <rPh sb="3" eb="5">
      <t>ヘンピン</t>
    </rPh>
    <phoneticPr fontId="5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</si>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</sst>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9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ＭＳ Ｐ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50">
    <xf numFmtId="0" fontId="0" fillId="0" borderId="0" xfId="0">
      <alignment vertical="center"/>
    </xf>
    <xf numFmtId="0" fontId="1" fillId="0" borderId="0" xfId="1"/>
    <xf numFmtId="0" fontId="3" fillId="0" borderId="0" xfId="1" applyFont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2" borderId="7" xfId="1" applyFill="1" applyBorder="1"/>
    <xf numFmtId="0" fontId="1" fillId="2" borderId="8" xfId="1" applyFill="1" applyBorder="1"/>
    <xf numFmtId="0" fontId="1" fillId="0" borderId="10" xfId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14" xfId="1" applyBorder="1"/>
    <xf numFmtId="0" fontId="1" fillId="0" borderId="15" xfId="1" applyBorder="1" applyAlignment="1">
      <alignment horizontal="center" vertical="center"/>
    </xf>
    <xf numFmtId="0" fontId="1" fillId="0" borderId="17" xfId="1" applyBorder="1" applyAlignment="1">
      <alignment horizontal="center"/>
    </xf>
    <xf numFmtId="0" fontId="1" fillId="2" borderId="3" xfId="1" applyFill="1" applyBorder="1"/>
    <xf numFmtId="0" fontId="1" fillId="0" borderId="19" xfId="1" applyBorder="1" applyAlignment="1">
      <alignment horizontal="center"/>
    </xf>
    <xf numFmtId="0" fontId="1" fillId="0" borderId="20" xfId="1" applyBorder="1" applyAlignment="1">
      <alignment horizontal="center"/>
    </xf>
    <xf numFmtId="0" fontId="1" fillId="0" borderId="21" xfId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22" xfId="1" applyFont="1" applyBorder="1" applyAlignment="1">
      <alignment horizontal="center"/>
    </xf>
    <xf numFmtId="0" fontId="1" fillId="0" borderId="23" xfId="1" applyBorder="1" applyAlignment="1">
      <alignment horizontal="center" vertical="center"/>
    </xf>
    <xf numFmtId="0" fontId="1" fillId="0" borderId="14" xfId="1" applyBorder="1" applyAlignment="1">
      <alignment horizontal="center"/>
    </xf>
    <xf numFmtId="0" fontId="1" fillId="0" borderId="24" xfId="1" applyBorder="1" applyAlignment="1">
      <alignment horizontal="center"/>
    </xf>
    <xf numFmtId="0" fontId="7" fillId="0" borderId="23" xfId="1" applyFont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9" xfId="1" applyBorder="1" applyAlignment="1">
      <alignment horizontal="center" vertical="center"/>
    </xf>
    <xf numFmtId="0" fontId="7" fillId="3" borderId="23" xfId="1" applyFont="1" applyFill="1" applyBorder="1"/>
    <xf numFmtId="0" fontId="1" fillId="0" borderId="25" xfId="1" applyBorder="1" applyAlignment="1">
      <alignment horizontal="center"/>
    </xf>
    <xf numFmtId="0" fontId="1" fillId="0" borderId="26" xfId="1" applyBorder="1" applyAlignment="1">
      <alignment horizontal="center"/>
    </xf>
    <xf numFmtId="0" fontId="1" fillId="0" borderId="27" xfId="1" applyBorder="1" applyAlignment="1">
      <alignment horizontal="center"/>
    </xf>
    <xf numFmtId="0" fontId="1" fillId="0" borderId="28" xfId="1" applyBorder="1" applyAlignment="1">
      <alignment horizontal="center"/>
    </xf>
    <xf numFmtId="0" fontId="1" fillId="0" borderId="29" xfId="1" applyBorder="1" applyAlignment="1">
      <alignment horizontal="center"/>
    </xf>
    <xf numFmtId="0" fontId="1" fillId="0" borderId="30" xfId="1" applyBorder="1" applyAlignment="1">
      <alignment horizontal="center"/>
    </xf>
    <xf numFmtId="0" fontId="1" fillId="0" borderId="31" xfId="1" applyBorder="1" applyAlignment="1">
      <alignment horizontal="center"/>
    </xf>
    <xf numFmtId="0" fontId="1" fillId="0" borderId="32" xfId="1" applyBorder="1" applyAlignment="1">
      <alignment horizontal="center"/>
    </xf>
    <xf numFmtId="0" fontId="1" fillId="2" borderId="33" xfId="1" applyFill="1" applyBorder="1"/>
    <xf numFmtId="0" fontId="1" fillId="2" borderId="34" xfId="1" applyFill="1" applyBorder="1"/>
    <xf numFmtId="0" fontId="1" fillId="0" borderId="16" xfId="1" applyBorder="1" applyAlignment="1">
      <alignment horizontal="center" vertical="center"/>
    </xf>
    <xf numFmtId="0" fontId="1" fillId="2" borderId="13" xfId="1" applyFill="1" applyBorder="1"/>
    <xf numFmtId="0" fontId="6" fillId="0" borderId="0" xfId="0" applyFont="1">
      <alignment vertical="center"/>
    </xf>
    <xf numFmtId="0" fontId="1" fillId="0" borderId="29" xfId="1" applyBorder="1"/>
    <xf numFmtId="0" fontId="1" fillId="0" borderId="30" xfId="1" applyBorder="1"/>
    <xf numFmtId="0" fontId="1" fillId="0" borderId="31" xfId="1" applyBorder="1"/>
    <xf numFmtId="0" fontId="1" fillId="0" borderId="35" xfId="1" applyBorder="1"/>
    <xf numFmtId="176" fontId="0" fillId="0" borderId="0" xfId="0" applyNumberFormat="1">
      <alignment vertical="center"/>
    </xf>
    <xf numFmtId="0" fontId="1" fillId="0" borderId="35" xfId="1" applyBorder="1" applyAlignment="1">
      <alignment horizontal="center"/>
    </xf>
    <xf numFmtId="0" fontId="1" fillId="0" borderId="18" xfId="1" applyBorder="1" applyAlignment="1">
      <alignment horizontal="center"/>
    </xf>
    <xf numFmtId="0" fontId="1" fillId="2" borderId="9" xfId="1" applyFill="1" applyBorder="1"/>
    <xf numFmtId="0" fontId="7" fillId="0" borderId="1" xfId="1" applyFont="1" applyBorder="1"/>
    <xf numFmtId="0" fontId="7" fillId="0" borderId="23" xfId="1" applyFont="1" applyBorder="1"/>
    <xf numFmtId="0" fontId="7" fillId="0" borderId="2" xfId="1" applyFont="1" applyBorder="1"/>
    <xf numFmtId="0" fontId="7" fillId="0" borderId="12" xfId="1" applyFont="1" applyBorder="1"/>
    <xf numFmtId="0" fontId="7" fillId="2" borderId="3" xfId="1" applyFont="1" applyFill="1" applyBorder="1"/>
    <xf numFmtId="0" fontId="7" fillId="0" borderId="12" xfId="1" applyFont="1" applyBorder="1" applyAlignment="1">
      <alignment horizontal="center"/>
    </xf>
    <xf numFmtId="0" fontId="7" fillId="2" borderId="3" xfId="1" applyFont="1" applyFill="1" applyBorder="1" applyAlignment="1">
      <alignment horizontal="right"/>
    </xf>
    <xf numFmtId="0" fontId="1" fillId="2" borderId="39" xfId="1" applyFill="1" applyBorder="1"/>
    <xf numFmtId="0" fontId="1" fillId="0" borderId="40" xfId="1" applyBorder="1" applyAlignment="1">
      <alignment horizontal="center"/>
    </xf>
    <xf numFmtId="0" fontId="1" fillId="0" borderId="38" xfId="1" applyBorder="1" applyAlignment="1">
      <alignment horizontal="center"/>
    </xf>
    <xf numFmtId="0" fontId="7" fillId="3" borderId="3" xfId="1" applyFont="1" applyFill="1" applyBorder="1"/>
    <xf numFmtId="0" fontId="7" fillId="0" borderId="43" xfId="1" applyFont="1" applyBorder="1" applyAlignment="1">
      <alignment horizontal="center" vertical="center"/>
    </xf>
    <xf numFmtId="0" fontId="7" fillId="0" borderId="41" xfId="1" applyFont="1" applyBorder="1" applyAlignment="1">
      <alignment horizontal="center"/>
    </xf>
    <xf numFmtId="0" fontId="7" fillId="0" borderId="42" xfId="1" applyFont="1" applyBorder="1" applyAlignment="1">
      <alignment horizontal="center"/>
    </xf>
    <xf numFmtId="0" fontId="7" fillId="0" borderId="44" xfId="1" applyFont="1" applyBorder="1" applyAlignment="1">
      <alignment horizontal="center"/>
    </xf>
    <xf numFmtId="0" fontId="7" fillId="2" borderId="45" xfId="1" applyFont="1" applyFill="1" applyBorder="1"/>
    <xf numFmtId="0" fontId="7" fillId="3" borderId="37" xfId="1" applyFont="1" applyFill="1" applyBorder="1"/>
    <xf numFmtId="0" fontId="8" fillId="0" borderId="0" xfId="1" applyFont="1"/>
    <xf numFmtId="0" fontId="1" fillId="0" borderId="46" xfId="1" applyBorder="1" applyAlignment="1">
      <alignment horizontal="center" vertical="center"/>
    </xf>
    <xf numFmtId="0" fontId="7" fillId="2" borderId="47" xfId="1" applyFont="1" applyFill="1" applyBorder="1"/>
    <xf numFmtId="0" fontId="1" fillId="2" borderId="48" xfId="1" applyFill="1" applyBorder="1"/>
    <xf numFmtId="0" fontId="1" fillId="2" borderId="18" xfId="1" applyFill="1" applyBorder="1"/>
    <xf numFmtId="0" fontId="1" fillId="2" borderId="38" xfId="1" applyFill="1" applyBorder="1"/>
    <xf numFmtId="0" fontId="7" fillId="2" borderId="11" xfId="1" applyFont="1" applyFill="1" applyBorder="1" applyAlignment="1">
      <alignment horizontal="right"/>
    </xf>
    <xf numFmtId="0" fontId="1" fillId="2" borderId="10" xfId="1" applyFill="1" applyBorder="1"/>
    <xf numFmtId="0" fontId="1" fillId="2" borderId="49" xfId="1" applyFill="1" applyBorder="1"/>
    <xf numFmtId="0" fontId="1" fillId="2" borderId="50" xfId="1" applyFill="1" applyBorder="1"/>
    <xf numFmtId="0" fontId="7" fillId="3" borderId="36" xfId="1" applyFont="1" applyFill="1" applyBorder="1"/>
    <xf numFmtId="0" fontId="1" fillId="2" borderId="16" xfId="1" applyFill="1" applyBorder="1"/>
    <xf numFmtId="0" fontId="6" fillId="0" borderId="9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13" xfId="0" applyFont="1" applyBorder="1">
      <alignment vertical="center"/>
    </xf>
    <xf numFmtId="0" fontId="7" fillId="0" borderId="53" xfId="1" applyFont="1" applyBorder="1" applyAlignment="1">
      <alignment horizontal="center"/>
    </xf>
    <xf numFmtId="0" fontId="7" fillId="2" borderId="51" xfId="1" applyFont="1" applyFill="1" applyBorder="1"/>
    <xf numFmtId="0" fontId="7" fillId="0" borderId="10" xfId="1" applyFont="1" applyBorder="1" applyAlignment="1">
      <alignment horizontal="center" vertical="center"/>
    </xf>
    <xf numFmtId="0" fontId="7" fillId="0" borderId="4" xfId="1" applyFont="1" applyBorder="1" applyAlignment="1">
      <alignment horizontal="center"/>
    </xf>
    <xf numFmtId="0" fontId="7" fillId="0" borderId="14" xfId="1" applyFont="1" applyBorder="1" applyAlignment="1">
      <alignment horizontal="center"/>
    </xf>
    <xf numFmtId="0" fontId="7" fillId="0" borderId="5" xfId="1" applyFont="1" applyBorder="1" applyAlignment="1">
      <alignment horizontal="center"/>
    </xf>
    <xf numFmtId="0" fontId="7" fillId="2" borderId="7" xfId="1" applyFont="1" applyFill="1" applyBorder="1"/>
    <xf numFmtId="0" fontId="10" fillId="0" borderId="9" xfId="0" applyFont="1" applyBorder="1">
      <alignment vertical="center"/>
    </xf>
    <xf numFmtId="0" fontId="7" fillId="0" borderId="6" xfId="1" applyFont="1" applyBorder="1" applyAlignment="1">
      <alignment horizontal="center"/>
    </xf>
    <xf numFmtId="0" fontId="1" fillId="0" borderId="43" xfId="1" applyBorder="1" applyAlignment="1">
      <alignment horizontal="center" vertical="center"/>
    </xf>
    <xf numFmtId="0" fontId="1" fillId="0" borderId="41" xfId="1" applyBorder="1" applyAlignment="1">
      <alignment horizontal="center"/>
    </xf>
    <xf numFmtId="0" fontId="1" fillId="0" borderId="42" xfId="1" applyBorder="1" applyAlignment="1">
      <alignment horizontal="center"/>
    </xf>
    <xf numFmtId="0" fontId="1" fillId="0" borderId="44" xfId="1" applyBorder="1" applyAlignment="1">
      <alignment horizontal="center"/>
    </xf>
    <xf numFmtId="0" fontId="1" fillId="2" borderId="45" xfId="1" applyFill="1" applyBorder="1"/>
    <xf numFmtId="0" fontId="10" fillId="0" borderId="51" xfId="0" applyFont="1" applyBorder="1">
      <alignment vertical="center"/>
    </xf>
    <xf numFmtId="0" fontId="1" fillId="2" borderId="47" xfId="1" applyFill="1" applyBorder="1"/>
    <xf numFmtId="0" fontId="0" fillId="0" borderId="0" xfId="0" applyAlignment="1">
      <alignment horizontal="left" vertical="center"/>
    </xf>
    <xf numFmtId="56" fontId="10" fillId="0" borderId="0" xfId="0" applyNumberFormat="1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10" fillId="0" borderId="52" xfId="0" applyFont="1" applyBorder="1">
      <alignment vertical="center"/>
    </xf>
    <xf numFmtId="0" fontId="10" fillId="0" borderId="3" xfId="0" applyFont="1" applyBorder="1">
      <alignment vertical="center"/>
    </xf>
    <xf numFmtId="0" fontId="11" fillId="0" borderId="16" xfId="1" applyFont="1" applyBorder="1" applyAlignment="1">
      <alignment horizontal="center" vertical="center"/>
    </xf>
    <xf numFmtId="0" fontId="10" fillId="0" borderId="0" xfId="0" applyFont="1">
      <alignment vertical="center"/>
    </xf>
    <xf numFmtId="0" fontId="7" fillId="0" borderId="13" xfId="1" applyFont="1" applyBorder="1" applyAlignment="1">
      <alignment horizontal="center" vertical="center"/>
    </xf>
    <xf numFmtId="0" fontId="10" fillId="0" borderId="13" xfId="0" applyFont="1" applyBorder="1">
      <alignment vertical="center"/>
    </xf>
    <xf numFmtId="2" fontId="0" fillId="0" borderId="0" xfId="0" applyNumberFormat="1">
      <alignment vertical="center"/>
    </xf>
    <xf numFmtId="176" fontId="6" fillId="0" borderId="0" xfId="0" applyNumberFormat="1" applyFont="1">
      <alignment vertical="center"/>
    </xf>
    <xf numFmtId="0" fontId="4" fillId="0" borderId="1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14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17" xfId="1" applyFont="1" applyBorder="1" applyAlignment="1">
      <alignment horizontal="center"/>
    </xf>
    <xf numFmtId="0" fontId="4" fillId="2" borderId="7" xfId="1" applyFont="1" applyFill="1" applyBorder="1"/>
    <xf numFmtId="0" fontId="12" fillId="0" borderId="9" xfId="0" applyFont="1" applyBorder="1">
      <alignment vertical="center"/>
    </xf>
    <xf numFmtId="0" fontId="1" fillId="0" borderId="16" xfId="1" applyBorder="1" applyAlignment="1">
      <alignment horizontal="center" vertical="center" shrinkToFit="1"/>
    </xf>
    <xf numFmtId="0" fontId="1" fillId="0" borderId="54" xfId="1" applyBorder="1" applyAlignment="1">
      <alignment horizontal="center"/>
    </xf>
    <xf numFmtId="0" fontId="1" fillId="0" borderId="55" xfId="1" applyBorder="1" applyAlignment="1">
      <alignment horizontal="center"/>
    </xf>
    <xf numFmtId="0" fontId="1" fillId="0" borderId="56" xfId="1" applyBorder="1" applyAlignment="1">
      <alignment horizontal="center"/>
    </xf>
    <xf numFmtId="0" fontId="1" fillId="0" borderId="59" xfId="1" applyBorder="1" applyAlignment="1">
      <alignment horizontal="center"/>
    </xf>
    <xf numFmtId="0" fontId="10" fillId="0" borderId="7" xfId="0" applyFont="1" applyBorder="1">
      <alignment vertical="center"/>
    </xf>
    <xf numFmtId="0" fontId="4" fillId="2" borderId="33" xfId="1" applyFont="1" applyFill="1" applyBorder="1"/>
    <xf numFmtId="0" fontId="1" fillId="0" borderId="1" xfId="1" applyBorder="1" applyAlignment="1">
      <alignment horizontal="center"/>
    </xf>
    <xf numFmtId="0" fontId="1" fillId="0" borderId="23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12" xfId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" fillId="0" borderId="7" xfId="1" applyBorder="1" applyAlignment="1">
      <alignment horizontal="center" vertical="center"/>
    </xf>
    <xf numFmtId="0" fontId="1" fillId="0" borderId="57" xfId="1" applyBorder="1" applyAlignment="1">
      <alignment horizontal="center"/>
    </xf>
    <xf numFmtId="0" fontId="1" fillId="0" borderId="58" xfId="1" applyBorder="1" applyAlignment="1">
      <alignment horizontal="center"/>
    </xf>
    <xf numFmtId="0" fontId="7" fillId="2" borderId="34" xfId="1" applyFont="1" applyFill="1" applyBorder="1"/>
    <xf numFmtId="0" fontId="7" fillId="2" borderId="8" xfId="1" applyFont="1" applyFill="1" applyBorder="1"/>
    <xf numFmtId="0" fontId="6" fillId="0" borderId="8" xfId="0" applyFont="1" applyBorder="1">
      <alignment vertical="center"/>
    </xf>
    <xf numFmtId="0" fontId="7" fillId="0" borderId="50" xfId="1" applyFont="1" applyBorder="1" applyAlignment="1">
      <alignment horizontal="center" vertical="center"/>
    </xf>
    <xf numFmtId="0" fontId="10" fillId="0" borderId="8" xfId="0" applyFont="1" applyBorder="1">
      <alignment vertical="center"/>
    </xf>
    <xf numFmtId="0" fontId="7" fillId="0" borderId="61" xfId="1" applyFont="1" applyBorder="1" applyAlignment="1">
      <alignment horizontal="center" vertical="center"/>
    </xf>
    <xf numFmtId="0" fontId="13" fillId="0" borderId="61" xfId="1" applyFont="1" applyBorder="1" applyAlignment="1">
      <alignment horizontal="center" vertical="center"/>
    </xf>
    <xf numFmtId="176" fontId="14" fillId="0" borderId="0" xfId="0" applyNumberFormat="1" applyFont="1">
      <alignment vertical="center"/>
    </xf>
    <xf numFmtId="0" fontId="1" fillId="0" borderId="49" xfId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29" xfId="1" applyFont="1" applyBorder="1" applyAlignment="1">
      <alignment horizontal="center"/>
    </xf>
    <xf numFmtId="0" fontId="4" fillId="0" borderId="30" xfId="1" applyFont="1" applyBorder="1" applyAlignment="1">
      <alignment horizontal="center"/>
    </xf>
    <xf numFmtId="0" fontId="4" fillId="0" borderId="31" xfId="1" applyFont="1" applyBorder="1" applyAlignment="1">
      <alignment horizontal="center"/>
    </xf>
    <xf numFmtId="0" fontId="4" fillId="0" borderId="35" xfId="1" applyFont="1" applyBorder="1" applyAlignment="1">
      <alignment horizontal="center"/>
    </xf>
    <xf numFmtId="0" fontId="4" fillId="2" borderId="9" xfId="1" applyFont="1" applyFill="1" applyBorder="1"/>
    <xf numFmtId="0" fontId="7" fillId="0" borderId="62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4" fillId="0" borderId="0" xfId="0" applyFont="1">
      <alignment vertical="center"/>
    </xf>
    <xf numFmtId="0" fontId="4" fillId="0" borderId="0" xfId="1" applyFont="1"/>
    <xf numFmtId="0" fontId="15" fillId="0" borderId="0" xfId="0" applyFont="1">
      <alignment vertical="center"/>
    </xf>
    <xf numFmtId="0" fontId="7" fillId="0" borderId="0" xfId="1" applyFont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7" fillId="0" borderId="17" xfId="1" applyFont="1" applyBorder="1" applyAlignment="1">
      <alignment horizontal="center"/>
    </xf>
    <xf numFmtId="0" fontId="7" fillId="2" borderId="33" xfId="1" applyFont="1" applyFill="1" applyBorder="1"/>
    <xf numFmtId="0" fontId="13" fillId="2" borderId="7" xfId="1" applyFont="1" applyFill="1" applyBorder="1"/>
    <xf numFmtId="0" fontId="14" fillId="0" borderId="9" xfId="0" applyFont="1" applyBorder="1">
      <alignment vertical="center"/>
    </xf>
    <xf numFmtId="0" fontId="13" fillId="0" borderId="7" xfId="1" applyFont="1" applyBorder="1" applyAlignment="1">
      <alignment horizontal="center" vertical="center"/>
    </xf>
    <xf numFmtId="0" fontId="1" fillId="0" borderId="50" xfId="1" applyBorder="1" applyAlignment="1">
      <alignment horizontal="center" vertical="center"/>
    </xf>
    <xf numFmtId="0" fontId="1" fillId="2" borderId="60" xfId="1" applyFill="1" applyBorder="1"/>
    <xf numFmtId="0" fontId="17" fillId="0" borderId="10" xfId="1" applyFont="1" applyBorder="1" applyAlignment="1">
      <alignment horizontal="center" vertical="center"/>
    </xf>
    <xf numFmtId="0" fontId="17" fillId="0" borderId="4" xfId="1" applyFont="1" applyBorder="1"/>
    <xf numFmtId="0" fontId="17" fillId="0" borderId="14" xfId="1" applyFont="1" applyBorder="1"/>
    <xf numFmtId="0" fontId="17" fillId="0" borderId="5" xfId="1" applyFont="1" applyBorder="1"/>
    <xf numFmtId="0" fontId="17" fillId="0" borderId="6" xfId="1" applyFont="1" applyBorder="1"/>
    <xf numFmtId="0" fontId="17" fillId="2" borderId="8" xfId="1" applyFont="1" applyFill="1" applyBorder="1"/>
    <xf numFmtId="0" fontId="17" fillId="0" borderId="25" xfId="1" applyFont="1" applyBorder="1" applyAlignment="1">
      <alignment horizontal="center"/>
    </xf>
    <xf numFmtId="0" fontId="17" fillId="0" borderId="26" xfId="1" applyFont="1" applyBorder="1" applyAlignment="1">
      <alignment horizontal="center"/>
    </xf>
    <xf numFmtId="0" fontId="17" fillId="0" borderId="27" xfId="1" applyFont="1" applyBorder="1" applyAlignment="1">
      <alignment horizontal="center"/>
    </xf>
    <xf numFmtId="0" fontId="17" fillId="0" borderId="28" xfId="1" applyFont="1" applyBorder="1" applyAlignment="1">
      <alignment horizontal="center"/>
    </xf>
    <xf numFmtId="0" fontId="17" fillId="2" borderId="38" xfId="1" applyFont="1" applyFill="1" applyBorder="1"/>
    <xf numFmtId="0" fontId="16" fillId="0" borderId="9" xfId="0" applyFont="1" applyBorder="1">
      <alignment vertical="center"/>
    </xf>
    <xf numFmtId="56" fontId="16" fillId="0" borderId="0" xfId="0" applyNumberFormat="1" applyFont="1" applyAlignment="1">
      <alignment horizontal="left" vertical="center"/>
    </xf>
    <xf numFmtId="0" fontId="13" fillId="2" borderId="9" xfId="1" applyFont="1" applyFill="1" applyBorder="1"/>
    <xf numFmtId="0" fontId="13" fillId="0" borderId="29" xfId="1" applyFont="1" applyBorder="1" applyAlignment="1">
      <alignment horizontal="center"/>
    </xf>
    <xf numFmtId="0" fontId="13" fillId="0" borderId="30" xfId="1" applyFont="1" applyBorder="1" applyAlignment="1">
      <alignment horizontal="center"/>
    </xf>
    <xf numFmtId="0" fontId="13" fillId="0" borderId="31" xfId="1" applyFont="1" applyBorder="1" applyAlignment="1">
      <alignment horizontal="center"/>
    </xf>
    <xf numFmtId="0" fontId="13" fillId="0" borderId="32" xfId="1" applyFont="1" applyBorder="1" applyAlignment="1">
      <alignment horizontal="center"/>
    </xf>
    <xf numFmtId="0" fontId="13" fillId="2" borderId="39" xfId="1" applyFont="1" applyFill="1" applyBorder="1"/>
    <xf numFmtId="0" fontId="13" fillId="0" borderId="35" xfId="1" applyFont="1" applyBorder="1" applyAlignment="1">
      <alignment horizontal="center"/>
    </xf>
    <xf numFmtId="0" fontId="7" fillId="0" borderId="25" xfId="1" applyFont="1" applyBorder="1" applyAlignment="1">
      <alignment horizontal="center"/>
    </xf>
    <xf numFmtId="0" fontId="7" fillId="0" borderId="26" xfId="1" applyFont="1" applyBorder="1" applyAlignment="1">
      <alignment horizontal="center"/>
    </xf>
    <xf numFmtId="0" fontId="7" fillId="0" borderId="27" xfId="1" applyFont="1" applyBorder="1" applyAlignment="1">
      <alignment horizontal="center"/>
    </xf>
    <xf numFmtId="0" fontId="7" fillId="0" borderId="28" xfId="1" applyFont="1" applyBorder="1" applyAlignment="1">
      <alignment horizontal="center"/>
    </xf>
    <xf numFmtId="0" fontId="7" fillId="0" borderId="40" xfId="1" applyFont="1" applyBorder="1" applyAlignment="1">
      <alignment horizontal="center"/>
    </xf>
    <xf numFmtId="0" fontId="17" fillId="0" borderId="16" xfId="1" applyFont="1" applyBorder="1" applyAlignment="1">
      <alignment horizontal="center" vertical="center"/>
    </xf>
    <xf numFmtId="0" fontId="17" fillId="0" borderId="4" xfId="1" applyFont="1" applyBorder="1" applyAlignment="1">
      <alignment horizontal="center"/>
    </xf>
    <xf numFmtId="0" fontId="17" fillId="0" borderId="14" xfId="1" applyFont="1" applyBorder="1" applyAlignment="1">
      <alignment horizontal="center"/>
    </xf>
    <xf numFmtId="0" fontId="17" fillId="0" borderId="5" xfId="1" applyFont="1" applyBorder="1" applyAlignment="1">
      <alignment horizontal="center"/>
    </xf>
    <xf numFmtId="0" fontId="17" fillId="0" borderId="17" xfId="1" applyFont="1" applyBorder="1" applyAlignment="1">
      <alignment horizontal="center"/>
    </xf>
    <xf numFmtId="0" fontId="17" fillId="2" borderId="33" xfId="1" applyFont="1" applyFill="1" applyBorder="1"/>
    <xf numFmtId="0" fontId="17" fillId="0" borderId="18" xfId="1" applyFont="1" applyBorder="1" applyAlignment="1">
      <alignment horizontal="center"/>
    </xf>
    <xf numFmtId="0" fontId="17" fillId="2" borderId="10" xfId="1" applyFont="1" applyFill="1" applyBorder="1"/>
    <xf numFmtId="0" fontId="17" fillId="0" borderId="6" xfId="1" applyFont="1" applyBorder="1" applyAlignment="1">
      <alignment horizontal="center"/>
    </xf>
    <xf numFmtId="0" fontId="17" fillId="2" borderId="7" xfId="1" applyFont="1" applyFill="1" applyBorder="1"/>
    <xf numFmtId="0" fontId="13" fillId="0" borderId="4" xfId="1" applyFont="1" applyBorder="1" applyAlignment="1">
      <alignment horizontal="center"/>
    </xf>
    <xf numFmtId="0" fontId="13" fillId="0" borderId="14" xfId="1" applyFont="1" applyBorder="1" applyAlignment="1">
      <alignment horizontal="center"/>
    </xf>
    <xf numFmtId="0" fontId="13" fillId="0" borderId="5" xfId="1" applyFont="1" applyBorder="1" applyAlignment="1">
      <alignment horizontal="center"/>
    </xf>
    <xf numFmtId="0" fontId="13" fillId="0" borderId="17" xfId="1" applyFont="1" applyBorder="1" applyAlignment="1">
      <alignment horizontal="center"/>
    </xf>
    <xf numFmtId="0" fontId="13" fillId="2" borderId="33" xfId="1" applyFont="1" applyFill="1" applyBorder="1"/>
    <xf numFmtId="0" fontId="13" fillId="0" borderId="6" xfId="1" applyFont="1" applyBorder="1" applyAlignment="1">
      <alignment horizontal="center"/>
    </xf>
    <xf numFmtId="0" fontId="17" fillId="0" borderId="29" xfId="1" applyFont="1" applyBorder="1"/>
    <xf numFmtId="0" fontId="17" fillId="0" borderId="30" xfId="1" applyFont="1" applyBorder="1"/>
    <xf numFmtId="0" fontId="17" fillId="0" borderId="31" xfId="1" applyFont="1" applyBorder="1"/>
    <xf numFmtId="0" fontId="17" fillId="0" borderId="35" xfId="1" applyFont="1" applyBorder="1"/>
    <xf numFmtId="0" fontId="17" fillId="2" borderId="9" xfId="1" applyFont="1" applyFill="1" applyBorder="1"/>
    <xf numFmtId="0" fontId="17" fillId="0" borderId="29" xfId="1" applyFont="1" applyBorder="1" applyAlignment="1">
      <alignment horizontal="center"/>
    </xf>
    <xf numFmtId="0" fontId="17" fillId="0" borderId="30" xfId="1" applyFont="1" applyBorder="1" applyAlignment="1">
      <alignment horizontal="center"/>
    </xf>
    <xf numFmtId="0" fontId="17" fillId="0" borderId="31" xfId="1" applyFont="1" applyBorder="1" applyAlignment="1">
      <alignment horizontal="center"/>
    </xf>
    <xf numFmtId="0" fontId="17" fillId="0" borderId="32" xfId="1" applyFont="1" applyBorder="1" applyAlignment="1">
      <alignment horizontal="center"/>
    </xf>
    <xf numFmtId="0" fontId="17" fillId="2" borderId="48" xfId="1" applyFont="1" applyFill="1" applyBorder="1"/>
    <xf numFmtId="0" fontId="14" fillId="0" borderId="0" xfId="0" applyFont="1" applyAlignment="1">
      <alignment horizontal="left" vertical="center"/>
    </xf>
    <xf numFmtId="0" fontId="7" fillId="0" borderId="49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/>
    </xf>
    <xf numFmtId="0" fontId="4" fillId="2" borderId="39" xfId="1" applyFont="1" applyFill="1" applyBorder="1"/>
    <xf numFmtId="0" fontId="17" fillId="0" borderId="35" xfId="1" applyFont="1" applyBorder="1" applyAlignment="1">
      <alignment horizontal="center"/>
    </xf>
    <xf numFmtId="0" fontId="13" fillId="0" borderId="16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1" fillId="0" borderId="7" xfId="1" applyBorder="1" applyAlignment="1">
      <alignment horizontal="center" vertical="center" shrinkToFit="1"/>
    </xf>
    <xf numFmtId="0" fontId="13" fillId="0" borderId="9" xfId="1" applyFont="1" applyBorder="1" applyAlignment="1">
      <alignment horizontal="center" vertical="center"/>
    </xf>
    <xf numFmtId="0" fontId="16" fillId="0" borderId="7" xfId="0" applyFont="1" applyBorder="1">
      <alignment vertical="center"/>
    </xf>
    <xf numFmtId="0" fontId="7" fillId="0" borderId="29" xfId="1" applyFont="1" applyBorder="1" applyAlignment="1">
      <alignment horizontal="center"/>
    </xf>
    <xf numFmtId="0" fontId="7" fillId="0" borderId="30" xfId="1" applyFont="1" applyBorder="1" applyAlignment="1">
      <alignment horizontal="center"/>
    </xf>
    <xf numFmtId="0" fontId="7" fillId="0" borderId="31" xfId="1" applyFont="1" applyBorder="1" applyAlignment="1">
      <alignment horizontal="center"/>
    </xf>
    <xf numFmtId="0" fontId="7" fillId="2" borderId="9" xfId="1" applyFont="1" applyFill="1" applyBorder="1"/>
    <xf numFmtId="0" fontId="7" fillId="0" borderId="29" xfId="1" applyFont="1" applyBorder="1"/>
    <xf numFmtId="0" fontId="7" fillId="0" borderId="30" xfId="1" applyFont="1" applyBorder="1"/>
    <xf numFmtId="0" fontId="7" fillId="0" borderId="31" xfId="1" applyFont="1" applyBorder="1"/>
    <xf numFmtId="0" fontId="7" fillId="0" borderId="35" xfId="1" applyFont="1" applyBorder="1"/>
    <xf numFmtId="0" fontId="7" fillId="0" borderId="32" xfId="1" applyFont="1" applyBorder="1" applyAlignment="1">
      <alignment horizontal="center"/>
    </xf>
    <xf numFmtId="0" fontId="7" fillId="2" borderId="48" xfId="1" applyFont="1" applyFill="1" applyBorder="1"/>
    <xf numFmtId="0" fontId="17" fillId="2" borderId="16" xfId="1" applyFont="1" applyFill="1" applyBorder="1"/>
    <xf numFmtId="0" fontId="1" fillId="0" borderId="51" xfId="1" applyBorder="1" applyAlignment="1">
      <alignment horizontal="center" vertical="center"/>
    </xf>
    <xf numFmtId="0" fontId="12" fillId="0" borderId="7" xfId="0" applyFont="1" applyBorder="1">
      <alignment vertical="center"/>
    </xf>
    <xf numFmtId="0" fontId="4" fillId="0" borderId="9" xfId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5" borderId="11" xfId="1" applyFont="1" applyFill="1" applyBorder="1" applyAlignment="1">
      <alignment horizontal="center" vertical="center"/>
    </xf>
    <xf numFmtId="0" fontId="4" fillId="5" borderId="36" xfId="1" applyFont="1" applyFill="1" applyBorder="1" applyAlignment="1">
      <alignment horizontal="center" vertical="center"/>
    </xf>
    <xf numFmtId="0" fontId="4" fillId="5" borderId="37" xfId="1" applyFont="1" applyFill="1" applyBorder="1" applyAlignment="1">
      <alignment horizontal="center" vertical="center"/>
    </xf>
    <xf numFmtId="0" fontId="9" fillId="4" borderId="11" xfId="1" applyFont="1" applyFill="1" applyBorder="1" applyAlignment="1">
      <alignment horizontal="center" vertical="center"/>
    </xf>
    <xf numFmtId="0" fontId="9" fillId="4" borderId="36" xfId="1" applyFont="1" applyFill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68"/>
  <sheetViews>
    <sheetView tabSelected="1" topLeftCell="A511" zoomScaleNormal="100" workbookViewId="0">
      <selection activeCell="A519" sqref="A519"/>
    </sheetView>
  </sheetViews>
  <sheetFormatPr defaultRowHeight="13.5" x14ac:dyDescent="0.15"/>
  <cols>
    <col min="1" max="1" width="31.75" customWidth="1"/>
    <col min="2" max="12" width="8" customWidth="1"/>
    <col min="13" max="13" width="11.875" style="103" customWidth="1"/>
    <col min="14" max="14" width="43" customWidth="1"/>
    <col min="15" max="17" width="9" customWidth="1"/>
    <col min="26" max="26" width="9.25" style="103" bestFit="1" customWidth="1"/>
  </cols>
  <sheetData>
    <row r="1" spans="1:28" ht="19.5" thickBot="1" x14ac:dyDescent="0.25">
      <c r="A1" s="2" t="s">
        <v>15</v>
      </c>
      <c r="B1" s="2"/>
      <c r="C1" s="1"/>
      <c r="D1" s="1"/>
      <c r="E1" s="1"/>
      <c r="H1" s="1"/>
      <c r="I1" s="1"/>
      <c r="J1" s="1"/>
      <c r="K1" s="72" t="s">
        <v>12</v>
      </c>
      <c r="N1" s="2" t="s">
        <v>16</v>
      </c>
      <c r="O1" s="2"/>
      <c r="P1" s="1"/>
      <c r="Q1" s="1"/>
      <c r="R1" s="1"/>
      <c r="U1" s="1"/>
      <c r="V1" s="1"/>
      <c r="W1" s="1"/>
      <c r="X1" s="72" t="s">
        <v>12</v>
      </c>
    </row>
    <row r="2" spans="1:28" ht="14.25" thickBot="1" x14ac:dyDescent="0.2">
      <c r="A2" s="5" t="s">
        <v>0</v>
      </c>
      <c r="B2" s="245" t="s">
        <v>34</v>
      </c>
      <c r="C2" s="246"/>
      <c r="D2" s="246"/>
      <c r="E2" s="246"/>
      <c r="F2" s="247"/>
      <c r="G2" s="248" t="s">
        <v>35</v>
      </c>
      <c r="H2" s="249"/>
      <c r="I2" s="249"/>
      <c r="J2" s="249"/>
      <c r="K2" s="249"/>
      <c r="L2" s="243" t="s">
        <v>14</v>
      </c>
      <c r="N2" s="5" t="s">
        <v>0</v>
      </c>
      <c r="O2" s="245" t="s">
        <v>58</v>
      </c>
      <c r="P2" s="246"/>
      <c r="Q2" s="246"/>
      <c r="R2" s="246"/>
      <c r="S2" s="247"/>
      <c r="T2" s="248" t="s">
        <v>59</v>
      </c>
      <c r="U2" s="249"/>
      <c r="V2" s="249"/>
      <c r="W2" s="249"/>
      <c r="X2" s="249"/>
      <c r="Y2" s="243" t="s">
        <v>14</v>
      </c>
    </row>
    <row r="3" spans="1:28" ht="14.25" thickBot="1" x14ac:dyDescent="0.2">
      <c r="A3" s="5" t="s">
        <v>1</v>
      </c>
      <c r="B3" s="3" t="s">
        <v>17</v>
      </c>
      <c r="C3" s="27" t="s">
        <v>18</v>
      </c>
      <c r="D3" s="4" t="s">
        <v>19</v>
      </c>
      <c r="E3" s="14" t="s">
        <v>20</v>
      </c>
      <c r="F3" s="18" t="s">
        <v>2</v>
      </c>
      <c r="G3" s="3" t="s">
        <v>17</v>
      </c>
      <c r="H3" s="27" t="s">
        <v>18</v>
      </c>
      <c r="I3" s="4" t="s">
        <v>19</v>
      </c>
      <c r="J3" s="14" t="s">
        <v>20</v>
      </c>
      <c r="K3" s="73" t="s">
        <v>2</v>
      </c>
      <c r="L3" s="244"/>
      <c r="N3" s="5" t="s">
        <v>1</v>
      </c>
      <c r="O3" s="3" t="s">
        <v>17</v>
      </c>
      <c r="P3" s="27" t="s">
        <v>18</v>
      </c>
      <c r="Q3" s="4" t="s">
        <v>19</v>
      </c>
      <c r="R3" s="14" t="s">
        <v>20</v>
      </c>
      <c r="S3" s="18" t="s">
        <v>2</v>
      </c>
      <c r="T3" s="3" t="s">
        <v>17</v>
      </c>
      <c r="U3" s="27" t="s">
        <v>18</v>
      </c>
      <c r="V3" s="4" t="s">
        <v>19</v>
      </c>
      <c r="W3" s="14" t="s">
        <v>20</v>
      </c>
      <c r="X3" s="18" t="s">
        <v>2</v>
      </c>
      <c r="Y3" s="244"/>
    </row>
    <row r="4" spans="1:28" x14ac:dyDescent="0.15">
      <c r="A4" s="96" t="s">
        <v>13</v>
      </c>
      <c r="B4" s="97">
        <v>5</v>
      </c>
      <c r="C4" s="98">
        <v>5</v>
      </c>
      <c r="D4" s="98">
        <v>5</v>
      </c>
      <c r="E4" s="99">
        <v>5</v>
      </c>
      <c r="F4" s="100">
        <f>SUM(B4:E4)</f>
        <v>20</v>
      </c>
      <c r="G4" s="97">
        <v>5</v>
      </c>
      <c r="H4" s="98">
        <v>5</v>
      </c>
      <c r="I4" s="98">
        <v>5</v>
      </c>
      <c r="J4" s="99">
        <v>5</v>
      </c>
      <c r="K4" s="102">
        <f>SUM(G4:J4)</f>
        <v>20</v>
      </c>
      <c r="L4" s="94">
        <f>F4+K4</f>
        <v>40</v>
      </c>
      <c r="M4" s="104">
        <v>45604</v>
      </c>
      <c r="N4" s="96" t="s">
        <v>13</v>
      </c>
      <c r="O4" s="97">
        <v>30</v>
      </c>
      <c r="P4" s="98">
        <v>40</v>
      </c>
      <c r="Q4" s="98">
        <v>40</v>
      </c>
      <c r="R4" s="99">
        <v>30</v>
      </c>
      <c r="S4" s="100">
        <f>SUM(O4:R4)</f>
        <v>140</v>
      </c>
      <c r="T4" s="97">
        <v>30</v>
      </c>
      <c r="U4" s="98">
        <v>40</v>
      </c>
      <c r="V4" s="98">
        <v>40</v>
      </c>
      <c r="W4" s="99">
        <v>30</v>
      </c>
      <c r="X4" s="100">
        <f>SUM(T4:W4)</f>
        <v>140</v>
      </c>
      <c r="Y4" s="94">
        <f>S4+X4</f>
        <v>280</v>
      </c>
      <c r="Z4" s="104" t="s">
        <v>25</v>
      </c>
    </row>
    <row r="5" spans="1:28" x14ac:dyDescent="0.15">
      <c r="A5" s="44" t="s">
        <v>11</v>
      </c>
      <c r="B5" s="38">
        <v>2</v>
      </c>
      <c r="C5" s="39"/>
      <c r="D5" s="40"/>
      <c r="E5" s="41"/>
      <c r="F5" s="62">
        <f>SUM(B5:E5)</f>
        <v>2</v>
      </c>
      <c r="G5" s="38"/>
      <c r="H5" s="39">
        <v>2</v>
      </c>
      <c r="I5" s="40">
        <v>2</v>
      </c>
      <c r="J5" s="41">
        <v>2</v>
      </c>
      <c r="K5" s="75">
        <f>SUM(G5:J5)</f>
        <v>6</v>
      </c>
      <c r="L5" s="94">
        <f t="shared" ref="L5:L8" si="0">F5+K5</f>
        <v>8</v>
      </c>
      <c r="M5" s="104">
        <v>45664</v>
      </c>
      <c r="N5" s="44" t="s">
        <v>11</v>
      </c>
      <c r="O5" s="38"/>
      <c r="P5" s="39"/>
      <c r="Q5" s="40"/>
      <c r="R5" s="41"/>
      <c r="S5" s="62">
        <f>SUM(O5:R5)</f>
        <v>0</v>
      </c>
      <c r="T5" s="38"/>
      <c r="U5" s="39"/>
      <c r="V5" s="40"/>
      <c r="W5" s="41"/>
      <c r="X5" s="62">
        <f>SUM(T5:W5)</f>
        <v>0</v>
      </c>
      <c r="Y5" s="94">
        <f t="shared" ref="Y5:Y8" si="1">S5+X5</f>
        <v>0</v>
      </c>
      <c r="Z5" s="132"/>
    </row>
    <row r="6" spans="1:28" x14ac:dyDescent="0.15">
      <c r="A6" s="11" t="s">
        <v>3</v>
      </c>
      <c r="B6" s="15"/>
      <c r="C6" s="28"/>
      <c r="D6" s="16">
        <v>3</v>
      </c>
      <c r="E6" s="19"/>
      <c r="F6" s="42">
        <f>SUM(B6:E6)</f>
        <v>3</v>
      </c>
      <c r="G6" s="15">
        <v>3</v>
      </c>
      <c r="H6" s="28">
        <v>3</v>
      </c>
      <c r="I6" s="16">
        <v>3</v>
      </c>
      <c r="J6" s="19">
        <v>3</v>
      </c>
      <c r="K6" s="76">
        <f>SUM(G6:J6)</f>
        <v>12</v>
      </c>
      <c r="L6" s="94">
        <f t="shared" si="0"/>
        <v>15</v>
      </c>
      <c r="M6" s="104">
        <v>45689</v>
      </c>
      <c r="N6" s="11" t="s">
        <v>3</v>
      </c>
      <c r="O6" s="15">
        <v>40</v>
      </c>
      <c r="P6" s="28">
        <v>50</v>
      </c>
      <c r="Q6" s="16">
        <v>40</v>
      </c>
      <c r="R6" s="19">
        <v>30</v>
      </c>
      <c r="S6" s="42">
        <f>SUM(O6:R6)</f>
        <v>160</v>
      </c>
      <c r="T6" s="15">
        <v>40</v>
      </c>
      <c r="U6" s="28">
        <v>50</v>
      </c>
      <c r="V6" s="16">
        <v>40</v>
      </c>
      <c r="W6" s="19">
        <v>30</v>
      </c>
      <c r="X6" s="42">
        <f>SUM(T6:W6)</f>
        <v>160</v>
      </c>
      <c r="Y6" s="94">
        <f t="shared" si="1"/>
        <v>320</v>
      </c>
      <c r="Z6" s="104" t="s">
        <v>32</v>
      </c>
    </row>
    <row r="7" spans="1:28" x14ac:dyDescent="0.15">
      <c r="A7" s="11" t="s">
        <v>4</v>
      </c>
      <c r="B7" s="15">
        <v>5</v>
      </c>
      <c r="C7" s="28">
        <v>4</v>
      </c>
      <c r="D7" s="16">
        <v>3</v>
      </c>
      <c r="E7" s="19">
        <v>2</v>
      </c>
      <c r="F7" s="42">
        <f>SUM(B7:E7)</f>
        <v>14</v>
      </c>
      <c r="G7" s="15">
        <v>2</v>
      </c>
      <c r="H7" s="28">
        <v>3</v>
      </c>
      <c r="I7" s="16">
        <v>3</v>
      </c>
      <c r="J7" s="19">
        <v>2</v>
      </c>
      <c r="K7" s="76">
        <f>SUM(G7:J7)</f>
        <v>10</v>
      </c>
      <c r="L7" s="94">
        <f t="shared" si="0"/>
        <v>24</v>
      </c>
      <c r="M7" s="104">
        <v>45708</v>
      </c>
      <c r="N7" s="11" t="s">
        <v>29</v>
      </c>
      <c r="O7" s="15">
        <v>-1</v>
      </c>
      <c r="P7" s="28">
        <v>-1</v>
      </c>
      <c r="Q7" s="16"/>
      <c r="R7" s="19"/>
      <c r="S7" s="42">
        <f>SUM(O7:R7)</f>
        <v>-2</v>
      </c>
      <c r="T7" s="15">
        <v>-2</v>
      </c>
      <c r="U7" s="28">
        <v>-1</v>
      </c>
      <c r="V7" s="16">
        <v>-1</v>
      </c>
      <c r="W7" s="19"/>
      <c r="X7" s="42">
        <f>SUM(T7:W7)</f>
        <v>-4</v>
      </c>
      <c r="Y7" s="94">
        <f t="shared" si="1"/>
        <v>-6</v>
      </c>
      <c r="Z7" s="133"/>
    </row>
    <row r="8" spans="1:28" ht="14.25" thickBot="1" x14ac:dyDescent="0.2">
      <c r="A8" s="11" t="s">
        <v>6</v>
      </c>
      <c r="B8" s="6"/>
      <c r="C8" s="17"/>
      <c r="D8" s="7"/>
      <c r="E8" s="8"/>
      <c r="F8" s="10">
        <f>SUM(B8:E8)</f>
        <v>0</v>
      </c>
      <c r="G8" s="34"/>
      <c r="H8" s="35"/>
      <c r="I8" s="36">
        <v>5</v>
      </c>
      <c r="J8" s="37"/>
      <c r="K8" s="77">
        <f>SUM(G8:J8)</f>
        <v>5</v>
      </c>
      <c r="L8" s="94">
        <f t="shared" si="0"/>
        <v>5</v>
      </c>
      <c r="M8" s="104">
        <v>45715</v>
      </c>
      <c r="N8" s="11" t="s">
        <v>6</v>
      </c>
      <c r="O8" s="6"/>
      <c r="P8" s="17"/>
      <c r="Q8" s="7"/>
      <c r="R8" s="8"/>
      <c r="S8" s="10">
        <f>SUM(O8:R8)</f>
        <v>0</v>
      </c>
      <c r="T8" s="34"/>
      <c r="U8" s="35"/>
      <c r="V8" s="36"/>
      <c r="W8" s="37"/>
      <c r="X8" s="43">
        <f>SUM(T8:W8)</f>
        <v>0</v>
      </c>
      <c r="Y8" s="94">
        <f t="shared" si="1"/>
        <v>0</v>
      </c>
    </row>
    <row r="9" spans="1:28" ht="14.25" thickBot="1" x14ac:dyDescent="0.2">
      <c r="A9" s="13" t="s">
        <v>7</v>
      </c>
      <c r="B9" s="24">
        <f t="shared" ref="B9:F9" si="2">SUM(B4:B8)</f>
        <v>12</v>
      </c>
      <c r="C9" s="30">
        <f t="shared" si="2"/>
        <v>9</v>
      </c>
      <c r="D9" s="25">
        <f t="shared" si="2"/>
        <v>11</v>
      </c>
      <c r="E9" s="60">
        <f t="shared" si="2"/>
        <v>7</v>
      </c>
      <c r="F9" s="59">
        <f t="shared" si="2"/>
        <v>39</v>
      </c>
      <c r="G9" s="24">
        <f t="shared" ref="G9:K9" si="3">SUM(G4:G8)</f>
        <v>10</v>
      </c>
      <c r="H9" s="30">
        <f t="shared" si="3"/>
        <v>13</v>
      </c>
      <c r="I9" s="25">
        <f t="shared" si="3"/>
        <v>18</v>
      </c>
      <c r="J9" s="60">
        <f t="shared" si="3"/>
        <v>12</v>
      </c>
      <c r="K9" s="78">
        <f t="shared" si="3"/>
        <v>53</v>
      </c>
      <c r="L9" s="85">
        <f>F9+K9</f>
        <v>92</v>
      </c>
      <c r="N9" s="13" t="s">
        <v>7</v>
      </c>
      <c r="O9" s="24">
        <f t="shared" ref="O9:X9" si="4">SUM(O4:O8)</f>
        <v>69</v>
      </c>
      <c r="P9" s="30">
        <f t="shared" si="4"/>
        <v>89</v>
      </c>
      <c r="Q9" s="25">
        <f t="shared" si="4"/>
        <v>80</v>
      </c>
      <c r="R9" s="60">
        <f t="shared" si="4"/>
        <v>60</v>
      </c>
      <c r="S9" s="59">
        <f t="shared" si="4"/>
        <v>298</v>
      </c>
      <c r="T9" s="24">
        <f t="shared" si="4"/>
        <v>68</v>
      </c>
      <c r="U9" s="30">
        <f t="shared" si="4"/>
        <v>89</v>
      </c>
      <c r="V9" s="25">
        <f t="shared" si="4"/>
        <v>79</v>
      </c>
      <c r="W9" s="60">
        <f t="shared" si="4"/>
        <v>60</v>
      </c>
      <c r="X9" s="61">
        <f t="shared" si="4"/>
        <v>296</v>
      </c>
      <c r="Y9" s="85">
        <f>S9+X9</f>
        <v>594</v>
      </c>
    </row>
    <row r="10" spans="1:28" x14ac:dyDescent="0.15">
      <c r="A10" s="44" t="s">
        <v>27</v>
      </c>
      <c r="B10" s="38"/>
      <c r="C10" s="39"/>
      <c r="D10" s="40"/>
      <c r="E10" s="41"/>
      <c r="F10" s="54">
        <f t="shared" ref="F10:F27" si="5">SUM(B10:E10)</f>
        <v>0</v>
      </c>
      <c r="G10" s="15"/>
      <c r="H10" s="28"/>
      <c r="I10" s="16">
        <v>2</v>
      </c>
      <c r="J10" s="31"/>
      <c r="K10" s="79">
        <f t="shared" ref="K10" si="6">SUM(G10:J10)</f>
        <v>2</v>
      </c>
      <c r="L10" s="101">
        <f>F10+K10</f>
        <v>2</v>
      </c>
      <c r="M10" s="105">
        <v>45604</v>
      </c>
      <c r="N10" s="44" t="s">
        <v>26</v>
      </c>
      <c r="O10" s="38">
        <v>5</v>
      </c>
      <c r="P10" s="39">
        <v>5</v>
      </c>
      <c r="Q10" s="40">
        <v>5</v>
      </c>
      <c r="R10" s="41">
        <v>5</v>
      </c>
      <c r="S10" s="54">
        <f t="shared" ref="S10:S34" si="7">SUM(O10:R10)</f>
        <v>20</v>
      </c>
      <c r="T10" s="15">
        <v>5</v>
      </c>
      <c r="U10" s="28">
        <v>5</v>
      </c>
      <c r="V10" s="16">
        <v>5</v>
      </c>
      <c r="W10" s="31">
        <v>5</v>
      </c>
      <c r="X10" s="9">
        <f t="shared" ref="X10" si="8">SUM(T10:W10)</f>
        <v>20</v>
      </c>
      <c r="Y10" s="101">
        <f>S10+X10</f>
        <v>40</v>
      </c>
      <c r="Z10" s="104">
        <v>45604</v>
      </c>
    </row>
    <row r="11" spans="1:28" x14ac:dyDescent="0.15">
      <c r="A11" s="44" t="s">
        <v>28</v>
      </c>
      <c r="B11" s="15">
        <v>1</v>
      </c>
      <c r="C11" s="28"/>
      <c r="D11" s="16"/>
      <c r="E11" s="19"/>
      <c r="F11" s="9">
        <f t="shared" si="5"/>
        <v>1</v>
      </c>
      <c r="G11" s="15">
        <v>1</v>
      </c>
      <c r="H11" s="28"/>
      <c r="I11" s="16"/>
      <c r="J11" s="31"/>
      <c r="K11" s="79">
        <f>SUM(G11:J11)</f>
        <v>1</v>
      </c>
      <c r="L11" s="94">
        <f>F11+K11</f>
        <v>2</v>
      </c>
      <c r="M11" s="105">
        <v>45608</v>
      </c>
      <c r="N11" s="44" t="s">
        <v>26</v>
      </c>
      <c r="O11" s="15">
        <v>2</v>
      </c>
      <c r="P11" s="28"/>
      <c r="Q11" s="16"/>
      <c r="R11" s="19"/>
      <c r="S11" s="9">
        <f>SUM(O11:R11)</f>
        <v>2</v>
      </c>
      <c r="T11" s="15"/>
      <c r="U11" s="28">
        <v>2</v>
      </c>
      <c r="V11" s="16">
        <v>2</v>
      </c>
      <c r="W11" s="31">
        <v>2</v>
      </c>
      <c r="X11" s="9">
        <f>SUM(T11:W11)</f>
        <v>6</v>
      </c>
      <c r="Y11" s="94">
        <f t="shared" ref="Y11" si="9">S11+X11</f>
        <v>8</v>
      </c>
      <c r="Z11" s="104">
        <v>45664</v>
      </c>
    </row>
    <row r="12" spans="1:28" x14ac:dyDescent="0.15">
      <c r="A12" s="44" t="s">
        <v>27</v>
      </c>
      <c r="B12" s="15"/>
      <c r="C12" s="28"/>
      <c r="D12" s="16"/>
      <c r="E12" s="19"/>
      <c r="F12" s="9">
        <f t="shared" si="5"/>
        <v>0</v>
      </c>
      <c r="G12" s="15"/>
      <c r="H12" s="28">
        <v>1</v>
      </c>
      <c r="I12" s="16"/>
      <c r="J12" s="31"/>
      <c r="K12" s="79">
        <f>SUM(G12:J12)</f>
        <v>1</v>
      </c>
      <c r="L12" s="94">
        <f>F12+K12</f>
        <v>1</v>
      </c>
      <c r="M12" s="105">
        <v>45607</v>
      </c>
      <c r="N12" s="44" t="s">
        <v>260</v>
      </c>
      <c r="O12" s="15">
        <v>10</v>
      </c>
      <c r="P12" s="28">
        <v>10</v>
      </c>
      <c r="Q12" s="16">
        <v>10</v>
      </c>
      <c r="R12" s="19">
        <v>10</v>
      </c>
      <c r="S12" s="9">
        <f t="shared" si="7"/>
        <v>40</v>
      </c>
      <c r="T12" s="15">
        <v>10</v>
      </c>
      <c r="U12" s="28">
        <v>10</v>
      </c>
      <c r="V12" s="16">
        <v>10</v>
      </c>
      <c r="W12" s="31">
        <v>10</v>
      </c>
      <c r="X12" s="9">
        <f>SUM(T12:W12)</f>
        <v>40</v>
      </c>
      <c r="Y12" s="94">
        <f>S12+X12</f>
        <v>80</v>
      </c>
      <c r="Z12" s="104">
        <v>45680</v>
      </c>
    </row>
    <row r="13" spans="1:28" x14ac:dyDescent="0.15">
      <c r="A13" s="44" t="s">
        <v>27</v>
      </c>
      <c r="B13" s="15"/>
      <c r="C13" s="28"/>
      <c r="D13" s="16"/>
      <c r="E13" s="19"/>
      <c r="F13" s="9">
        <f t="shared" si="5"/>
        <v>0</v>
      </c>
      <c r="G13" s="15"/>
      <c r="H13" s="28">
        <v>1</v>
      </c>
      <c r="I13" s="16"/>
      <c r="J13" s="31"/>
      <c r="K13" s="79">
        <f>SUM(G13:J13)</f>
        <v>1</v>
      </c>
      <c r="L13" s="94">
        <f t="shared" ref="L13:L36" si="10">F13+K13</f>
        <v>1</v>
      </c>
      <c r="M13" s="105">
        <v>45618</v>
      </c>
      <c r="N13" s="44" t="s">
        <v>26</v>
      </c>
      <c r="O13" s="15"/>
      <c r="P13" s="28"/>
      <c r="Q13" s="16">
        <v>3</v>
      </c>
      <c r="R13" s="19"/>
      <c r="S13" s="9">
        <f>SUM(O13:R13)</f>
        <v>3</v>
      </c>
      <c r="T13" s="15">
        <v>3</v>
      </c>
      <c r="U13" s="28">
        <v>3</v>
      </c>
      <c r="V13" s="16">
        <v>3</v>
      </c>
      <c r="W13" s="31">
        <v>3</v>
      </c>
      <c r="X13" s="9">
        <f>SUM(T13:W13)</f>
        <v>12</v>
      </c>
      <c r="Y13" s="94">
        <f t="shared" ref="Y13" si="11">S13+X13</f>
        <v>15</v>
      </c>
      <c r="Z13" s="104">
        <v>45689</v>
      </c>
      <c r="AA13" s="109"/>
      <c r="AB13" s="109"/>
    </row>
    <row r="14" spans="1:28" x14ac:dyDescent="0.15">
      <c r="A14" s="44" t="s">
        <v>27</v>
      </c>
      <c r="B14" s="15"/>
      <c r="C14" s="28"/>
      <c r="D14" s="16"/>
      <c r="E14" s="19"/>
      <c r="F14" s="9">
        <f t="shared" si="5"/>
        <v>0</v>
      </c>
      <c r="G14" s="15"/>
      <c r="H14" s="28"/>
      <c r="I14" s="16"/>
      <c r="J14" s="31">
        <v>1</v>
      </c>
      <c r="K14" s="79">
        <f t="shared" ref="K14:K23" si="12">SUM(G14:J14)</f>
        <v>1</v>
      </c>
      <c r="L14" s="94">
        <f t="shared" si="10"/>
        <v>1</v>
      </c>
      <c r="M14" s="105">
        <v>45621</v>
      </c>
      <c r="N14" s="44" t="s">
        <v>40</v>
      </c>
      <c r="O14" s="15"/>
      <c r="P14" s="28">
        <v>5</v>
      </c>
      <c r="Q14" s="16"/>
      <c r="R14" s="19"/>
      <c r="S14" s="9">
        <f t="shared" si="7"/>
        <v>5</v>
      </c>
      <c r="T14" s="15"/>
      <c r="U14" s="28"/>
      <c r="V14" s="16"/>
      <c r="W14" s="31">
        <v>10</v>
      </c>
      <c r="X14" s="9">
        <f t="shared" ref="X14" si="13">SUM(T14:W14)</f>
        <v>10</v>
      </c>
      <c r="Y14" s="94">
        <f t="shared" ref="Y14:Y36" si="14">S14+X14</f>
        <v>15</v>
      </c>
      <c r="Z14" s="104">
        <v>45693</v>
      </c>
      <c r="AA14" s="109"/>
      <c r="AB14" s="109"/>
    </row>
    <row r="15" spans="1:28" x14ac:dyDescent="0.15">
      <c r="A15" s="44" t="s">
        <v>27</v>
      </c>
      <c r="B15" s="15"/>
      <c r="C15" s="28"/>
      <c r="D15" s="16">
        <v>1</v>
      </c>
      <c r="E15" s="19"/>
      <c r="F15" s="9">
        <f t="shared" si="5"/>
        <v>1</v>
      </c>
      <c r="G15" s="15"/>
      <c r="H15" s="28"/>
      <c r="I15" s="16"/>
      <c r="J15" s="31"/>
      <c r="K15" s="79">
        <f>SUM(G15:J15)</f>
        <v>0</v>
      </c>
      <c r="L15" s="94">
        <f t="shared" si="10"/>
        <v>1</v>
      </c>
      <c r="M15" s="105">
        <v>45622</v>
      </c>
      <c r="N15" s="44" t="s">
        <v>41</v>
      </c>
      <c r="O15" s="15"/>
      <c r="P15" s="28">
        <v>5</v>
      </c>
      <c r="Q15" s="16"/>
      <c r="R15" s="19"/>
      <c r="S15" s="9">
        <f t="shared" si="7"/>
        <v>5</v>
      </c>
      <c r="T15" s="15">
        <v>5</v>
      </c>
      <c r="U15" s="28"/>
      <c r="V15" s="16">
        <v>5</v>
      </c>
      <c r="W15" s="31">
        <v>15</v>
      </c>
      <c r="X15" s="9">
        <f>SUM(T15:W15)</f>
        <v>25</v>
      </c>
      <c r="Y15" s="94">
        <f t="shared" si="14"/>
        <v>30</v>
      </c>
      <c r="Z15" s="104">
        <v>45693</v>
      </c>
      <c r="AA15" s="109"/>
      <c r="AB15" s="109"/>
    </row>
    <row r="16" spans="1:28" x14ac:dyDescent="0.15">
      <c r="A16" s="44" t="s">
        <v>27</v>
      </c>
      <c r="B16" s="15"/>
      <c r="C16" s="28"/>
      <c r="D16" s="16"/>
      <c r="E16" s="19"/>
      <c r="F16" s="9">
        <f t="shared" si="5"/>
        <v>0</v>
      </c>
      <c r="G16" s="15"/>
      <c r="H16" s="28"/>
      <c r="I16" s="16">
        <v>1</v>
      </c>
      <c r="J16" s="31"/>
      <c r="K16" s="79">
        <f>SUM(G16:J16)</f>
        <v>1</v>
      </c>
      <c r="L16" s="94">
        <f t="shared" si="10"/>
        <v>1</v>
      </c>
      <c r="M16" s="105">
        <v>45631</v>
      </c>
      <c r="N16" s="44" t="s">
        <v>44</v>
      </c>
      <c r="O16" s="15"/>
      <c r="P16" s="28"/>
      <c r="Q16" s="16">
        <v>15</v>
      </c>
      <c r="R16" s="19">
        <v>5</v>
      </c>
      <c r="S16" s="9">
        <f t="shared" si="7"/>
        <v>20</v>
      </c>
      <c r="T16" s="15"/>
      <c r="U16" s="28">
        <v>5</v>
      </c>
      <c r="V16" s="16">
        <v>5</v>
      </c>
      <c r="W16" s="31"/>
      <c r="X16" s="9">
        <f>SUM(T16:W16)</f>
        <v>10</v>
      </c>
      <c r="Y16" s="94">
        <f t="shared" si="14"/>
        <v>30</v>
      </c>
      <c r="Z16" s="104">
        <v>45694</v>
      </c>
      <c r="AA16" s="109"/>
      <c r="AB16" s="109"/>
    </row>
    <row r="17" spans="1:28" x14ac:dyDescent="0.15">
      <c r="A17" s="44" t="s">
        <v>27</v>
      </c>
      <c r="B17" s="15"/>
      <c r="C17" s="28"/>
      <c r="D17" s="16"/>
      <c r="E17" s="19"/>
      <c r="F17" s="9">
        <f t="shared" si="5"/>
        <v>0</v>
      </c>
      <c r="G17" s="15"/>
      <c r="H17" s="28"/>
      <c r="I17" s="16"/>
      <c r="J17" s="31">
        <v>1</v>
      </c>
      <c r="K17" s="79">
        <f t="shared" si="12"/>
        <v>1</v>
      </c>
      <c r="L17" s="94">
        <f t="shared" si="10"/>
        <v>1</v>
      </c>
      <c r="M17" s="105">
        <v>45632</v>
      </c>
      <c r="N17" s="44" t="s">
        <v>46</v>
      </c>
      <c r="O17" s="15">
        <v>5</v>
      </c>
      <c r="P17" s="28">
        <v>5</v>
      </c>
      <c r="Q17" s="16">
        <v>5</v>
      </c>
      <c r="R17" s="19"/>
      <c r="S17" s="9">
        <f t="shared" si="7"/>
        <v>15</v>
      </c>
      <c r="T17" s="15">
        <v>5</v>
      </c>
      <c r="U17" s="28">
        <v>10</v>
      </c>
      <c r="V17" s="16">
        <v>5</v>
      </c>
      <c r="W17" s="31"/>
      <c r="X17" s="9">
        <f t="shared" ref="X17" si="15">SUM(T17:W17)</f>
        <v>20</v>
      </c>
      <c r="Y17" s="94">
        <f t="shared" si="14"/>
        <v>35</v>
      </c>
      <c r="Z17" s="104">
        <v>45695</v>
      </c>
      <c r="AA17" s="109"/>
      <c r="AB17" s="109"/>
    </row>
    <row r="18" spans="1:28" x14ac:dyDescent="0.15">
      <c r="A18" s="108" t="s">
        <v>31</v>
      </c>
      <c r="B18" s="15">
        <v>1</v>
      </c>
      <c r="C18" s="28"/>
      <c r="D18" s="16"/>
      <c r="E18" s="19"/>
      <c r="F18" s="9">
        <f t="shared" si="5"/>
        <v>1</v>
      </c>
      <c r="G18" s="15"/>
      <c r="H18" s="28"/>
      <c r="I18" s="16"/>
      <c r="J18" s="31"/>
      <c r="K18" s="79">
        <f>SUM(G18:J18)</f>
        <v>0</v>
      </c>
      <c r="L18" s="94">
        <f t="shared" si="10"/>
        <v>1</v>
      </c>
      <c r="M18" s="105">
        <v>45643</v>
      </c>
      <c r="N18" s="44" t="s">
        <v>47</v>
      </c>
      <c r="O18" s="15">
        <v>5</v>
      </c>
      <c r="P18" s="28">
        <v>4</v>
      </c>
      <c r="Q18" s="16">
        <v>3</v>
      </c>
      <c r="R18" s="19">
        <v>2</v>
      </c>
      <c r="S18" s="9">
        <f>SUM(O18:R18)</f>
        <v>14</v>
      </c>
      <c r="T18" s="15">
        <v>2</v>
      </c>
      <c r="U18" s="28">
        <v>3</v>
      </c>
      <c r="V18" s="16">
        <v>3</v>
      </c>
      <c r="W18" s="31">
        <v>2</v>
      </c>
      <c r="X18" s="9">
        <f>SUM(T18:W18)</f>
        <v>10</v>
      </c>
      <c r="Y18" s="94">
        <f t="shared" si="14"/>
        <v>24</v>
      </c>
      <c r="Z18" s="104">
        <v>45708</v>
      </c>
      <c r="AA18" s="109"/>
      <c r="AB18" s="109"/>
    </row>
    <row r="19" spans="1:28" x14ac:dyDescent="0.15">
      <c r="A19" s="44" t="s">
        <v>27</v>
      </c>
      <c r="B19" s="15"/>
      <c r="C19" s="28"/>
      <c r="D19" s="16"/>
      <c r="E19" s="19"/>
      <c r="F19" s="9">
        <f t="shared" si="5"/>
        <v>0</v>
      </c>
      <c r="G19" s="15"/>
      <c r="H19" s="28"/>
      <c r="I19" s="16"/>
      <c r="J19" s="31">
        <v>1</v>
      </c>
      <c r="K19" s="79">
        <f t="shared" si="12"/>
        <v>1</v>
      </c>
      <c r="L19" s="94">
        <f t="shared" si="10"/>
        <v>1</v>
      </c>
      <c r="M19" s="105">
        <v>45667</v>
      </c>
      <c r="N19" s="44" t="s">
        <v>26</v>
      </c>
      <c r="O19" s="15"/>
      <c r="P19" s="28"/>
      <c r="Q19" s="16"/>
      <c r="R19" s="19"/>
      <c r="S19" s="9">
        <f>SUM(O19:R19)</f>
        <v>0</v>
      </c>
      <c r="T19" s="15"/>
      <c r="U19" s="28"/>
      <c r="V19" s="16">
        <v>5</v>
      </c>
      <c r="W19" s="31"/>
      <c r="X19" s="9">
        <f>SUM(T19:W19)</f>
        <v>5</v>
      </c>
      <c r="Y19" s="94">
        <f t="shared" si="14"/>
        <v>5</v>
      </c>
      <c r="Z19" s="104">
        <v>45715</v>
      </c>
      <c r="AA19" s="109"/>
      <c r="AB19" s="109"/>
    </row>
    <row r="20" spans="1:28" x14ac:dyDescent="0.15">
      <c r="A20" s="44" t="s">
        <v>27</v>
      </c>
      <c r="B20" s="15"/>
      <c r="C20" s="28"/>
      <c r="D20" s="16"/>
      <c r="E20" s="19"/>
      <c r="F20" s="9">
        <f t="shared" si="5"/>
        <v>0</v>
      </c>
      <c r="G20" s="15"/>
      <c r="H20" s="28"/>
      <c r="I20" s="16"/>
      <c r="J20" s="31">
        <v>1</v>
      </c>
      <c r="K20" s="79">
        <f t="shared" si="12"/>
        <v>1</v>
      </c>
      <c r="L20" s="94">
        <f t="shared" si="10"/>
        <v>1</v>
      </c>
      <c r="M20" s="104">
        <v>45671</v>
      </c>
      <c r="N20" s="44" t="s">
        <v>26</v>
      </c>
      <c r="O20" s="15">
        <v>3</v>
      </c>
      <c r="P20" s="28"/>
      <c r="Q20" s="16"/>
      <c r="R20" s="19">
        <v>3</v>
      </c>
      <c r="S20" s="9">
        <f>SUM(O20:R20)</f>
        <v>6</v>
      </c>
      <c r="T20" s="15"/>
      <c r="U20" s="28">
        <v>3</v>
      </c>
      <c r="V20" s="16"/>
      <c r="W20" s="31"/>
      <c r="X20" s="9">
        <f>SUM(T20:W20)</f>
        <v>3</v>
      </c>
      <c r="Y20" s="94">
        <f t="shared" si="14"/>
        <v>9</v>
      </c>
      <c r="Z20" s="104">
        <v>45722</v>
      </c>
      <c r="AA20" s="109"/>
      <c r="AB20" s="109"/>
    </row>
    <row r="21" spans="1:28" x14ac:dyDescent="0.15">
      <c r="A21" s="44" t="s">
        <v>33</v>
      </c>
      <c r="B21" s="15"/>
      <c r="C21" s="28"/>
      <c r="D21" s="16">
        <v>1</v>
      </c>
      <c r="E21" s="19"/>
      <c r="F21" s="9">
        <f t="shared" si="5"/>
        <v>1</v>
      </c>
      <c r="G21" s="15"/>
      <c r="H21" s="28"/>
      <c r="I21" s="16"/>
      <c r="J21" s="31"/>
      <c r="K21" s="79">
        <f t="shared" si="12"/>
        <v>0</v>
      </c>
      <c r="L21" s="94">
        <f t="shared" si="10"/>
        <v>1</v>
      </c>
      <c r="M21" s="104">
        <v>45672</v>
      </c>
      <c r="N21" s="44"/>
      <c r="O21" s="15"/>
      <c r="P21" s="28"/>
      <c r="Q21" s="16"/>
      <c r="R21" s="19"/>
      <c r="S21" s="9">
        <f t="shared" si="7"/>
        <v>0</v>
      </c>
      <c r="T21" s="15"/>
      <c r="U21" s="28"/>
      <c r="V21" s="16"/>
      <c r="W21" s="31"/>
      <c r="X21" s="9">
        <f t="shared" ref="X21" si="16">SUM(T21:W21)</f>
        <v>0</v>
      </c>
      <c r="Y21" s="94">
        <f t="shared" si="14"/>
        <v>0</v>
      </c>
      <c r="Z21" s="133"/>
      <c r="AA21" s="109"/>
    </row>
    <row r="22" spans="1:28" x14ac:dyDescent="0.15">
      <c r="A22" s="44" t="s">
        <v>36</v>
      </c>
      <c r="B22" s="15">
        <v>1</v>
      </c>
      <c r="C22" s="28"/>
      <c r="D22" s="16"/>
      <c r="E22" s="19"/>
      <c r="F22" s="9">
        <f t="shared" si="5"/>
        <v>1</v>
      </c>
      <c r="G22" s="15">
        <v>1</v>
      </c>
      <c r="H22" s="28"/>
      <c r="I22" s="16"/>
      <c r="J22" s="31"/>
      <c r="K22" s="79">
        <f>SUM(G22:J22)</f>
        <v>1</v>
      </c>
      <c r="L22" s="94">
        <f t="shared" si="10"/>
        <v>2</v>
      </c>
      <c r="M22" s="104">
        <v>45677</v>
      </c>
      <c r="N22" s="44"/>
      <c r="O22" s="15"/>
      <c r="P22" s="28"/>
      <c r="Q22" s="16"/>
      <c r="R22" s="19"/>
      <c r="S22" s="9">
        <f t="shared" si="7"/>
        <v>0</v>
      </c>
      <c r="T22" s="15"/>
      <c r="U22" s="28"/>
      <c r="V22" s="16"/>
      <c r="W22" s="31"/>
      <c r="X22" s="9">
        <f>SUM(T22:W22)</f>
        <v>0</v>
      </c>
      <c r="Y22" s="94">
        <f t="shared" si="14"/>
        <v>0</v>
      </c>
      <c r="Z22" s="133"/>
    </row>
    <row r="23" spans="1:28" x14ac:dyDescent="0.15">
      <c r="A23" s="44" t="s">
        <v>33</v>
      </c>
      <c r="B23" s="15"/>
      <c r="C23" s="28"/>
      <c r="D23" s="16"/>
      <c r="E23" s="19"/>
      <c r="F23" s="9">
        <f t="shared" si="5"/>
        <v>0</v>
      </c>
      <c r="G23" s="15"/>
      <c r="H23" s="28">
        <v>1</v>
      </c>
      <c r="I23" s="16"/>
      <c r="J23" s="31"/>
      <c r="K23" s="79">
        <f t="shared" si="12"/>
        <v>1</v>
      </c>
      <c r="L23" s="94">
        <f t="shared" si="10"/>
        <v>1</v>
      </c>
      <c r="M23" s="104">
        <v>45678</v>
      </c>
      <c r="N23" s="44"/>
      <c r="O23" s="15"/>
      <c r="P23" s="28"/>
      <c r="Q23" s="16"/>
      <c r="R23" s="19"/>
      <c r="S23" s="9">
        <f t="shared" si="7"/>
        <v>0</v>
      </c>
      <c r="T23" s="15"/>
      <c r="U23" s="28"/>
      <c r="V23" s="16"/>
      <c r="W23" s="31"/>
      <c r="X23" s="9">
        <f t="shared" ref="X23:X25" si="17">SUM(T23:W23)</f>
        <v>0</v>
      </c>
      <c r="Y23" s="94">
        <f t="shared" si="14"/>
        <v>0</v>
      </c>
    </row>
    <row r="24" spans="1:28" x14ac:dyDescent="0.15">
      <c r="A24" s="44" t="s">
        <v>27</v>
      </c>
      <c r="B24" s="15"/>
      <c r="C24" s="28"/>
      <c r="D24" s="16"/>
      <c r="E24" s="19"/>
      <c r="F24" s="9">
        <f t="shared" si="5"/>
        <v>0</v>
      </c>
      <c r="G24" s="15"/>
      <c r="H24" s="28">
        <v>1</v>
      </c>
      <c r="I24" s="16"/>
      <c r="J24" s="31"/>
      <c r="K24" s="79">
        <f t="shared" ref="K24:K35" si="18">SUM(G24:J24)</f>
        <v>1</v>
      </c>
      <c r="L24" s="94">
        <f t="shared" si="10"/>
        <v>1</v>
      </c>
      <c r="M24" s="104">
        <v>45677</v>
      </c>
      <c r="N24" s="44"/>
      <c r="O24" s="15"/>
      <c r="P24" s="28"/>
      <c r="Q24" s="16"/>
      <c r="R24" s="19"/>
      <c r="S24" s="9">
        <f t="shared" si="7"/>
        <v>0</v>
      </c>
      <c r="T24" s="15"/>
      <c r="U24" s="28"/>
      <c r="V24" s="16"/>
      <c r="W24" s="31"/>
      <c r="X24" s="9">
        <f t="shared" si="17"/>
        <v>0</v>
      </c>
      <c r="Y24" s="94">
        <f t="shared" si="14"/>
        <v>0</v>
      </c>
    </row>
    <row r="25" spans="1:28" x14ac:dyDescent="0.15">
      <c r="A25" s="44" t="s">
        <v>27</v>
      </c>
      <c r="B25" s="15"/>
      <c r="C25" s="28"/>
      <c r="D25" s="16"/>
      <c r="E25" s="19"/>
      <c r="F25" s="9">
        <f t="shared" si="5"/>
        <v>0</v>
      </c>
      <c r="G25" s="15"/>
      <c r="H25" s="28">
        <v>1</v>
      </c>
      <c r="I25" s="16">
        <v>1</v>
      </c>
      <c r="J25" s="31"/>
      <c r="K25" s="79">
        <f t="shared" si="18"/>
        <v>2</v>
      </c>
      <c r="L25" s="94">
        <f t="shared" si="10"/>
        <v>2</v>
      </c>
      <c r="M25" s="104">
        <v>45684</v>
      </c>
      <c r="N25" s="44"/>
      <c r="O25" s="15"/>
      <c r="P25" s="28"/>
      <c r="Q25" s="16"/>
      <c r="R25" s="19"/>
      <c r="S25" s="9">
        <f t="shared" si="7"/>
        <v>0</v>
      </c>
      <c r="T25" s="15"/>
      <c r="U25" s="28"/>
      <c r="V25" s="16"/>
      <c r="W25" s="31"/>
      <c r="X25" s="9">
        <f t="shared" si="17"/>
        <v>0</v>
      </c>
      <c r="Y25" s="94">
        <f t="shared" si="14"/>
        <v>0</v>
      </c>
    </row>
    <row r="26" spans="1:28" x14ac:dyDescent="0.15">
      <c r="A26" s="44" t="s">
        <v>27</v>
      </c>
      <c r="B26" s="15"/>
      <c r="C26" s="28"/>
      <c r="D26" s="16"/>
      <c r="E26" s="19"/>
      <c r="F26" s="9">
        <f t="shared" si="5"/>
        <v>0</v>
      </c>
      <c r="G26" s="15"/>
      <c r="H26" s="28"/>
      <c r="I26" s="16">
        <v>1</v>
      </c>
      <c r="J26" s="31"/>
      <c r="K26" s="79">
        <f>SUM(G26:J26)</f>
        <v>1</v>
      </c>
      <c r="L26" s="94">
        <f t="shared" si="10"/>
        <v>1</v>
      </c>
      <c r="M26" s="105">
        <v>45688</v>
      </c>
      <c r="N26" s="44"/>
      <c r="O26" s="15"/>
      <c r="P26" s="28"/>
      <c r="Q26" s="16"/>
      <c r="R26" s="19"/>
      <c r="S26" s="9">
        <f t="shared" si="7"/>
        <v>0</v>
      </c>
      <c r="T26" s="15"/>
      <c r="U26" s="28"/>
      <c r="V26" s="16"/>
      <c r="W26" s="31"/>
      <c r="X26" s="9">
        <f>SUM(T26:W26)</f>
        <v>0</v>
      </c>
      <c r="Y26" s="94">
        <f t="shared" si="14"/>
        <v>0</v>
      </c>
    </row>
    <row r="27" spans="1:28" x14ac:dyDescent="0.15">
      <c r="A27" s="44" t="s">
        <v>42</v>
      </c>
      <c r="B27" s="15">
        <v>1</v>
      </c>
      <c r="C27" s="28"/>
      <c r="D27" s="16"/>
      <c r="E27" s="19"/>
      <c r="F27" s="9">
        <f t="shared" si="5"/>
        <v>1</v>
      </c>
      <c r="G27" s="15">
        <v>1</v>
      </c>
      <c r="H27" s="28"/>
      <c r="I27" s="16"/>
      <c r="J27" s="31"/>
      <c r="K27" s="79">
        <f t="shared" ref="K27:K34" si="19">SUM(G27:J27)</f>
        <v>1</v>
      </c>
      <c r="L27" s="94">
        <f t="shared" si="10"/>
        <v>2</v>
      </c>
      <c r="M27" s="105">
        <v>45694</v>
      </c>
      <c r="N27" s="44"/>
      <c r="O27" s="15"/>
      <c r="P27" s="28"/>
      <c r="Q27" s="16"/>
      <c r="R27" s="19"/>
      <c r="S27" s="9">
        <f t="shared" si="7"/>
        <v>0</v>
      </c>
      <c r="T27" s="15"/>
      <c r="U27" s="28"/>
      <c r="V27" s="16"/>
      <c r="W27" s="31"/>
      <c r="X27" s="9">
        <f t="shared" ref="X27:X35" si="20">SUM(T27:W27)</f>
        <v>0</v>
      </c>
      <c r="Y27" s="94">
        <f t="shared" si="14"/>
        <v>0</v>
      </c>
    </row>
    <row r="28" spans="1:28" x14ac:dyDescent="0.15">
      <c r="A28" s="44" t="s">
        <v>27</v>
      </c>
      <c r="B28" s="15"/>
      <c r="C28" s="28"/>
      <c r="D28" s="16"/>
      <c r="E28" s="19"/>
      <c r="F28" s="9">
        <f t="shared" ref="F28" si="21">SUM(B28:E28)</f>
        <v>0</v>
      </c>
      <c r="G28" s="15"/>
      <c r="H28" s="28"/>
      <c r="I28" s="16">
        <v>1</v>
      </c>
      <c r="J28" s="31"/>
      <c r="K28" s="79">
        <f t="shared" si="19"/>
        <v>1</v>
      </c>
      <c r="L28" s="94">
        <f t="shared" si="10"/>
        <v>1</v>
      </c>
      <c r="M28" s="105">
        <v>45700</v>
      </c>
      <c r="N28" s="44"/>
      <c r="O28" s="15"/>
      <c r="P28" s="28"/>
      <c r="Q28" s="16"/>
      <c r="R28" s="19"/>
      <c r="S28" s="9">
        <f t="shared" si="7"/>
        <v>0</v>
      </c>
      <c r="T28" s="15"/>
      <c r="U28" s="28"/>
      <c r="V28" s="16"/>
      <c r="W28" s="31"/>
      <c r="X28" s="9">
        <f t="shared" si="20"/>
        <v>0</v>
      </c>
      <c r="Y28" s="94">
        <f t="shared" si="14"/>
        <v>0</v>
      </c>
    </row>
    <row r="29" spans="1:28" x14ac:dyDescent="0.15">
      <c r="A29" s="44" t="s">
        <v>27</v>
      </c>
      <c r="B29" s="15"/>
      <c r="C29" s="28">
        <v>1</v>
      </c>
      <c r="D29" s="16"/>
      <c r="E29" s="19"/>
      <c r="F29" s="9">
        <f t="shared" ref="F29:F34" si="22">SUM(B29:E29)</f>
        <v>1</v>
      </c>
      <c r="G29" s="15"/>
      <c r="H29" s="28"/>
      <c r="I29" s="16"/>
      <c r="J29" s="31"/>
      <c r="K29" s="79">
        <f t="shared" si="19"/>
        <v>0</v>
      </c>
      <c r="L29" s="94">
        <f t="shared" si="10"/>
        <v>1</v>
      </c>
      <c r="M29" s="105">
        <v>45702</v>
      </c>
      <c r="N29" s="44"/>
      <c r="O29" s="15"/>
      <c r="P29" s="28"/>
      <c r="Q29" s="16"/>
      <c r="R29" s="19"/>
      <c r="S29" s="9">
        <f t="shared" si="7"/>
        <v>0</v>
      </c>
      <c r="T29" s="15"/>
      <c r="U29" s="28"/>
      <c r="V29" s="16"/>
      <c r="W29" s="31"/>
      <c r="X29" s="9">
        <f t="shared" si="20"/>
        <v>0</v>
      </c>
      <c r="Y29" s="94">
        <f t="shared" si="14"/>
        <v>0</v>
      </c>
    </row>
    <row r="30" spans="1:28" x14ac:dyDescent="0.15">
      <c r="A30" s="44" t="s">
        <v>33</v>
      </c>
      <c r="B30" s="15"/>
      <c r="C30" s="28"/>
      <c r="D30" s="16"/>
      <c r="E30" s="19"/>
      <c r="F30" s="9">
        <f t="shared" si="22"/>
        <v>0</v>
      </c>
      <c r="G30" s="15"/>
      <c r="H30" s="28">
        <v>1</v>
      </c>
      <c r="I30" s="16"/>
      <c r="J30" s="31"/>
      <c r="K30" s="79">
        <f t="shared" ref="K30" si="23">SUM(G30:J30)</f>
        <v>1</v>
      </c>
      <c r="L30" s="94">
        <f t="shared" si="10"/>
        <v>1</v>
      </c>
      <c r="M30" s="104">
        <v>45706</v>
      </c>
      <c r="N30" s="44"/>
      <c r="O30" s="15"/>
      <c r="P30" s="28"/>
      <c r="Q30" s="16"/>
      <c r="R30" s="19"/>
      <c r="S30" s="9">
        <f t="shared" si="7"/>
        <v>0</v>
      </c>
      <c r="T30" s="15"/>
      <c r="U30" s="28"/>
      <c r="V30" s="16"/>
      <c r="W30" s="31"/>
      <c r="X30" s="9">
        <f t="shared" si="20"/>
        <v>0</v>
      </c>
      <c r="Y30" s="94">
        <f t="shared" si="14"/>
        <v>0</v>
      </c>
    </row>
    <row r="31" spans="1:28" x14ac:dyDescent="0.15">
      <c r="A31" s="44" t="s">
        <v>27</v>
      </c>
      <c r="B31" s="15">
        <v>1</v>
      </c>
      <c r="C31" s="28"/>
      <c r="D31" s="16"/>
      <c r="E31" s="19"/>
      <c r="F31" s="9">
        <f t="shared" si="22"/>
        <v>1</v>
      </c>
      <c r="G31" s="15"/>
      <c r="H31" s="28"/>
      <c r="I31" s="16"/>
      <c r="J31" s="31"/>
      <c r="K31" s="79">
        <f t="shared" si="19"/>
        <v>0</v>
      </c>
      <c r="L31" s="94">
        <f t="shared" si="10"/>
        <v>1</v>
      </c>
      <c r="M31" s="104">
        <v>45706</v>
      </c>
      <c r="N31" s="44"/>
      <c r="O31" s="15"/>
      <c r="P31" s="28"/>
      <c r="Q31" s="16"/>
      <c r="R31" s="19"/>
      <c r="S31" s="9">
        <f t="shared" si="7"/>
        <v>0</v>
      </c>
      <c r="T31" s="15"/>
      <c r="U31" s="28"/>
      <c r="V31" s="16"/>
      <c r="W31" s="31"/>
      <c r="X31" s="9">
        <f t="shared" si="20"/>
        <v>0</v>
      </c>
      <c r="Y31" s="94">
        <f t="shared" si="14"/>
        <v>0</v>
      </c>
    </row>
    <row r="32" spans="1:28" x14ac:dyDescent="0.15">
      <c r="A32" s="121" t="s">
        <v>48</v>
      </c>
      <c r="B32" s="15">
        <v>3</v>
      </c>
      <c r="C32" s="28">
        <v>4</v>
      </c>
      <c r="D32" s="16">
        <v>3</v>
      </c>
      <c r="E32" s="19">
        <v>2</v>
      </c>
      <c r="F32" s="9">
        <f t="shared" si="22"/>
        <v>12</v>
      </c>
      <c r="G32" s="15">
        <v>2</v>
      </c>
      <c r="H32" s="28">
        <v>3</v>
      </c>
      <c r="I32" s="16">
        <v>3</v>
      </c>
      <c r="J32" s="31">
        <v>2</v>
      </c>
      <c r="K32" s="79">
        <f t="shared" si="19"/>
        <v>10</v>
      </c>
      <c r="L32" s="94">
        <f t="shared" si="10"/>
        <v>22</v>
      </c>
      <c r="M32" s="104">
        <v>45713</v>
      </c>
      <c r="N32" s="44"/>
      <c r="O32" s="15"/>
      <c r="P32" s="28"/>
      <c r="Q32" s="16"/>
      <c r="R32" s="19"/>
      <c r="S32" s="9">
        <f t="shared" si="7"/>
        <v>0</v>
      </c>
      <c r="T32" s="15"/>
      <c r="U32" s="28"/>
      <c r="V32" s="16"/>
      <c r="W32" s="31"/>
      <c r="X32" s="9">
        <f t="shared" si="20"/>
        <v>0</v>
      </c>
      <c r="Y32" s="94">
        <f t="shared" si="14"/>
        <v>0</v>
      </c>
    </row>
    <row r="33" spans="1:26" x14ac:dyDescent="0.15">
      <c r="A33" s="44" t="s">
        <v>27</v>
      </c>
      <c r="B33" s="15"/>
      <c r="C33" s="28"/>
      <c r="D33" s="16"/>
      <c r="E33" s="19"/>
      <c r="F33" s="9">
        <f t="shared" si="22"/>
        <v>0</v>
      </c>
      <c r="G33" s="15">
        <v>1</v>
      </c>
      <c r="H33" s="28"/>
      <c r="I33" s="16"/>
      <c r="J33" s="31"/>
      <c r="K33" s="79">
        <f t="shared" si="19"/>
        <v>1</v>
      </c>
      <c r="L33" s="94">
        <f t="shared" si="10"/>
        <v>1</v>
      </c>
      <c r="M33" s="105">
        <v>45707</v>
      </c>
      <c r="N33" s="114" t="s">
        <v>22</v>
      </c>
      <c r="O33" s="115"/>
      <c r="P33" s="116"/>
      <c r="Q33" s="117"/>
      <c r="R33" s="118"/>
      <c r="S33" s="119">
        <f t="shared" si="7"/>
        <v>0</v>
      </c>
      <c r="T33" s="115"/>
      <c r="U33" s="116"/>
      <c r="V33" s="117"/>
      <c r="W33" s="118"/>
      <c r="X33" s="119">
        <f t="shared" si="20"/>
        <v>0</v>
      </c>
      <c r="Y33" s="120">
        <f t="shared" si="14"/>
        <v>0</v>
      </c>
      <c r="Z33" s="134"/>
    </row>
    <row r="34" spans="1:26" ht="14.25" thickBot="1" x14ac:dyDescent="0.2">
      <c r="A34" s="44" t="s">
        <v>27</v>
      </c>
      <c r="B34" s="34"/>
      <c r="C34" s="35"/>
      <c r="D34" s="36"/>
      <c r="E34" s="37"/>
      <c r="F34" s="9">
        <f t="shared" si="22"/>
        <v>0</v>
      </c>
      <c r="G34" s="34"/>
      <c r="H34" s="35"/>
      <c r="I34" s="36">
        <v>1</v>
      </c>
      <c r="J34" s="63"/>
      <c r="K34" s="80">
        <f t="shared" si="19"/>
        <v>1</v>
      </c>
      <c r="L34" s="106">
        <f t="shared" si="10"/>
        <v>1</v>
      </c>
      <c r="M34" s="105">
        <v>45708</v>
      </c>
      <c r="N34" s="44" t="s">
        <v>43</v>
      </c>
      <c r="O34" s="34"/>
      <c r="P34" s="35"/>
      <c r="Q34" s="36"/>
      <c r="R34" s="37"/>
      <c r="S34" s="9">
        <f t="shared" si="7"/>
        <v>0</v>
      </c>
      <c r="T34" s="34"/>
      <c r="U34" s="35"/>
      <c r="V34" s="36"/>
      <c r="W34" s="37"/>
      <c r="X34" s="10">
        <f t="shared" si="20"/>
        <v>0</v>
      </c>
      <c r="Y34" s="106">
        <f t="shared" si="14"/>
        <v>0</v>
      </c>
      <c r="Z34" s="133" t="s">
        <v>21</v>
      </c>
    </row>
    <row r="35" spans="1:26" ht="14.25" thickBot="1" x14ac:dyDescent="0.2">
      <c r="A35" s="12" t="s">
        <v>8</v>
      </c>
      <c r="B35" s="21">
        <f>SUM(B10:B34)</f>
        <v>8</v>
      </c>
      <c r="C35" s="29">
        <f>SUM(C10:C34)</f>
        <v>5</v>
      </c>
      <c r="D35" s="22">
        <f>SUM(D10:D34)</f>
        <v>5</v>
      </c>
      <c r="E35" s="23">
        <f>SUM(E10:E34)</f>
        <v>2</v>
      </c>
      <c r="F35" s="20">
        <f>SUM(B35:E35)</f>
        <v>20</v>
      </c>
      <c r="G35" s="21">
        <f>SUM(G10:G34)</f>
        <v>6</v>
      </c>
      <c r="H35" s="29">
        <f>SUM(H10:H34)</f>
        <v>9</v>
      </c>
      <c r="I35" s="22">
        <f>SUM(I10:I34)</f>
        <v>10</v>
      </c>
      <c r="J35" s="23">
        <f>SUM(J10:J34)</f>
        <v>6</v>
      </c>
      <c r="K35" s="81">
        <f t="shared" si="18"/>
        <v>31</v>
      </c>
      <c r="L35" s="107">
        <f t="shared" si="10"/>
        <v>51</v>
      </c>
      <c r="N35" s="12" t="s">
        <v>8</v>
      </c>
      <c r="O35" s="21">
        <f>SUM(O10:O34)</f>
        <v>30</v>
      </c>
      <c r="P35" s="29">
        <f>SUM(P10:P34)</f>
        <v>34</v>
      </c>
      <c r="Q35" s="22">
        <f>SUM(Q10:Q34)</f>
        <v>41</v>
      </c>
      <c r="R35" s="23">
        <f>SUM(R10:R34)</f>
        <v>25</v>
      </c>
      <c r="S35" s="20">
        <f>SUM(O35:R35)</f>
        <v>130</v>
      </c>
      <c r="T35" s="21">
        <f>SUM(T10:T34)</f>
        <v>30</v>
      </c>
      <c r="U35" s="29">
        <f>SUM(U10:U34)</f>
        <v>41</v>
      </c>
      <c r="V35" s="22">
        <f>SUM(V10:V34)</f>
        <v>43</v>
      </c>
      <c r="W35" s="23">
        <f>SUM(W10:W34)</f>
        <v>47</v>
      </c>
      <c r="X35" s="45">
        <f t="shared" si="20"/>
        <v>161</v>
      </c>
      <c r="Y35" s="107">
        <f t="shared" si="14"/>
        <v>291</v>
      </c>
    </row>
    <row r="36" spans="1:26" ht="14.25" thickBot="1" x14ac:dyDescent="0.2">
      <c r="A36" s="13" t="s">
        <v>9</v>
      </c>
      <c r="B36" s="24">
        <f t="shared" ref="B36:F36" si="24">B9-B35</f>
        <v>4</v>
      </c>
      <c r="C36" s="30">
        <f t="shared" si="24"/>
        <v>4</v>
      </c>
      <c r="D36" s="25">
        <f t="shared" si="24"/>
        <v>6</v>
      </c>
      <c r="E36" s="26">
        <f t="shared" si="24"/>
        <v>5</v>
      </c>
      <c r="F36" s="65">
        <f t="shared" si="24"/>
        <v>19</v>
      </c>
      <c r="G36" s="24">
        <f t="shared" ref="G36:K36" si="25">G9-G35</f>
        <v>4</v>
      </c>
      <c r="H36" s="30">
        <f t="shared" si="25"/>
        <v>4</v>
      </c>
      <c r="I36" s="25">
        <f t="shared" si="25"/>
        <v>8</v>
      </c>
      <c r="J36" s="26">
        <f t="shared" si="25"/>
        <v>6</v>
      </c>
      <c r="K36" s="82">
        <f t="shared" si="25"/>
        <v>22</v>
      </c>
      <c r="L36" s="86">
        <f t="shared" si="10"/>
        <v>41</v>
      </c>
      <c r="N36" s="13" t="s">
        <v>9</v>
      </c>
      <c r="O36" s="24">
        <f t="shared" ref="O36:X36" si="26">O9-O35</f>
        <v>39</v>
      </c>
      <c r="P36" s="30">
        <f t="shared" si="26"/>
        <v>55</v>
      </c>
      <c r="Q36" s="25">
        <f t="shared" si="26"/>
        <v>39</v>
      </c>
      <c r="R36" s="26">
        <f t="shared" si="26"/>
        <v>35</v>
      </c>
      <c r="S36" s="65">
        <f t="shared" si="26"/>
        <v>168</v>
      </c>
      <c r="T36" s="24">
        <f t="shared" si="26"/>
        <v>38</v>
      </c>
      <c r="U36" s="30">
        <f t="shared" si="26"/>
        <v>48</v>
      </c>
      <c r="V36" s="25">
        <f t="shared" si="26"/>
        <v>36</v>
      </c>
      <c r="W36" s="26">
        <f t="shared" si="26"/>
        <v>13</v>
      </c>
      <c r="X36" s="33">
        <f t="shared" si="26"/>
        <v>135</v>
      </c>
      <c r="Y36" s="86">
        <f t="shared" si="14"/>
        <v>303</v>
      </c>
    </row>
    <row r="37" spans="1:26" x14ac:dyDescent="0.15">
      <c r="G37" s="51"/>
      <c r="H37" s="51"/>
      <c r="I37" s="51"/>
      <c r="J37" s="51"/>
      <c r="K37" s="51"/>
      <c r="O37" s="113">
        <f>O35/$S$35*100</f>
        <v>23.076923076923077</v>
      </c>
      <c r="P37" s="113">
        <f t="shared" ref="P37:S37" si="27">P35/$S$35*100</f>
        <v>26.153846153846157</v>
      </c>
      <c r="Q37" s="113">
        <f t="shared" si="27"/>
        <v>31.538461538461537</v>
      </c>
      <c r="R37" s="113">
        <f t="shared" si="27"/>
        <v>19.230769230769234</v>
      </c>
      <c r="S37" s="113">
        <f t="shared" si="27"/>
        <v>100</v>
      </c>
      <c r="T37" s="113">
        <f>T35/$X$35*100</f>
        <v>18.633540372670808</v>
      </c>
      <c r="U37" s="113">
        <f t="shared" ref="U37:X37" si="28">U35/$X$35*100</f>
        <v>25.465838509316768</v>
      </c>
      <c r="V37" s="113">
        <f t="shared" si="28"/>
        <v>26.70807453416149</v>
      </c>
      <c r="W37" s="113">
        <f t="shared" si="28"/>
        <v>29.19254658385093</v>
      </c>
      <c r="X37" s="113">
        <f t="shared" si="28"/>
        <v>100</v>
      </c>
    </row>
    <row r="38" spans="1:26" x14ac:dyDescent="0.15">
      <c r="G38" s="51"/>
      <c r="H38" s="51"/>
      <c r="I38" s="51"/>
      <c r="J38" s="51"/>
      <c r="K38" s="51"/>
      <c r="S38" s="112">
        <f>S35/Y35</f>
        <v>0.44673539518900346</v>
      </c>
      <c r="T38" s="51"/>
      <c r="U38" s="51"/>
      <c r="V38" s="51"/>
      <c r="W38" s="51"/>
      <c r="X38" s="112">
        <v>0.56000000000000005</v>
      </c>
    </row>
    <row r="39" spans="1:26" ht="19.5" thickBot="1" x14ac:dyDescent="0.25">
      <c r="A39" s="2" t="s">
        <v>15</v>
      </c>
      <c r="B39" s="2"/>
      <c r="C39" s="1"/>
      <c r="D39" s="1"/>
      <c r="E39" s="1"/>
      <c r="G39" s="72"/>
      <c r="H39" s="1"/>
      <c r="I39" s="1"/>
      <c r="J39" s="1"/>
      <c r="K39" s="72" t="s">
        <v>12</v>
      </c>
      <c r="N39" s="2" t="s">
        <v>16</v>
      </c>
      <c r="O39" s="2"/>
      <c r="P39" s="1"/>
      <c r="Q39" s="1"/>
      <c r="R39" s="1"/>
      <c r="U39" s="1"/>
      <c r="V39" s="1"/>
      <c r="W39" s="1"/>
      <c r="X39" s="72" t="s">
        <v>12</v>
      </c>
    </row>
    <row r="40" spans="1:26" ht="14.25" thickBot="1" x14ac:dyDescent="0.2">
      <c r="A40" s="5" t="s">
        <v>0</v>
      </c>
      <c r="B40" s="245" t="s">
        <v>34</v>
      </c>
      <c r="C40" s="246"/>
      <c r="D40" s="246"/>
      <c r="E40" s="246"/>
      <c r="F40" s="247"/>
      <c r="G40" s="248" t="s">
        <v>35</v>
      </c>
      <c r="H40" s="249"/>
      <c r="I40" s="249"/>
      <c r="J40" s="249"/>
      <c r="K40" s="249"/>
      <c r="L40" s="243" t="s">
        <v>14</v>
      </c>
      <c r="N40" s="5" t="s">
        <v>0</v>
      </c>
      <c r="O40" s="245" t="s">
        <v>58</v>
      </c>
      <c r="P40" s="246"/>
      <c r="Q40" s="246"/>
      <c r="R40" s="246"/>
      <c r="S40" s="247"/>
      <c r="T40" s="248" t="s">
        <v>59</v>
      </c>
      <c r="U40" s="249"/>
      <c r="V40" s="249"/>
      <c r="W40" s="249"/>
      <c r="X40" s="249"/>
      <c r="Y40" s="243" t="s">
        <v>14</v>
      </c>
    </row>
    <row r="41" spans="1:26" ht="14.25" thickBot="1" x14ac:dyDescent="0.2">
      <c r="A41" s="5" t="s">
        <v>1</v>
      </c>
      <c r="B41" s="3" t="s">
        <v>17</v>
      </c>
      <c r="C41" s="27" t="s">
        <v>18</v>
      </c>
      <c r="D41" s="4" t="s">
        <v>19</v>
      </c>
      <c r="E41" s="14" t="s">
        <v>20</v>
      </c>
      <c r="F41" s="18" t="s">
        <v>2</v>
      </c>
      <c r="G41" s="3" t="s">
        <v>17</v>
      </c>
      <c r="H41" s="27" t="s">
        <v>18</v>
      </c>
      <c r="I41" s="4" t="s">
        <v>19</v>
      </c>
      <c r="J41" s="14" t="s">
        <v>20</v>
      </c>
      <c r="K41" s="73" t="s">
        <v>2</v>
      </c>
      <c r="L41" s="244"/>
      <c r="N41" s="5" t="s">
        <v>1</v>
      </c>
      <c r="O41" s="3" t="s">
        <v>17</v>
      </c>
      <c r="P41" s="27" t="s">
        <v>18</v>
      </c>
      <c r="Q41" s="4" t="s">
        <v>19</v>
      </c>
      <c r="R41" s="14" t="s">
        <v>20</v>
      </c>
      <c r="S41" s="18" t="s">
        <v>2</v>
      </c>
      <c r="T41" s="3" t="s">
        <v>17</v>
      </c>
      <c r="U41" s="27" t="s">
        <v>18</v>
      </c>
      <c r="V41" s="4" t="s">
        <v>19</v>
      </c>
      <c r="W41" s="14" t="s">
        <v>20</v>
      </c>
      <c r="X41" s="18" t="s">
        <v>2</v>
      </c>
      <c r="Y41" s="244"/>
    </row>
    <row r="42" spans="1:26" x14ac:dyDescent="0.15">
      <c r="A42" s="66" t="s">
        <v>10</v>
      </c>
      <c r="B42" s="67">
        <f>B36</f>
        <v>4</v>
      </c>
      <c r="C42" s="68">
        <f>C36</f>
        <v>4</v>
      </c>
      <c r="D42" s="68">
        <f>D36</f>
        <v>6</v>
      </c>
      <c r="E42" s="69">
        <f>E36</f>
        <v>5</v>
      </c>
      <c r="F42" s="70">
        <f>SUM(B42:E42)</f>
        <v>19</v>
      </c>
      <c r="G42" s="67">
        <f>G36</f>
        <v>4</v>
      </c>
      <c r="H42" s="68">
        <f>H36</f>
        <v>4</v>
      </c>
      <c r="I42" s="68">
        <f>I36</f>
        <v>8</v>
      </c>
      <c r="J42" s="69">
        <f>J36</f>
        <v>6</v>
      </c>
      <c r="K42" s="74">
        <f>SUM(G42:J42)</f>
        <v>22</v>
      </c>
      <c r="L42" s="84">
        <f>F42+K42</f>
        <v>41</v>
      </c>
      <c r="N42" s="66" t="s">
        <v>10</v>
      </c>
      <c r="O42" s="67">
        <f>O36</f>
        <v>39</v>
      </c>
      <c r="P42" s="68">
        <f>P36</f>
        <v>55</v>
      </c>
      <c r="Q42" s="68">
        <f>Q36</f>
        <v>39</v>
      </c>
      <c r="R42" s="69">
        <f>R36</f>
        <v>35</v>
      </c>
      <c r="S42" s="70">
        <f>SUM(O42:R42)</f>
        <v>168</v>
      </c>
      <c r="T42" s="67">
        <f>T36</f>
        <v>38</v>
      </c>
      <c r="U42" s="68">
        <f>U36</f>
        <v>48</v>
      </c>
      <c r="V42" s="68">
        <f>V36</f>
        <v>36</v>
      </c>
      <c r="W42" s="87">
        <f>W36</f>
        <v>13</v>
      </c>
      <c r="X42" s="88">
        <f>SUM(T42:W42)</f>
        <v>135</v>
      </c>
      <c r="Y42" s="84">
        <f>S42+X42</f>
        <v>303</v>
      </c>
    </row>
    <row r="43" spans="1:26" x14ac:dyDescent="0.15">
      <c r="A43" s="44" t="s">
        <v>3</v>
      </c>
      <c r="B43" s="47">
        <v>3</v>
      </c>
      <c r="C43" s="48"/>
      <c r="D43" s="49"/>
      <c r="E43" s="50">
        <v>3</v>
      </c>
      <c r="F43" s="54">
        <f>SUM(B43:E43)</f>
        <v>6</v>
      </c>
      <c r="G43" s="38"/>
      <c r="H43" s="39">
        <v>3</v>
      </c>
      <c r="I43" s="40"/>
      <c r="J43" s="41"/>
      <c r="K43" s="75">
        <f>SUM(G43:J43)</f>
        <v>3</v>
      </c>
      <c r="L43" s="94">
        <f t="shared" ref="L43:L46" si="29">F43+K43</f>
        <v>9</v>
      </c>
      <c r="M43" s="104">
        <v>45722</v>
      </c>
      <c r="N43" s="44" t="s">
        <v>51</v>
      </c>
      <c r="O43" s="38"/>
      <c r="P43" s="39"/>
      <c r="Q43" s="40"/>
      <c r="R43" s="52"/>
      <c r="S43" s="54">
        <f>SUM(O43:R43)</f>
        <v>0</v>
      </c>
      <c r="T43" s="38"/>
      <c r="U43" s="39"/>
      <c r="V43" s="40"/>
      <c r="W43" s="52"/>
      <c r="X43" s="54">
        <f>SUM(T43:W43)</f>
        <v>0</v>
      </c>
      <c r="Y43" s="94">
        <f t="shared" ref="Y43" si="30">S43+X43</f>
        <v>0</v>
      </c>
      <c r="Z43" s="104"/>
    </row>
    <row r="44" spans="1:26" x14ac:dyDescent="0.15">
      <c r="A44" s="11" t="s">
        <v>4</v>
      </c>
      <c r="B44" s="6"/>
      <c r="C44" s="17"/>
      <c r="D44" s="7"/>
      <c r="E44" s="8"/>
      <c r="F44" s="9">
        <f>SUM(B44:E44)</f>
        <v>0</v>
      </c>
      <c r="G44" s="15">
        <v>5</v>
      </c>
      <c r="H44" s="28"/>
      <c r="I44" s="16"/>
      <c r="J44" s="19"/>
      <c r="K44" s="76">
        <f>SUM(G44:J44)</f>
        <v>5</v>
      </c>
      <c r="L44" s="94">
        <f t="shared" si="29"/>
        <v>5</v>
      </c>
      <c r="M44" s="104">
        <v>45729</v>
      </c>
      <c r="N44" s="44" t="s">
        <v>23</v>
      </c>
      <c r="O44" s="38">
        <v>30</v>
      </c>
      <c r="P44" s="39">
        <v>40</v>
      </c>
      <c r="Q44" s="40">
        <v>40</v>
      </c>
      <c r="R44" s="52">
        <v>40</v>
      </c>
      <c r="S44" s="54">
        <f>SUM(O44:R44)</f>
        <v>150</v>
      </c>
      <c r="T44" s="38">
        <v>30</v>
      </c>
      <c r="U44" s="39">
        <v>40</v>
      </c>
      <c r="V44" s="40">
        <v>40</v>
      </c>
      <c r="W44" s="52">
        <v>40</v>
      </c>
      <c r="X44" s="54">
        <f>SUM(T44:W44)</f>
        <v>150</v>
      </c>
      <c r="Y44" s="94">
        <f t="shared" ref="Y44:Y45" si="31">S44+X44</f>
        <v>300</v>
      </c>
      <c r="Z44" s="104" t="s">
        <v>53</v>
      </c>
    </row>
    <row r="45" spans="1:26" x14ac:dyDescent="0.15">
      <c r="A45" s="11" t="s">
        <v>5</v>
      </c>
      <c r="B45" s="6"/>
      <c r="C45" s="17">
        <v>5</v>
      </c>
      <c r="D45" s="7">
        <v>3</v>
      </c>
      <c r="E45" s="8">
        <v>3</v>
      </c>
      <c r="F45" s="9">
        <f>SUM(B45:E45)</f>
        <v>11</v>
      </c>
      <c r="G45" s="15"/>
      <c r="H45" s="28">
        <v>10</v>
      </c>
      <c r="I45" s="16">
        <v>3</v>
      </c>
      <c r="J45" s="19">
        <v>5</v>
      </c>
      <c r="K45" s="76">
        <f>SUM(G45:J45)</f>
        <v>18</v>
      </c>
      <c r="L45" s="94">
        <f t="shared" si="29"/>
        <v>29</v>
      </c>
      <c r="M45" s="104">
        <v>45731</v>
      </c>
      <c r="N45" s="11" t="s">
        <v>49</v>
      </c>
      <c r="O45" s="15">
        <v>12</v>
      </c>
      <c r="P45" s="28">
        <v>16</v>
      </c>
      <c r="Q45" s="16">
        <v>17</v>
      </c>
      <c r="R45" s="31">
        <v>7</v>
      </c>
      <c r="S45" s="9">
        <f>SUM(O45:R45)</f>
        <v>52</v>
      </c>
      <c r="T45" s="15">
        <v>14</v>
      </c>
      <c r="U45" s="28">
        <v>14</v>
      </c>
      <c r="V45" s="16">
        <v>8</v>
      </c>
      <c r="W45" s="31">
        <v>17</v>
      </c>
      <c r="X45" s="9">
        <f>SUM(T45:W45)</f>
        <v>53</v>
      </c>
      <c r="Y45" s="94">
        <f t="shared" si="31"/>
        <v>105</v>
      </c>
      <c r="Z45" s="104">
        <v>45751</v>
      </c>
    </row>
    <row r="46" spans="1:26" ht="14.25" thickBot="1" x14ac:dyDescent="0.2">
      <c r="A46" s="11" t="s">
        <v>64</v>
      </c>
      <c r="B46" s="6"/>
      <c r="C46" s="17"/>
      <c r="D46" s="7"/>
      <c r="E46" s="8">
        <v>-1</v>
      </c>
      <c r="F46" s="10">
        <f>SUM(B46:E46)</f>
        <v>-1</v>
      </c>
      <c r="G46" s="34"/>
      <c r="H46" s="35"/>
      <c r="I46" s="36"/>
      <c r="J46" s="37">
        <v>-2</v>
      </c>
      <c r="K46" s="77">
        <f>SUM(G46:J46)</f>
        <v>-2</v>
      </c>
      <c r="L46" s="94">
        <f t="shared" si="29"/>
        <v>-3</v>
      </c>
      <c r="M46" s="104">
        <v>45740</v>
      </c>
      <c r="N46" s="11" t="s">
        <v>6</v>
      </c>
      <c r="O46" s="15"/>
      <c r="P46" s="28"/>
      <c r="Q46" s="16"/>
      <c r="R46" s="31"/>
      <c r="S46" s="9">
        <f>SUM(O46:R46)</f>
        <v>0</v>
      </c>
      <c r="T46" s="15"/>
      <c r="U46" s="28"/>
      <c r="V46" s="16"/>
      <c r="W46" s="31"/>
      <c r="X46" s="9">
        <f>SUM(T46:W46)</f>
        <v>0</v>
      </c>
      <c r="Y46" s="94">
        <f t="shared" ref="Y46" si="32">S46+X46</f>
        <v>0</v>
      </c>
      <c r="Z46" s="104"/>
    </row>
    <row r="47" spans="1:26" ht="14.25" thickBot="1" x14ac:dyDescent="0.2">
      <c r="A47" s="13" t="s">
        <v>7</v>
      </c>
      <c r="B47" s="55">
        <f t="shared" ref="B47:F47" si="33">SUM(B42:B46)</f>
        <v>7</v>
      </c>
      <c r="C47" s="56">
        <f t="shared" si="33"/>
        <v>9</v>
      </c>
      <c r="D47" s="57">
        <f t="shared" si="33"/>
        <v>9</v>
      </c>
      <c r="E47" s="58">
        <f t="shared" si="33"/>
        <v>10</v>
      </c>
      <c r="F47" s="59">
        <f t="shared" si="33"/>
        <v>35</v>
      </c>
      <c r="G47" s="24">
        <f t="shared" ref="G47:K47" si="34">SUM(G42:G46)</f>
        <v>9</v>
      </c>
      <c r="H47" s="30">
        <f t="shared" si="34"/>
        <v>17</v>
      </c>
      <c r="I47" s="25">
        <f t="shared" si="34"/>
        <v>11</v>
      </c>
      <c r="J47" s="60">
        <f t="shared" si="34"/>
        <v>9</v>
      </c>
      <c r="K47" s="78">
        <f t="shared" si="34"/>
        <v>46</v>
      </c>
      <c r="L47" s="85">
        <f>F47+K47</f>
        <v>81</v>
      </c>
      <c r="N47" s="13" t="s">
        <v>7</v>
      </c>
      <c r="O47" s="55">
        <f t="shared" ref="O47:X47" si="35">SUM(O42:O46)</f>
        <v>81</v>
      </c>
      <c r="P47" s="56">
        <f t="shared" si="35"/>
        <v>111</v>
      </c>
      <c r="Q47" s="57">
        <f t="shared" si="35"/>
        <v>96</v>
      </c>
      <c r="R47" s="58">
        <f t="shared" si="35"/>
        <v>82</v>
      </c>
      <c r="S47" s="59">
        <f t="shared" si="35"/>
        <v>370</v>
      </c>
      <c r="T47" s="24">
        <f t="shared" si="35"/>
        <v>82</v>
      </c>
      <c r="U47" s="30">
        <f t="shared" si="35"/>
        <v>102</v>
      </c>
      <c r="V47" s="25">
        <f t="shared" si="35"/>
        <v>84</v>
      </c>
      <c r="W47" s="60">
        <f t="shared" si="35"/>
        <v>70</v>
      </c>
      <c r="X47" s="61">
        <f t="shared" si="35"/>
        <v>338</v>
      </c>
      <c r="Y47" s="85">
        <f>S47+X47</f>
        <v>708</v>
      </c>
    </row>
    <row r="48" spans="1:26" x14ac:dyDescent="0.15">
      <c r="A48" s="44" t="s">
        <v>27</v>
      </c>
      <c r="B48" s="38"/>
      <c r="C48" s="39"/>
      <c r="D48" s="40"/>
      <c r="E48" s="41"/>
      <c r="F48" s="62">
        <f t="shared" ref="F48:F68" si="36">SUM(B48:E48)</f>
        <v>0</v>
      </c>
      <c r="G48" s="15"/>
      <c r="H48" s="28"/>
      <c r="I48" s="16">
        <f>1+1</f>
        <v>2</v>
      </c>
      <c r="J48" s="31"/>
      <c r="K48" s="79">
        <f t="shared" ref="K48" si="37">SUM(G48:J48)</f>
        <v>2</v>
      </c>
      <c r="L48" s="101">
        <f>F48+K48</f>
        <v>2</v>
      </c>
      <c r="M48" s="105">
        <v>45713</v>
      </c>
      <c r="N48" s="44" t="s">
        <v>54</v>
      </c>
      <c r="O48" s="38"/>
      <c r="P48" s="39"/>
      <c r="Q48" s="40"/>
      <c r="R48" s="41"/>
      <c r="S48" s="62">
        <f t="shared" ref="S48:S72" si="38">SUM(O48:R48)</f>
        <v>0</v>
      </c>
      <c r="T48" s="15">
        <v>3</v>
      </c>
      <c r="U48" s="28"/>
      <c r="V48" s="16"/>
      <c r="W48" s="31"/>
      <c r="X48" s="9">
        <f t="shared" ref="X48:X52" si="39">SUM(T48:W48)</f>
        <v>3</v>
      </c>
      <c r="Y48" s="101">
        <f>S48+X48</f>
        <v>3</v>
      </c>
      <c r="Z48" s="104">
        <v>45729</v>
      </c>
    </row>
    <row r="49" spans="1:28" x14ac:dyDescent="0.15">
      <c r="A49" s="44" t="s">
        <v>27</v>
      </c>
      <c r="B49" s="15"/>
      <c r="C49" s="28"/>
      <c r="D49" s="16">
        <v>1</v>
      </c>
      <c r="E49" s="19"/>
      <c r="F49" s="42">
        <f t="shared" si="36"/>
        <v>1</v>
      </c>
      <c r="G49" s="15"/>
      <c r="H49" s="28"/>
      <c r="I49" s="16"/>
      <c r="J49" s="31"/>
      <c r="K49" s="79">
        <f t="shared" ref="K49:K59" si="40">SUM(G49:J49)</f>
        <v>0</v>
      </c>
      <c r="L49" s="94">
        <f>F49+K49</f>
        <v>1</v>
      </c>
      <c r="M49" s="105">
        <v>45715</v>
      </c>
      <c r="N49" s="44" t="s">
        <v>26</v>
      </c>
      <c r="O49" s="15"/>
      <c r="P49" s="28"/>
      <c r="Q49" s="16"/>
      <c r="R49" s="19"/>
      <c r="S49" s="42">
        <f t="shared" si="38"/>
        <v>0</v>
      </c>
      <c r="T49" s="15"/>
      <c r="U49" s="28">
        <v>10</v>
      </c>
      <c r="V49" s="16"/>
      <c r="W49" s="31">
        <v>5</v>
      </c>
      <c r="X49" s="9">
        <f t="shared" si="39"/>
        <v>15</v>
      </c>
      <c r="Y49" s="94">
        <f>S49+X49</f>
        <v>15</v>
      </c>
      <c r="Z49" s="104">
        <v>45731</v>
      </c>
      <c r="AA49" s="109"/>
    </row>
    <row r="50" spans="1:28" x14ac:dyDescent="0.15">
      <c r="A50" s="44" t="s">
        <v>27</v>
      </c>
      <c r="B50" s="15"/>
      <c r="C50" s="28"/>
      <c r="D50" s="16"/>
      <c r="E50" s="19"/>
      <c r="F50" s="42">
        <f t="shared" si="36"/>
        <v>0</v>
      </c>
      <c r="G50" s="15"/>
      <c r="H50" s="28">
        <v>1</v>
      </c>
      <c r="I50" s="16">
        <v>-1</v>
      </c>
      <c r="J50" s="31"/>
      <c r="K50" s="79">
        <f t="shared" si="40"/>
        <v>0</v>
      </c>
      <c r="L50" s="94">
        <f>F50+K50</f>
        <v>0</v>
      </c>
      <c r="M50" s="105">
        <v>45716</v>
      </c>
      <c r="N50" s="121" t="s">
        <v>60</v>
      </c>
      <c r="O50" s="15"/>
      <c r="P50" s="28">
        <v>7</v>
      </c>
      <c r="Q50" s="16">
        <v>3</v>
      </c>
      <c r="R50" s="19"/>
      <c r="S50" s="42">
        <f t="shared" si="38"/>
        <v>10</v>
      </c>
      <c r="T50" s="15">
        <v>4</v>
      </c>
      <c r="U50" s="28">
        <v>5</v>
      </c>
      <c r="V50" s="16">
        <v>5</v>
      </c>
      <c r="W50" s="31">
        <v>5</v>
      </c>
      <c r="X50" s="9">
        <f t="shared" si="39"/>
        <v>19</v>
      </c>
      <c r="Y50" s="94">
        <f>S50+X50</f>
        <v>29</v>
      </c>
      <c r="Z50" s="104">
        <v>45740</v>
      </c>
    </row>
    <row r="51" spans="1:28" x14ac:dyDescent="0.15">
      <c r="A51" s="44" t="s">
        <v>27</v>
      </c>
      <c r="B51" s="15"/>
      <c r="C51" s="28"/>
      <c r="D51" s="16"/>
      <c r="E51" s="19">
        <v>2</v>
      </c>
      <c r="F51" s="42">
        <f t="shared" si="36"/>
        <v>2</v>
      </c>
      <c r="G51" s="15"/>
      <c r="H51" s="28"/>
      <c r="I51" s="16"/>
      <c r="J51" s="31"/>
      <c r="K51" s="79">
        <f t="shared" si="40"/>
        <v>0</v>
      </c>
      <c r="L51" s="94">
        <f t="shared" ref="L51:L74" si="41">F51+K51</f>
        <v>2</v>
      </c>
      <c r="M51" s="105">
        <v>45719</v>
      </c>
      <c r="N51" s="121" t="s">
        <v>61</v>
      </c>
      <c r="O51" s="15"/>
      <c r="P51" s="28"/>
      <c r="Q51" s="16">
        <v>3</v>
      </c>
      <c r="R51" s="19"/>
      <c r="S51" s="42">
        <f t="shared" si="38"/>
        <v>3</v>
      </c>
      <c r="T51" s="15"/>
      <c r="U51" s="28"/>
      <c r="V51" s="16"/>
      <c r="W51" s="31">
        <v>3</v>
      </c>
      <c r="X51" s="9">
        <f t="shared" si="39"/>
        <v>3</v>
      </c>
      <c r="Y51" s="94">
        <f t="shared" ref="Y51:Y74" si="42">S51+X51</f>
        <v>6</v>
      </c>
      <c r="Z51" s="104">
        <v>45740</v>
      </c>
    </row>
    <row r="52" spans="1:28" x14ac:dyDescent="0.15">
      <c r="A52" s="44" t="s">
        <v>27</v>
      </c>
      <c r="B52" s="15"/>
      <c r="C52" s="28"/>
      <c r="D52" s="16"/>
      <c r="E52" s="19"/>
      <c r="F52" s="42">
        <f t="shared" si="36"/>
        <v>0</v>
      </c>
      <c r="G52" s="15"/>
      <c r="H52" s="28">
        <v>1</v>
      </c>
      <c r="I52" s="16"/>
      <c r="J52" s="31"/>
      <c r="K52" s="79">
        <f t="shared" si="40"/>
        <v>1</v>
      </c>
      <c r="L52" s="94">
        <f t="shared" si="41"/>
        <v>1</v>
      </c>
      <c r="M52" s="105">
        <v>45720</v>
      </c>
      <c r="N52" s="121" t="s">
        <v>62</v>
      </c>
      <c r="O52" s="15"/>
      <c r="P52" s="28"/>
      <c r="Q52" s="16"/>
      <c r="R52" s="19"/>
      <c r="S52" s="42">
        <f t="shared" si="38"/>
        <v>0</v>
      </c>
      <c r="T52" s="15"/>
      <c r="U52" s="28"/>
      <c r="V52" s="16">
        <v>3</v>
      </c>
      <c r="W52" s="31"/>
      <c r="X52" s="9">
        <f t="shared" si="39"/>
        <v>3</v>
      </c>
      <c r="Y52" s="94">
        <f t="shared" si="42"/>
        <v>3</v>
      </c>
      <c r="Z52" s="104">
        <v>45741</v>
      </c>
      <c r="AA52" s="109"/>
    </row>
    <row r="53" spans="1:28" x14ac:dyDescent="0.15">
      <c r="A53" s="44" t="s">
        <v>27</v>
      </c>
      <c r="B53" s="15">
        <v>1</v>
      </c>
      <c r="C53" s="28"/>
      <c r="D53" s="16"/>
      <c r="E53" s="19"/>
      <c r="F53" s="42">
        <f t="shared" si="36"/>
        <v>1</v>
      </c>
      <c r="G53" s="15"/>
      <c r="H53" s="28"/>
      <c r="I53" s="16"/>
      <c r="J53" s="31"/>
      <c r="K53" s="79">
        <f t="shared" si="40"/>
        <v>0</v>
      </c>
      <c r="L53" s="94">
        <f t="shared" si="41"/>
        <v>1</v>
      </c>
      <c r="M53" s="105">
        <v>45721</v>
      </c>
      <c r="N53" s="44" t="s">
        <v>26</v>
      </c>
      <c r="O53" s="15"/>
      <c r="P53" s="28">
        <v>5</v>
      </c>
      <c r="Q53" s="16">
        <v>3</v>
      </c>
      <c r="R53" s="19">
        <v>3</v>
      </c>
      <c r="S53" s="42">
        <f>SUM(O53:R53)</f>
        <v>11</v>
      </c>
      <c r="T53" s="15"/>
      <c r="U53" s="28"/>
      <c r="V53" s="16">
        <v>3</v>
      </c>
      <c r="W53" s="31"/>
      <c r="X53" s="9">
        <f>SUM(T53:W53)</f>
        <v>3</v>
      </c>
      <c r="Y53" s="94">
        <f t="shared" si="42"/>
        <v>14</v>
      </c>
      <c r="Z53" s="104">
        <v>45740</v>
      </c>
    </row>
    <row r="54" spans="1:28" x14ac:dyDescent="0.15">
      <c r="A54" s="44" t="s">
        <v>27</v>
      </c>
      <c r="B54" s="15"/>
      <c r="C54" s="28"/>
      <c r="D54" s="16"/>
      <c r="E54" s="19"/>
      <c r="F54" s="42">
        <f t="shared" si="36"/>
        <v>0</v>
      </c>
      <c r="G54" s="15">
        <v>1</v>
      </c>
      <c r="H54" s="28">
        <f>1+1</f>
        <v>2</v>
      </c>
      <c r="I54" s="16"/>
      <c r="J54" s="31"/>
      <c r="K54" s="79">
        <f>SUM(G54:J54)</f>
        <v>3</v>
      </c>
      <c r="L54" s="94">
        <f t="shared" si="41"/>
        <v>3</v>
      </c>
      <c r="M54" s="105">
        <v>45726</v>
      </c>
      <c r="N54" s="44" t="s">
        <v>26</v>
      </c>
      <c r="O54" s="15">
        <v>3</v>
      </c>
      <c r="P54" s="28"/>
      <c r="Q54" s="16"/>
      <c r="R54" s="19"/>
      <c r="S54" s="42">
        <f t="shared" ref="S54" si="43">SUM(O54:R54)</f>
        <v>3</v>
      </c>
      <c r="T54" s="15"/>
      <c r="U54" s="28">
        <v>8</v>
      </c>
      <c r="V54" s="16"/>
      <c r="W54" s="31">
        <v>3</v>
      </c>
      <c r="X54" s="9">
        <f>SUM(T54:W54)</f>
        <v>11</v>
      </c>
      <c r="Y54" s="94">
        <f t="shared" si="42"/>
        <v>14</v>
      </c>
      <c r="Z54" s="104">
        <v>45743</v>
      </c>
    </row>
    <row r="55" spans="1:28" x14ac:dyDescent="0.15">
      <c r="A55" s="121" t="s">
        <v>55</v>
      </c>
      <c r="B55" s="15"/>
      <c r="C55" s="28"/>
      <c r="D55" s="16"/>
      <c r="E55" s="19"/>
      <c r="F55" s="42">
        <f t="shared" si="36"/>
        <v>0</v>
      </c>
      <c r="G55" s="15">
        <v>3</v>
      </c>
      <c r="H55" s="28"/>
      <c r="I55" s="16"/>
      <c r="J55" s="31">
        <v>3</v>
      </c>
      <c r="K55" s="79">
        <f t="shared" si="40"/>
        <v>6</v>
      </c>
      <c r="L55" s="94">
        <f t="shared" si="41"/>
        <v>6</v>
      </c>
      <c r="M55" s="104">
        <v>45734</v>
      </c>
      <c r="N55" s="44" t="s">
        <v>26</v>
      </c>
      <c r="O55" s="15"/>
      <c r="P55" s="28"/>
      <c r="Q55" s="16">
        <v>3</v>
      </c>
      <c r="R55" s="19"/>
      <c r="S55" s="42">
        <f>SUM(O55:R55)</f>
        <v>3</v>
      </c>
      <c r="T55" s="15"/>
      <c r="U55" s="28"/>
      <c r="V55" s="16"/>
      <c r="W55" s="31">
        <v>3</v>
      </c>
      <c r="X55" s="9">
        <f>SUM(T55:W55)</f>
        <v>3</v>
      </c>
      <c r="Y55" s="94">
        <f t="shared" si="42"/>
        <v>6</v>
      </c>
      <c r="Z55" s="104">
        <v>45748</v>
      </c>
      <c r="AA55" s="109"/>
    </row>
    <row r="56" spans="1:28" x14ac:dyDescent="0.15">
      <c r="A56" s="44" t="s">
        <v>27</v>
      </c>
      <c r="B56" s="15"/>
      <c r="C56" s="28"/>
      <c r="D56" s="16"/>
      <c r="E56" s="19"/>
      <c r="F56" s="42">
        <f t="shared" si="36"/>
        <v>0</v>
      </c>
      <c r="G56" s="15"/>
      <c r="H56" s="28">
        <v>1</v>
      </c>
      <c r="I56" s="16"/>
      <c r="J56" s="31"/>
      <c r="K56" s="79">
        <f t="shared" si="40"/>
        <v>1</v>
      </c>
      <c r="L56" s="94">
        <f t="shared" si="41"/>
        <v>1</v>
      </c>
      <c r="M56" s="104">
        <v>45729</v>
      </c>
      <c r="N56" s="121" t="s">
        <v>73</v>
      </c>
      <c r="O56" s="15">
        <v>3</v>
      </c>
      <c r="P56" s="28"/>
      <c r="Q56" s="16"/>
      <c r="R56" s="19">
        <v>4</v>
      </c>
      <c r="S56" s="42">
        <f t="shared" si="38"/>
        <v>7</v>
      </c>
      <c r="T56" s="15">
        <v>3</v>
      </c>
      <c r="U56" s="28">
        <v>3</v>
      </c>
      <c r="V56" s="16"/>
      <c r="W56" s="31"/>
      <c r="X56" s="9">
        <f t="shared" ref="X56:X59" si="44">SUM(T56:W56)</f>
        <v>6</v>
      </c>
      <c r="Y56" s="94">
        <f t="shared" si="42"/>
        <v>13</v>
      </c>
      <c r="Z56" s="104">
        <v>45755</v>
      </c>
      <c r="AA56" s="109"/>
    </row>
    <row r="57" spans="1:28" x14ac:dyDescent="0.15">
      <c r="A57" s="121" t="s">
        <v>56</v>
      </c>
      <c r="B57" s="15"/>
      <c r="C57" s="28"/>
      <c r="D57" s="16"/>
      <c r="E57" s="19">
        <v>3</v>
      </c>
      <c r="F57" s="42">
        <f t="shared" si="36"/>
        <v>3</v>
      </c>
      <c r="G57" s="15"/>
      <c r="H57" s="28">
        <v>3</v>
      </c>
      <c r="I57" s="16"/>
      <c r="J57" s="31"/>
      <c r="K57" s="79">
        <f t="shared" si="40"/>
        <v>3</v>
      </c>
      <c r="L57" s="94">
        <f t="shared" si="41"/>
        <v>6</v>
      </c>
      <c r="M57" s="104">
        <v>45735</v>
      </c>
      <c r="N57" s="135" t="s">
        <v>71</v>
      </c>
      <c r="O57" s="15">
        <v>2</v>
      </c>
      <c r="P57" s="28">
        <v>2</v>
      </c>
      <c r="Q57" s="16">
        <v>2</v>
      </c>
      <c r="R57" s="19">
        <v>2</v>
      </c>
      <c r="S57" s="42">
        <f t="shared" si="38"/>
        <v>8</v>
      </c>
      <c r="T57" s="15">
        <v>2</v>
      </c>
      <c r="U57" s="28">
        <v>2</v>
      </c>
      <c r="V57" s="16">
        <v>2</v>
      </c>
      <c r="W57" s="31">
        <v>2</v>
      </c>
      <c r="X57" s="9">
        <f t="shared" si="44"/>
        <v>8</v>
      </c>
      <c r="Y57" s="94">
        <f t="shared" si="42"/>
        <v>16</v>
      </c>
      <c r="Z57" s="104">
        <v>45756</v>
      </c>
      <c r="AA57" s="109"/>
      <c r="AB57" s="109"/>
    </row>
    <row r="58" spans="1:28" x14ac:dyDescent="0.15">
      <c r="A58" s="44" t="s">
        <v>27</v>
      </c>
      <c r="B58" s="15"/>
      <c r="C58" s="28"/>
      <c r="D58" s="16"/>
      <c r="E58" s="19"/>
      <c r="F58" s="42">
        <f t="shared" si="36"/>
        <v>0</v>
      </c>
      <c r="G58" s="15"/>
      <c r="H58" s="28">
        <v>1</v>
      </c>
      <c r="I58" s="16"/>
      <c r="J58" s="31"/>
      <c r="K58" s="79">
        <f t="shared" ref="K58" si="45">SUM(G58:J58)</f>
        <v>1</v>
      </c>
      <c r="L58" s="94">
        <f t="shared" si="41"/>
        <v>1</v>
      </c>
      <c r="M58" s="104">
        <v>45730</v>
      </c>
      <c r="N58" s="44" t="s">
        <v>74</v>
      </c>
      <c r="O58" s="15">
        <v>2</v>
      </c>
      <c r="P58" s="28">
        <v>2</v>
      </c>
      <c r="Q58" s="16">
        <v>1</v>
      </c>
      <c r="R58" s="19">
        <v>1</v>
      </c>
      <c r="S58" s="42">
        <f t="shared" si="38"/>
        <v>6</v>
      </c>
      <c r="T58" s="15">
        <v>1</v>
      </c>
      <c r="U58" s="28">
        <v>2</v>
      </c>
      <c r="V58" s="16">
        <v>1</v>
      </c>
      <c r="W58" s="31">
        <v>1</v>
      </c>
      <c r="X58" s="9">
        <f t="shared" si="44"/>
        <v>5</v>
      </c>
      <c r="Y58" s="94">
        <f t="shared" si="42"/>
        <v>11</v>
      </c>
      <c r="Z58" s="104">
        <v>45758</v>
      </c>
      <c r="AA58" s="109"/>
      <c r="AB58" s="109"/>
    </row>
    <row r="59" spans="1:28" x14ac:dyDescent="0.15">
      <c r="A59" s="121" t="s">
        <v>57</v>
      </c>
      <c r="B59" s="15"/>
      <c r="C59" s="28">
        <v>2</v>
      </c>
      <c r="D59" s="16">
        <v>1</v>
      </c>
      <c r="E59" s="19"/>
      <c r="F59" s="42">
        <f t="shared" si="36"/>
        <v>3</v>
      </c>
      <c r="G59" s="15"/>
      <c r="H59" s="28">
        <v>4</v>
      </c>
      <c r="I59" s="16">
        <v>3</v>
      </c>
      <c r="J59" s="31">
        <v>3</v>
      </c>
      <c r="K59" s="79">
        <f t="shared" si="40"/>
        <v>10</v>
      </c>
      <c r="L59" s="94">
        <f t="shared" si="41"/>
        <v>13</v>
      </c>
      <c r="M59" s="104">
        <v>45735</v>
      </c>
      <c r="N59" s="44" t="s">
        <v>77</v>
      </c>
      <c r="O59" s="15"/>
      <c r="P59" s="28">
        <v>1</v>
      </c>
      <c r="Q59" s="16"/>
      <c r="R59" s="19">
        <v>1</v>
      </c>
      <c r="S59" s="42">
        <f t="shared" si="38"/>
        <v>2</v>
      </c>
      <c r="T59" s="15"/>
      <c r="U59" s="28"/>
      <c r="V59" s="16">
        <v>1</v>
      </c>
      <c r="W59" s="31">
        <v>1</v>
      </c>
      <c r="X59" s="9">
        <f t="shared" si="44"/>
        <v>2</v>
      </c>
      <c r="Y59" s="94">
        <f t="shared" si="42"/>
        <v>4</v>
      </c>
      <c r="Z59" s="104">
        <v>45758</v>
      </c>
      <c r="AA59" s="109"/>
    </row>
    <row r="60" spans="1:28" x14ac:dyDescent="0.15">
      <c r="A60" s="44" t="s">
        <v>27</v>
      </c>
      <c r="B60" s="15"/>
      <c r="C60" s="28"/>
      <c r="D60" s="16"/>
      <c r="E60" s="19">
        <v>1</v>
      </c>
      <c r="F60" s="42">
        <f t="shared" si="36"/>
        <v>1</v>
      </c>
      <c r="G60" s="15"/>
      <c r="H60" s="28"/>
      <c r="I60" s="16"/>
      <c r="J60" s="31"/>
      <c r="K60" s="79">
        <f>SUM(G60:J60)</f>
        <v>0</v>
      </c>
      <c r="L60" s="94">
        <f t="shared" si="41"/>
        <v>1</v>
      </c>
      <c r="M60" s="105">
        <v>45733</v>
      </c>
      <c r="N60" s="121" t="s">
        <v>79</v>
      </c>
      <c r="O60" s="15"/>
      <c r="P60" s="28">
        <v>7</v>
      </c>
      <c r="Q60" s="16"/>
      <c r="R60" s="19"/>
      <c r="S60" s="42">
        <f t="shared" si="38"/>
        <v>7</v>
      </c>
      <c r="T60" s="15"/>
      <c r="U60" s="28"/>
      <c r="V60" s="16"/>
      <c r="W60" s="31"/>
      <c r="X60" s="9">
        <f>SUM(T60:W60)</f>
        <v>0</v>
      </c>
      <c r="Y60" s="94">
        <f t="shared" si="42"/>
        <v>7</v>
      </c>
      <c r="Z60" s="104">
        <v>45761</v>
      </c>
    </row>
    <row r="61" spans="1:28" x14ac:dyDescent="0.15">
      <c r="A61" s="44" t="s">
        <v>27</v>
      </c>
      <c r="B61" s="15"/>
      <c r="C61" s="28"/>
      <c r="D61" s="16"/>
      <c r="E61" s="19"/>
      <c r="F61" s="42">
        <f t="shared" ref="F61" si="46">SUM(B61:E61)</f>
        <v>0</v>
      </c>
      <c r="G61" s="15"/>
      <c r="H61" s="28"/>
      <c r="I61" s="16"/>
      <c r="J61" s="31">
        <v>1</v>
      </c>
      <c r="K61" s="79">
        <f t="shared" ref="K61" si="47">SUM(G61:J61)</f>
        <v>1</v>
      </c>
      <c r="L61" s="94">
        <f t="shared" ref="L61" si="48">F61+K61</f>
        <v>1</v>
      </c>
      <c r="M61" s="105">
        <v>45734</v>
      </c>
      <c r="N61" s="44" t="s">
        <v>81</v>
      </c>
      <c r="O61" s="15">
        <v>1</v>
      </c>
      <c r="P61" s="28"/>
      <c r="Q61" s="16"/>
      <c r="R61" s="19">
        <v>4</v>
      </c>
      <c r="S61" s="42">
        <f t="shared" si="38"/>
        <v>5</v>
      </c>
      <c r="T61" s="15">
        <v>1</v>
      </c>
      <c r="U61" s="28"/>
      <c r="V61" s="16"/>
      <c r="W61" s="31">
        <v>1</v>
      </c>
      <c r="X61" s="9">
        <f>SUM(T61:W61)</f>
        <v>2</v>
      </c>
      <c r="Y61" s="94">
        <f t="shared" si="42"/>
        <v>7</v>
      </c>
      <c r="Z61" s="104">
        <v>45763</v>
      </c>
    </row>
    <row r="62" spans="1:28" x14ac:dyDescent="0.15">
      <c r="A62" s="44" t="s">
        <v>27</v>
      </c>
      <c r="B62" s="15"/>
      <c r="C62" s="28">
        <v>1</v>
      </c>
      <c r="D62" s="16">
        <v>1</v>
      </c>
      <c r="E62" s="19"/>
      <c r="F62" s="42">
        <f t="shared" si="36"/>
        <v>2</v>
      </c>
      <c r="G62" s="15"/>
      <c r="H62" s="28"/>
      <c r="I62" s="16">
        <v>1</v>
      </c>
      <c r="J62" s="31"/>
      <c r="K62" s="79">
        <f t="shared" ref="K62:K73" si="49">SUM(G62:J62)</f>
        <v>1</v>
      </c>
      <c r="L62" s="94">
        <f t="shared" si="41"/>
        <v>3</v>
      </c>
      <c r="M62" s="104">
        <v>45737</v>
      </c>
      <c r="N62" s="44" t="s">
        <v>86</v>
      </c>
      <c r="O62" s="15"/>
      <c r="P62" s="28">
        <v>1</v>
      </c>
      <c r="Q62" s="16"/>
      <c r="R62" s="19">
        <v>1</v>
      </c>
      <c r="S62" s="42">
        <f t="shared" ref="S62" si="50">SUM(O62:R62)</f>
        <v>2</v>
      </c>
      <c r="T62" s="15"/>
      <c r="U62" s="28"/>
      <c r="V62" s="16"/>
      <c r="W62" s="31">
        <v>2</v>
      </c>
      <c r="X62" s="9">
        <f t="shared" ref="X62" si="51">SUM(T62:W62)</f>
        <v>2</v>
      </c>
      <c r="Y62" s="94">
        <f t="shared" ref="Y62" si="52">S62+X62</f>
        <v>4</v>
      </c>
      <c r="Z62" s="104">
        <v>45764</v>
      </c>
    </row>
    <row r="63" spans="1:28" x14ac:dyDescent="0.15">
      <c r="A63" s="44" t="s">
        <v>33</v>
      </c>
      <c r="B63" s="15"/>
      <c r="C63" s="28"/>
      <c r="D63" s="16"/>
      <c r="E63" s="19"/>
      <c r="F63" s="42">
        <f t="shared" si="36"/>
        <v>0</v>
      </c>
      <c r="G63" s="15"/>
      <c r="H63" s="28"/>
      <c r="I63" s="16"/>
      <c r="J63" s="31">
        <v>1</v>
      </c>
      <c r="K63" s="79">
        <f t="shared" si="49"/>
        <v>1</v>
      </c>
      <c r="L63" s="94">
        <f t="shared" si="41"/>
        <v>1</v>
      </c>
      <c r="M63" s="104">
        <v>45741</v>
      </c>
      <c r="N63" s="121" t="s">
        <v>88</v>
      </c>
      <c r="O63" s="15"/>
      <c r="P63" s="28"/>
      <c r="Q63" s="16"/>
      <c r="R63" s="19"/>
      <c r="S63" s="42">
        <f t="shared" si="38"/>
        <v>0</v>
      </c>
      <c r="T63" s="15"/>
      <c r="U63" s="28"/>
      <c r="V63" s="16"/>
      <c r="W63" s="31">
        <v>7</v>
      </c>
      <c r="X63" s="9">
        <f t="shared" ref="X63:X64" si="53">SUM(T63:W63)</f>
        <v>7</v>
      </c>
      <c r="Y63" s="94">
        <f t="shared" si="42"/>
        <v>7</v>
      </c>
      <c r="Z63" s="104">
        <v>45765</v>
      </c>
      <c r="AA63" s="109"/>
    </row>
    <row r="64" spans="1:28" x14ac:dyDescent="0.15">
      <c r="A64" s="44" t="s">
        <v>27</v>
      </c>
      <c r="B64" s="15"/>
      <c r="C64" s="28"/>
      <c r="D64" s="16"/>
      <c r="E64" s="19"/>
      <c r="F64" s="42">
        <f t="shared" si="36"/>
        <v>0</v>
      </c>
      <c r="G64" s="15"/>
      <c r="H64" s="28">
        <v>1</v>
      </c>
      <c r="I64" s="16"/>
      <c r="J64" s="31">
        <v>1</v>
      </c>
      <c r="K64" s="79">
        <f t="shared" si="49"/>
        <v>2</v>
      </c>
      <c r="L64" s="94">
        <f t="shared" si="41"/>
        <v>2</v>
      </c>
      <c r="M64" s="104">
        <v>45740</v>
      </c>
      <c r="N64" s="44" t="s">
        <v>91</v>
      </c>
      <c r="O64" s="15"/>
      <c r="P64" s="28">
        <v>3</v>
      </c>
      <c r="Q64" s="16">
        <v>6</v>
      </c>
      <c r="R64" s="19">
        <v>2</v>
      </c>
      <c r="S64" s="42">
        <f t="shared" si="38"/>
        <v>11</v>
      </c>
      <c r="T64" s="15"/>
      <c r="U64" s="28">
        <v>2</v>
      </c>
      <c r="V64" s="16"/>
      <c r="W64" s="31"/>
      <c r="X64" s="9">
        <f t="shared" si="53"/>
        <v>2</v>
      </c>
      <c r="Y64" s="94">
        <f t="shared" si="42"/>
        <v>13</v>
      </c>
      <c r="Z64" s="104">
        <v>45768</v>
      </c>
      <c r="AA64" s="109"/>
    </row>
    <row r="65" spans="1:26" x14ac:dyDescent="0.15">
      <c r="A65" s="121" t="s">
        <v>67</v>
      </c>
      <c r="B65" s="15">
        <v>3</v>
      </c>
      <c r="C65" s="28"/>
      <c r="D65" s="16"/>
      <c r="E65" s="19"/>
      <c r="F65" s="42">
        <f t="shared" si="36"/>
        <v>3</v>
      </c>
      <c r="G65" s="38"/>
      <c r="H65" s="39"/>
      <c r="I65" s="40"/>
      <c r="J65" s="52"/>
      <c r="K65" s="83">
        <f t="shared" si="49"/>
        <v>0</v>
      </c>
      <c r="L65" s="94">
        <f t="shared" si="41"/>
        <v>3</v>
      </c>
      <c r="M65" s="104">
        <v>45749</v>
      </c>
      <c r="N65" s="44" t="s">
        <v>26</v>
      </c>
      <c r="O65" s="15"/>
      <c r="P65" s="28">
        <v>3</v>
      </c>
      <c r="Q65" s="16"/>
      <c r="R65" s="19">
        <v>3</v>
      </c>
      <c r="S65" s="42">
        <f>SUM(O65:R65)</f>
        <v>6</v>
      </c>
      <c r="T65" s="38"/>
      <c r="U65" s="39">
        <v>3</v>
      </c>
      <c r="V65" s="40">
        <v>3</v>
      </c>
      <c r="W65" s="52">
        <v>3</v>
      </c>
      <c r="X65" s="54">
        <f>SUM(T65:W65)</f>
        <v>9</v>
      </c>
      <c r="Y65" s="94">
        <f t="shared" si="42"/>
        <v>15</v>
      </c>
      <c r="Z65" s="104">
        <v>45766</v>
      </c>
    </row>
    <row r="66" spans="1:26" x14ac:dyDescent="0.15">
      <c r="A66" s="121" t="s">
        <v>72</v>
      </c>
      <c r="B66" s="15"/>
      <c r="C66" s="28"/>
      <c r="D66" s="16">
        <v>3</v>
      </c>
      <c r="E66" s="19"/>
      <c r="F66" s="42">
        <f t="shared" si="36"/>
        <v>3</v>
      </c>
      <c r="G66" s="15"/>
      <c r="H66" s="28">
        <v>6</v>
      </c>
      <c r="I66" s="16"/>
      <c r="J66" s="31"/>
      <c r="K66" s="79">
        <f>SUM(G66:J66)</f>
        <v>6</v>
      </c>
      <c r="L66" s="94">
        <f t="shared" si="41"/>
        <v>9</v>
      </c>
      <c r="M66" s="104">
        <v>45750</v>
      </c>
      <c r="N66" s="44"/>
      <c r="O66" s="15"/>
      <c r="P66" s="28"/>
      <c r="Q66" s="16"/>
      <c r="R66" s="19"/>
      <c r="S66" s="42">
        <f t="shared" si="38"/>
        <v>0</v>
      </c>
      <c r="T66" s="15"/>
      <c r="U66" s="28"/>
      <c r="V66" s="16"/>
      <c r="W66" s="31"/>
      <c r="X66" s="9">
        <f>SUM(T66:W66)</f>
        <v>0</v>
      </c>
      <c r="Y66" s="94">
        <f t="shared" si="42"/>
        <v>0</v>
      </c>
      <c r="Z66" s="133"/>
    </row>
    <row r="67" spans="1:26" x14ac:dyDescent="0.15">
      <c r="A67" s="44" t="s">
        <v>63</v>
      </c>
      <c r="B67" s="15">
        <v>-3</v>
      </c>
      <c r="C67" s="28"/>
      <c r="D67" s="16"/>
      <c r="E67" s="19"/>
      <c r="F67" s="42">
        <f t="shared" si="36"/>
        <v>-3</v>
      </c>
      <c r="G67" s="15"/>
      <c r="H67" s="16">
        <v>-8</v>
      </c>
      <c r="I67" s="28"/>
      <c r="J67" s="53">
        <v>-3</v>
      </c>
      <c r="K67" s="79">
        <f t="shared" si="49"/>
        <v>-11</v>
      </c>
      <c r="L67" s="94">
        <f t="shared" si="41"/>
        <v>-14</v>
      </c>
      <c r="M67" s="104">
        <v>45743</v>
      </c>
      <c r="N67" s="114" t="s">
        <v>37</v>
      </c>
      <c r="O67" s="115"/>
      <c r="P67" s="116"/>
      <c r="Q67" s="117"/>
      <c r="R67" s="118"/>
      <c r="S67" s="127">
        <f t="shared" si="38"/>
        <v>0</v>
      </c>
      <c r="T67" s="115"/>
      <c r="U67" s="116"/>
      <c r="V67" s="117"/>
      <c r="W67" s="118"/>
      <c r="X67" s="119">
        <f t="shared" ref="X67:X69" si="54">SUM(T67:W67)</f>
        <v>0</v>
      </c>
      <c r="Y67" s="120">
        <f t="shared" si="42"/>
        <v>0</v>
      </c>
      <c r="Z67" s="133"/>
    </row>
    <row r="68" spans="1:26" x14ac:dyDescent="0.15">
      <c r="A68" s="44" t="s">
        <v>66</v>
      </c>
      <c r="B68" s="15">
        <v>-1</v>
      </c>
      <c r="C68" s="28"/>
      <c r="D68" s="16"/>
      <c r="E68" s="19"/>
      <c r="F68" s="9">
        <f t="shared" si="36"/>
        <v>-1</v>
      </c>
      <c r="G68" s="15">
        <v>-1</v>
      </c>
      <c r="H68" s="28"/>
      <c r="I68" s="16"/>
      <c r="J68" s="31"/>
      <c r="K68" s="79">
        <f>SUM(G68:J68)</f>
        <v>-1</v>
      </c>
      <c r="L68" s="94">
        <f t="shared" si="41"/>
        <v>-2</v>
      </c>
      <c r="M68" s="104">
        <v>45745</v>
      </c>
      <c r="N68" s="44" t="s">
        <v>75</v>
      </c>
      <c r="O68" s="15"/>
      <c r="P68" s="28"/>
      <c r="Q68" s="16"/>
      <c r="R68" s="19"/>
      <c r="S68" s="42">
        <f t="shared" si="38"/>
        <v>0</v>
      </c>
      <c r="T68" s="15"/>
      <c r="U68" s="16"/>
      <c r="V68" s="28"/>
      <c r="W68" s="53"/>
      <c r="X68" s="9">
        <f t="shared" si="54"/>
        <v>0</v>
      </c>
      <c r="Y68" s="126">
        <f t="shared" si="42"/>
        <v>0</v>
      </c>
      <c r="Z68" s="133" t="s">
        <v>30</v>
      </c>
    </row>
    <row r="69" spans="1:26" x14ac:dyDescent="0.15">
      <c r="A69" s="44" t="s">
        <v>27</v>
      </c>
      <c r="B69" s="15"/>
      <c r="C69" s="28"/>
      <c r="D69" s="16"/>
      <c r="E69" s="19"/>
      <c r="F69" s="42">
        <f t="shared" ref="F69:F72" si="55">SUM(B69:E69)</f>
        <v>0</v>
      </c>
      <c r="G69" s="38"/>
      <c r="H69" s="39"/>
      <c r="I69" s="40"/>
      <c r="J69" s="52">
        <v>1</v>
      </c>
      <c r="K69" s="83">
        <f t="shared" si="49"/>
        <v>1</v>
      </c>
      <c r="L69" s="94">
        <f t="shared" si="41"/>
        <v>1</v>
      </c>
      <c r="M69" s="105">
        <v>45747</v>
      </c>
      <c r="N69" s="11" t="s">
        <v>65</v>
      </c>
      <c r="O69" s="15"/>
      <c r="P69" s="28"/>
      <c r="Q69" s="16"/>
      <c r="R69" s="19"/>
      <c r="S69" s="42">
        <f t="shared" si="38"/>
        <v>0</v>
      </c>
      <c r="T69" s="15"/>
      <c r="U69" s="28"/>
      <c r="V69" s="16"/>
      <c r="W69" s="19"/>
      <c r="X69" s="9">
        <f t="shared" si="54"/>
        <v>0</v>
      </c>
      <c r="Y69" s="126">
        <f t="shared" si="42"/>
        <v>0</v>
      </c>
      <c r="Z69" s="133" t="s">
        <v>70</v>
      </c>
    </row>
    <row r="70" spans="1:26" x14ac:dyDescent="0.15">
      <c r="A70" s="44" t="s">
        <v>68</v>
      </c>
      <c r="B70" s="15"/>
      <c r="C70" s="28">
        <v>1</v>
      </c>
      <c r="D70" s="16"/>
      <c r="E70" s="19"/>
      <c r="F70" s="42">
        <f t="shared" si="55"/>
        <v>1</v>
      </c>
      <c r="G70" s="15">
        <v>1</v>
      </c>
      <c r="H70" s="28"/>
      <c r="I70" s="16"/>
      <c r="J70" s="31"/>
      <c r="K70" s="79">
        <f t="shared" si="49"/>
        <v>1</v>
      </c>
      <c r="L70" s="94">
        <f t="shared" si="41"/>
        <v>2</v>
      </c>
      <c r="M70" s="105">
        <v>45749</v>
      </c>
      <c r="N70" s="44"/>
      <c r="O70" s="38"/>
      <c r="P70" s="39"/>
      <c r="Q70" s="40"/>
      <c r="R70" s="41"/>
      <c r="S70" s="62">
        <f t="shared" ref="S70:S71" si="56">SUM(O70:R70)</f>
        <v>0</v>
      </c>
      <c r="T70" s="38"/>
      <c r="U70" s="39"/>
      <c r="V70" s="40"/>
      <c r="W70" s="52"/>
      <c r="X70" s="54">
        <f t="shared" ref="X70:X71" si="57">SUM(T70:W70)</f>
        <v>0</v>
      </c>
      <c r="Y70" s="94">
        <f t="shared" ref="Y70:Y71" si="58">S70+X70</f>
        <v>0</v>
      </c>
      <c r="Z70" s="133"/>
    </row>
    <row r="71" spans="1:26" x14ac:dyDescent="0.15">
      <c r="A71" s="44" t="s">
        <v>69</v>
      </c>
      <c r="B71" s="15"/>
      <c r="C71" s="28"/>
      <c r="D71" s="16"/>
      <c r="E71" s="19"/>
      <c r="F71" s="42">
        <f t="shared" si="55"/>
        <v>0</v>
      </c>
      <c r="G71" s="15"/>
      <c r="H71" s="28">
        <v>-1</v>
      </c>
      <c r="I71" s="16"/>
      <c r="J71" s="31"/>
      <c r="K71" s="79">
        <f t="shared" ref="K71:K72" si="59">SUM(G71:J71)</f>
        <v>-1</v>
      </c>
      <c r="L71" s="94">
        <f t="shared" si="41"/>
        <v>-1</v>
      </c>
      <c r="M71" s="105">
        <v>45748</v>
      </c>
      <c r="N71" s="44" t="s">
        <v>39</v>
      </c>
      <c r="O71" s="15"/>
      <c r="P71" s="28"/>
      <c r="Q71" s="16"/>
      <c r="R71" s="19"/>
      <c r="S71" s="42">
        <f t="shared" si="56"/>
        <v>0</v>
      </c>
      <c r="T71" s="15"/>
      <c r="U71" s="16"/>
      <c r="V71" s="28"/>
      <c r="W71" s="53"/>
      <c r="X71" s="9">
        <f t="shared" si="57"/>
        <v>0</v>
      </c>
      <c r="Y71" s="126">
        <f t="shared" si="58"/>
        <v>0</v>
      </c>
      <c r="Z71" s="133" t="s">
        <v>38</v>
      </c>
    </row>
    <row r="72" spans="1:26" ht="14.25" thickBot="1" x14ac:dyDescent="0.2">
      <c r="A72" s="44" t="s">
        <v>27</v>
      </c>
      <c r="B72" s="34">
        <v>1</v>
      </c>
      <c r="C72" s="35"/>
      <c r="D72" s="36"/>
      <c r="E72" s="37"/>
      <c r="F72" s="42">
        <f t="shared" si="55"/>
        <v>1</v>
      </c>
      <c r="G72" s="34"/>
      <c r="H72" s="36"/>
      <c r="I72" s="35">
        <v>1</v>
      </c>
      <c r="J72" s="64"/>
      <c r="K72" s="80">
        <f t="shared" si="59"/>
        <v>1</v>
      </c>
      <c r="L72" s="106">
        <f t="shared" si="41"/>
        <v>2</v>
      </c>
      <c r="M72" s="105">
        <v>45754</v>
      </c>
      <c r="N72" s="44" t="s">
        <v>52</v>
      </c>
      <c r="O72" s="122"/>
      <c r="P72" s="123"/>
      <c r="Q72" s="124"/>
      <c r="R72" s="136"/>
      <c r="S72" s="62">
        <f t="shared" si="38"/>
        <v>0</v>
      </c>
      <c r="T72" s="122"/>
      <c r="U72" s="124"/>
      <c r="V72" s="123"/>
      <c r="W72" s="137"/>
      <c r="X72" s="45">
        <f t="shared" ref="X72:X73" si="60">SUM(T72:W72)</f>
        <v>0</v>
      </c>
      <c r="Y72" s="106">
        <f t="shared" si="42"/>
        <v>0</v>
      </c>
      <c r="Z72" s="104">
        <v>45770</v>
      </c>
    </row>
    <row r="73" spans="1:26" ht="14.25" thickBot="1" x14ac:dyDescent="0.2">
      <c r="A73" s="12" t="s">
        <v>8</v>
      </c>
      <c r="B73" s="21">
        <f>SUM(B48:B72)</f>
        <v>1</v>
      </c>
      <c r="C73" s="29">
        <f>SUM(C48:C72)</f>
        <v>4</v>
      </c>
      <c r="D73" s="22">
        <f>SUM(D48:D72)</f>
        <v>6</v>
      </c>
      <c r="E73" s="23">
        <f>SUM(E48:E72)</f>
        <v>6</v>
      </c>
      <c r="F73" s="20">
        <f>SUM(B73:E73)</f>
        <v>17</v>
      </c>
      <c r="G73" s="21">
        <f>SUM(G48:G72)</f>
        <v>4</v>
      </c>
      <c r="H73" s="29">
        <f>SUM(H48:H72)</f>
        <v>11</v>
      </c>
      <c r="I73" s="22">
        <f>SUM(I48:I72)</f>
        <v>6</v>
      </c>
      <c r="J73" s="23">
        <f>SUM(J48:J72)</f>
        <v>7</v>
      </c>
      <c r="K73" s="81">
        <f t="shared" si="49"/>
        <v>28</v>
      </c>
      <c r="L73" s="107">
        <f t="shared" si="41"/>
        <v>45</v>
      </c>
      <c r="N73" s="12" t="s">
        <v>8</v>
      </c>
      <c r="O73" s="21">
        <f>SUM(O48:O72)</f>
        <v>11</v>
      </c>
      <c r="P73" s="29">
        <f>SUM(P48:P72)</f>
        <v>31</v>
      </c>
      <c r="Q73" s="22">
        <f>SUM(Q48:Q72)</f>
        <v>21</v>
      </c>
      <c r="R73" s="23">
        <f>SUM(R48:R72)</f>
        <v>21</v>
      </c>
      <c r="S73" s="20">
        <f>SUM(O73:R73)</f>
        <v>84</v>
      </c>
      <c r="T73" s="21">
        <f>SUM(T48:T72)</f>
        <v>14</v>
      </c>
      <c r="U73" s="29">
        <f>SUM(U48:U72)</f>
        <v>35</v>
      </c>
      <c r="V73" s="22">
        <f>SUM(V48:V72)</f>
        <v>18</v>
      </c>
      <c r="W73" s="23">
        <f>SUM(W48:W72)</f>
        <v>36</v>
      </c>
      <c r="X73" s="45">
        <f t="shared" si="60"/>
        <v>103</v>
      </c>
      <c r="Y73" s="107">
        <f t="shared" si="42"/>
        <v>187</v>
      </c>
    </row>
    <row r="74" spans="1:26" ht="14.25" thickBot="1" x14ac:dyDescent="0.2">
      <c r="A74" s="13" t="s">
        <v>9</v>
      </c>
      <c r="B74" s="24">
        <f t="shared" ref="B74:F74" si="61">B47-B73</f>
        <v>6</v>
      </c>
      <c r="C74" s="30">
        <f t="shared" si="61"/>
        <v>5</v>
      </c>
      <c r="D74" s="25">
        <f t="shared" si="61"/>
        <v>3</v>
      </c>
      <c r="E74" s="26">
        <f t="shared" si="61"/>
        <v>4</v>
      </c>
      <c r="F74" s="71">
        <f t="shared" si="61"/>
        <v>18</v>
      </c>
      <c r="G74" s="24">
        <f t="shared" ref="G74:K74" si="62">G47-G73</f>
        <v>5</v>
      </c>
      <c r="H74" s="30">
        <f t="shared" si="62"/>
        <v>6</v>
      </c>
      <c r="I74" s="25">
        <f t="shared" si="62"/>
        <v>5</v>
      </c>
      <c r="J74" s="26">
        <f t="shared" si="62"/>
        <v>2</v>
      </c>
      <c r="K74" s="82">
        <f t="shared" si="62"/>
        <v>18</v>
      </c>
      <c r="L74" s="86">
        <f t="shared" si="41"/>
        <v>36</v>
      </c>
      <c r="N74" s="13" t="s">
        <v>9</v>
      </c>
      <c r="O74" s="24">
        <f t="shared" ref="O74:X74" si="63">O47-O73</f>
        <v>70</v>
      </c>
      <c r="P74" s="30">
        <f t="shared" si="63"/>
        <v>80</v>
      </c>
      <c r="Q74" s="25">
        <f t="shared" si="63"/>
        <v>75</v>
      </c>
      <c r="R74" s="26">
        <f t="shared" si="63"/>
        <v>61</v>
      </c>
      <c r="S74" s="71">
        <f t="shared" si="63"/>
        <v>286</v>
      </c>
      <c r="T74" s="24">
        <f t="shared" si="63"/>
        <v>68</v>
      </c>
      <c r="U74" s="30">
        <f t="shared" si="63"/>
        <v>67</v>
      </c>
      <c r="V74" s="25">
        <f t="shared" si="63"/>
        <v>66</v>
      </c>
      <c r="W74" s="26">
        <f t="shared" si="63"/>
        <v>34</v>
      </c>
      <c r="X74" s="33">
        <f t="shared" si="63"/>
        <v>235</v>
      </c>
      <c r="Y74" s="86">
        <f t="shared" si="42"/>
        <v>521</v>
      </c>
    </row>
    <row r="75" spans="1:26" x14ac:dyDescent="0.15">
      <c r="G75" s="46"/>
      <c r="H75" s="46"/>
      <c r="I75" s="46"/>
      <c r="J75" s="46"/>
      <c r="K75" s="46"/>
    </row>
    <row r="77" spans="1:26" ht="19.5" thickBot="1" x14ac:dyDescent="0.25">
      <c r="A77" s="2" t="s">
        <v>15</v>
      </c>
      <c r="B77" s="2"/>
      <c r="C77" s="1"/>
      <c r="D77" s="1"/>
      <c r="E77" s="1"/>
      <c r="G77" s="72"/>
      <c r="H77" s="1"/>
      <c r="I77" s="1"/>
      <c r="J77" s="1"/>
      <c r="K77" s="72" t="s">
        <v>12</v>
      </c>
      <c r="N77" s="2" t="s">
        <v>16</v>
      </c>
      <c r="O77" s="2"/>
      <c r="P77" s="1"/>
      <c r="Q77" s="1"/>
      <c r="R77" s="1"/>
      <c r="U77" s="1"/>
      <c r="V77" s="1"/>
      <c r="W77" s="1"/>
      <c r="X77" s="72" t="s">
        <v>12</v>
      </c>
    </row>
    <row r="78" spans="1:26" ht="14.25" thickBot="1" x14ac:dyDescent="0.2">
      <c r="A78" s="5" t="s">
        <v>0</v>
      </c>
      <c r="B78" s="245" t="s">
        <v>34</v>
      </c>
      <c r="C78" s="246"/>
      <c r="D78" s="246"/>
      <c r="E78" s="246"/>
      <c r="F78" s="247"/>
      <c r="G78" s="248" t="s">
        <v>35</v>
      </c>
      <c r="H78" s="249"/>
      <c r="I78" s="249"/>
      <c r="J78" s="249"/>
      <c r="K78" s="249"/>
      <c r="L78" s="243" t="s">
        <v>14</v>
      </c>
      <c r="N78" s="5" t="s">
        <v>0</v>
      </c>
      <c r="O78" s="245" t="s">
        <v>58</v>
      </c>
      <c r="P78" s="246"/>
      <c r="Q78" s="246"/>
      <c r="R78" s="246"/>
      <c r="S78" s="247"/>
      <c r="T78" s="248" t="s">
        <v>59</v>
      </c>
      <c r="U78" s="249"/>
      <c r="V78" s="249"/>
      <c r="W78" s="249"/>
      <c r="X78" s="249"/>
      <c r="Y78" s="243" t="s">
        <v>14</v>
      </c>
    </row>
    <row r="79" spans="1:26" ht="14.25" thickBot="1" x14ac:dyDescent="0.2">
      <c r="A79" s="5" t="s">
        <v>1</v>
      </c>
      <c r="B79" s="3" t="s">
        <v>17</v>
      </c>
      <c r="C79" s="27" t="s">
        <v>18</v>
      </c>
      <c r="D79" s="4" t="s">
        <v>19</v>
      </c>
      <c r="E79" s="14" t="s">
        <v>20</v>
      </c>
      <c r="F79" s="18" t="s">
        <v>2</v>
      </c>
      <c r="G79" s="3" t="s">
        <v>17</v>
      </c>
      <c r="H79" s="27" t="s">
        <v>18</v>
      </c>
      <c r="I79" s="4" t="s">
        <v>19</v>
      </c>
      <c r="J79" s="14" t="s">
        <v>20</v>
      </c>
      <c r="K79" s="73" t="s">
        <v>2</v>
      </c>
      <c r="L79" s="244"/>
      <c r="N79" s="5" t="s">
        <v>1</v>
      </c>
      <c r="O79" s="3" t="s">
        <v>17</v>
      </c>
      <c r="P79" s="27" t="s">
        <v>18</v>
      </c>
      <c r="Q79" s="4" t="s">
        <v>19</v>
      </c>
      <c r="R79" s="14" t="s">
        <v>20</v>
      </c>
      <c r="S79" s="18" t="s">
        <v>2</v>
      </c>
      <c r="T79" s="3" t="s">
        <v>17</v>
      </c>
      <c r="U79" s="27" t="s">
        <v>18</v>
      </c>
      <c r="V79" s="4" t="s">
        <v>19</v>
      </c>
      <c r="W79" s="14" t="s">
        <v>20</v>
      </c>
      <c r="X79" s="18" t="s">
        <v>2</v>
      </c>
      <c r="Y79" s="244"/>
    </row>
    <row r="80" spans="1:26" x14ac:dyDescent="0.15">
      <c r="A80" s="66" t="s">
        <v>10</v>
      </c>
      <c r="B80" s="67">
        <f>B74</f>
        <v>6</v>
      </c>
      <c r="C80" s="68">
        <f>C74</f>
        <v>5</v>
      </c>
      <c r="D80" s="68">
        <f>D74</f>
        <v>3</v>
      </c>
      <c r="E80" s="69">
        <f>E74</f>
        <v>4</v>
      </c>
      <c r="F80" s="70">
        <f>SUM(B80:E80)</f>
        <v>18</v>
      </c>
      <c r="G80" s="67">
        <f>G74</f>
        <v>5</v>
      </c>
      <c r="H80" s="68">
        <f>H74</f>
        <v>6</v>
      </c>
      <c r="I80" s="68">
        <f>I74</f>
        <v>5</v>
      </c>
      <c r="J80" s="69">
        <f>J74</f>
        <v>2</v>
      </c>
      <c r="K80" s="74">
        <f>SUM(G80:J80)</f>
        <v>18</v>
      </c>
      <c r="L80" s="84">
        <f>F80+K80</f>
        <v>36</v>
      </c>
      <c r="N80" s="66" t="s">
        <v>10</v>
      </c>
      <c r="O80" s="67">
        <f>O74</f>
        <v>70</v>
      </c>
      <c r="P80" s="68">
        <f>P74</f>
        <v>80</v>
      </c>
      <c r="Q80" s="68">
        <f>Q74</f>
        <v>75</v>
      </c>
      <c r="R80" s="69">
        <f>R74</f>
        <v>61</v>
      </c>
      <c r="S80" s="70">
        <f>SUM(O80:R80)</f>
        <v>286</v>
      </c>
      <c r="T80" s="67">
        <f>T74</f>
        <v>68</v>
      </c>
      <c r="U80" s="68">
        <f>U74</f>
        <v>67</v>
      </c>
      <c r="V80" s="68">
        <f>V74</f>
        <v>66</v>
      </c>
      <c r="W80" s="87">
        <f>W74</f>
        <v>34</v>
      </c>
      <c r="X80" s="88">
        <f>SUM(T80:W80)</f>
        <v>235</v>
      </c>
      <c r="Y80" s="84">
        <f>S80+X80</f>
        <v>521</v>
      </c>
    </row>
    <row r="81" spans="1:27" x14ac:dyDescent="0.15">
      <c r="A81" s="44" t="s">
        <v>3</v>
      </c>
      <c r="B81" s="47"/>
      <c r="C81" s="48"/>
      <c r="D81" s="49">
        <v>3</v>
      </c>
      <c r="E81" s="50"/>
      <c r="F81" s="54">
        <f>SUM(B81:E81)</f>
        <v>3</v>
      </c>
      <c r="G81" s="38"/>
      <c r="H81" s="39"/>
      <c r="I81" s="40"/>
      <c r="J81" s="41">
        <v>3</v>
      </c>
      <c r="K81" s="75">
        <f>SUM(G81:J81)</f>
        <v>3</v>
      </c>
      <c r="L81" s="94">
        <f t="shared" ref="L81:L84" si="64">F81+K81</f>
        <v>6</v>
      </c>
      <c r="M81" s="104">
        <v>45748</v>
      </c>
      <c r="N81" s="44" t="s">
        <v>3</v>
      </c>
      <c r="O81" s="38"/>
      <c r="P81" s="39"/>
      <c r="Q81" s="40">
        <v>10</v>
      </c>
      <c r="R81" s="52"/>
      <c r="S81" s="9">
        <f t="shared" ref="S81" si="65">SUM(O81:R81)</f>
        <v>10</v>
      </c>
      <c r="T81" s="15"/>
      <c r="U81" s="28"/>
      <c r="V81" s="16">
        <v>20</v>
      </c>
      <c r="W81" s="31">
        <v>15</v>
      </c>
      <c r="X81" s="9">
        <f t="shared" ref="X81" si="66">SUM(T81:W81)</f>
        <v>35</v>
      </c>
      <c r="Y81" s="94">
        <f t="shared" ref="Y81:Y83" si="67">S81+X81</f>
        <v>45</v>
      </c>
      <c r="Z81" s="105" t="s">
        <v>135</v>
      </c>
    </row>
    <row r="82" spans="1:27" x14ac:dyDescent="0.15">
      <c r="A82" s="11" t="s">
        <v>82</v>
      </c>
      <c r="B82" s="6"/>
      <c r="C82" s="17"/>
      <c r="D82" s="7"/>
      <c r="E82" s="8">
        <v>1</v>
      </c>
      <c r="F82" s="9">
        <f>SUM(B82:E82)</f>
        <v>1</v>
      </c>
      <c r="G82" s="15">
        <v>1</v>
      </c>
      <c r="H82" s="28">
        <v>1</v>
      </c>
      <c r="I82" s="16">
        <v>1</v>
      </c>
      <c r="J82" s="19"/>
      <c r="K82" s="76">
        <f>SUM(G82:J82)</f>
        <v>3</v>
      </c>
      <c r="L82" s="94">
        <f t="shared" si="64"/>
        <v>4</v>
      </c>
      <c r="M82" s="104">
        <v>45763</v>
      </c>
      <c r="N82" s="44" t="s">
        <v>4</v>
      </c>
      <c r="O82" s="38"/>
      <c r="P82" s="39"/>
      <c r="Q82" s="40"/>
      <c r="R82" s="52"/>
      <c r="S82" s="9">
        <f t="shared" ref="S82" si="68">SUM(O82:R82)</f>
        <v>0</v>
      </c>
      <c r="T82" s="15"/>
      <c r="U82" s="28"/>
      <c r="V82" s="16"/>
      <c r="W82" s="31"/>
      <c r="X82" s="9">
        <f t="shared" ref="X82" si="69">SUM(T82:W82)</f>
        <v>0</v>
      </c>
      <c r="Y82" s="94">
        <f t="shared" ref="Y82" si="70">S82+X82</f>
        <v>0</v>
      </c>
    </row>
    <row r="83" spans="1:27" x14ac:dyDescent="0.15">
      <c r="A83" s="44" t="s">
        <v>83</v>
      </c>
      <c r="B83" s="15">
        <v>1</v>
      </c>
      <c r="C83" s="28"/>
      <c r="D83" s="16"/>
      <c r="E83" s="19"/>
      <c r="F83" s="9">
        <f t="shared" ref="F83" si="71">SUM(B83:E83)</f>
        <v>1</v>
      </c>
      <c r="G83" s="15">
        <v>1</v>
      </c>
      <c r="H83" s="28"/>
      <c r="I83" s="16"/>
      <c r="J83" s="31"/>
      <c r="K83" s="79">
        <f t="shared" ref="K83" si="72">SUM(G83:J83)</f>
        <v>1</v>
      </c>
      <c r="L83" s="94">
        <f t="shared" si="64"/>
        <v>2</v>
      </c>
      <c r="M83" s="104">
        <v>45763</v>
      </c>
      <c r="N83" s="44" t="s">
        <v>5</v>
      </c>
      <c r="O83" s="38"/>
      <c r="P83" s="39"/>
      <c r="Q83" s="40"/>
      <c r="R83" s="52"/>
      <c r="S83" s="9">
        <f t="shared" ref="S83" si="73">SUM(O83:R83)</f>
        <v>0</v>
      </c>
      <c r="T83" s="15"/>
      <c r="U83" s="28"/>
      <c r="V83" s="16"/>
      <c r="W83" s="31"/>
      <c r="X83" s="9">
        <f t="shared" ref="X83" si="74">SUM(T83:W83)</f>
        <v>0</v>
      </c>
      <c r="Y83" s="94">
        <f t="shared" si="67"/>
        <v>0</v>
      </c>
    </row>
    <row r="84" spans="1:27" ht="14.25" thickBot="1" x14ac:dyDescent="0.2">
      <c r="A84" s="11" t="s">
        <v>6</v>
      </c>
      <c r="B84" s="6"/>
      <c r="C84" s="17">
        <v>3</v>
      </c>
      <c r="D84" s="7"/>
      <c r="E84" s="8">
        <v>3</v>
      </c>
      <c r="F84" s="10">
        <f>SUM(B84:E84)</f>
        <v>6</v>
      </c>
      <c r="G84" s="34"/>
      <c r="H84" s="35">
        <v>3</v>
      </c>
      <c r="I84" s="36">
        <v>3</v>
      </c>
      <c r="J84" s="37">
        <v>3</v>
      </c>
      <c r="K84" s="77">
        <f>SUM(G84:J84)</f>
        <v>9</v>
      </c>
      <c r="L84" s="94">
        <f t="shared" si="64"/>
        <v>15</v>
      </c>
      <c r="M84" s="104">
        <v>45766</v>
      </c>
      <c r="N84" s="44" t="s">
        <v>6</v>
      </c>
      <c r="O84" s="38"/>
      <c r="P84" s="39"/>
      <c r="Q84" s="40"/>
      <c r="R84" s="52"/>
      <c r="S84" s="45">
        <f>SUM(O84:R84)</f>
        <v>0</v>
      </c>
      <c r="T84" s="122"/>
      <c r="U84" s="123"/>
      <c r="V84" s="124"/>
      <c r="W84" s="125"/>
      <c r="X84" s="45">
        <f>SUM(T84:W84)</f>
        <v>0</v>
      </c>
      <c r="Y84" s="94">
        <f t="shared" ref="Y84" si="75">S84+X84</f>
        <v>0</v>
      </c>
    </row>
    <row r="85" spans="1:27" ht="14.25" thickBot="1" x14ac:dyDescent="0.2">
      <c r="A85" s="13" t="s">
        <v>7</v>
      </c>
      <c r="B85" s="55">
        <f t="shared" ref="B85:K85" si="76">SUM(B80:B84)</f>
        <v>7</v>
      </c>
      <c r="C85" s="56">
        <f t="shared" si="76"/>
        <v>8</v>
      </c>
      <c r="D85" s="57">
        <f t="shared" si="76"/>
        <v>6</v>
      </c>
      <c r="E85" s="58">
        <f t="shared" si="76"/>
        <v>8</v>
      </c>
      <c r="F85" s="59">
        <f t="shared" si="76"/>
        <v>29</v>
      </c>
      <c r="G85" s="24">
        <f t="shared" si="76"/>
        <v>7</v>
      </c>
      <c r="H85" s="30">
        <f t="shared" si="76"/>
        <v>10</v>
      </c>
      <c r="I85" s="25">
        <f t="shared" si="76"/>
        <v>9</v>
      </c>
      <c r="J85" s="60">
        <f t="shared" si="76"/>
        <v>8</v>
      </c>
      <c r="K85" s="78">
        <f t="shared" si="76"/>
        <v>34</v>
      </c>
      <c r="L85" s="85">
        <f>F85+K85</f>
        <v>63</v>
      </c>
      <c r="N85" s="13" t="s">
        <v>7</v>
      </c>
      <c r="O85" s="24">
        <f t="shared" ref="O85:X85" si="77">SUM(O80:O84)</f>
        <v>70</v>
      </c>
      <c r="P85" s="30">
        <f t="shared" si="77"/>
        <v>80</v>
      </c>
      <c r="Q85" s="25">
        <f t="shared" si="77"/>
        <v>85</v>
      </c>
      <c r="R85" s="60">
        <f t="shared" si="77"/>
        <v>61</v>
      </c>
      <c r="S85" s="59">
        <f t="shared" si="77"/>
        <v>296</v>
      </c>
      <c r="T85" s="24">
        <f t="shared" si="77"/>
        <v>68</v>
      </c>
      <c r="U85" s="30">
        <f t="shared" si="77"/>
        <v>67</v>
      </c>
      <c r="V85" s="25">
        <f t="shared" si="77"/>
        <v>86</v>
      </c>
      <c r="W85" s="60">
        <f t="shared" si="77"/>
        <v>49</v>
      </c>
      <c r="X85" s="61">
        <f t="shared" si="77"/>
        <v>270</v>
      </c>
      <c r="Y85" s="85">
        <f>S85+X85</f>
        <v>566</v>
      </c>
    </row>
    <row r="86" spans="1:27" x14ac:dyDescent="0.15">
      <c r="A86" s="44" t="s">
        <v>76</v>
      </c>
      <c r="B86" s="38"/>
      <c r="C86" s="39"/>
      <c r="D86" s="40"/>
      <c r="E86" s="41">
        <v>1</v>
      </c>
      <c r="F86" s="62">
        <f t="shared" ref="F86:F110" si="78">SUM(B86:E86)</f>
        <v>1</v>
      </c>
      <c r="G86" s="15"/>
      <c r="H86" s="28"/>
      <c r="I86" s="16">
        <v>1</v>
      </c>
      <c r="J86" s="31"/>
      <c r="K86" s="79">
        <f t="shared" ref="K86:K91" si="79">SUM(G86:J86)</f>
        <v>1</v>
      </c>
      <c r="L86" s="101">
        <f>F86+K86</f>
        <v>2</v>
      </c>
      <c r="M86" s="105">
        <v>45756</v>
      </c>
      <c r="N86" s="44" t="s">
        <v>92</v>
      </c>
      <c r="O86" s="38"/>
      <c r="P86" s="39"/>
      <c r="Q86" s="40">
        <v>1</v>
      </c>
      <c r="R86" s="41"/>
      <c r="S86" s="62">
        <f t="shared" ref="S86:S105" si="80">SUM(O86:R86)</f>
        <v>1</v>
      </c>
      <c r="T86" s="15">
        <v>1</v>
      </c>
      <c r="U86" s="28"/>
      <c r="V86" s="16">
        <v>1</v>
      </c>
      <c r="W86" s="31">
        <v>1</v>
      </c>
      <c r="X86" s="9">
        <f t="shared" ref="X86:X91" si="81">SUM(T86:W86)</f>
        <v>3</v>
      </c>
      <c r="Y86" s="101">
        <f>S86+X86</f>
        <v>4</v>
      </c>
      <c r="Z86" s="104">
        <v>45770</v>
      </c>
    </row>
    <row r="87" spans="1:27" x14ac:dyDescent="0.15">
      <c r="A87" s="44" t="s">
        <v>27</v>
      </c>
      <c r="B87" s="15"/>
      <c r="C87" s="28"/>
      <c r="D87" s="16"/>
      <c r="E87" s="19"/>
      <c r="F87" s="42">
        <f t="shared" si="78"/>
        <v>0</v>
      </c>
      <c r="G87" s="15"/>
      <c r="H87" s="28"/>
      <c r="I87" s="16"/>
      <c r="J87" s="31">
        <v>2</v>
      </c>
      <c r="K87" s="79">
        <f t="shared" si="79"/>
        <v>2</v>
      </c>
      <c r="L87" s="94">
        <f>F87+K87</f>
        <v>2</v>
      </c>
      <c r="M87" s="105">
        <v>45755</v>
      </c>
      <c r="N87" s="121" t="s">
        <v>100</v>
      </c>
      <c r="O87" s="15"/>
      <c r="P87" s="28"/>
      <c r="Q87" s="16">
        <v>7</v>
      </c>
      <c r="R87" s="19"/>
      <c r="S87" s="42">
        <f t="shared" si="80"/>
        <v>7</v>
      </c>
      <c r="T87" s="15"/>
      <c r="U87" s="28"/>
      <c r="V87" s="16">
        <v>7</v>
      </c>
      <c r="W87" s="31"/>
      <c r="X87" s="9">
        <f t="shared" si="81"/>
        <v>7</v>
      </c>
      <c r="Y87" s="94">
        <f>S87+X87</f>
        <v>14</v>
      </c>
      <c r="Z87" s="104">
        <v>45772</v>
      </c>
    </row>
    <row r="88" spans="1:27" x14ac:dyDescent="0.15">
      <c r="A88" s="44" t="s">
        <v>78</v>
      </c>
      <c r="B88" s="15"/>
      <c r="C88" s="28"/>
      <c r="D88" s="16">
        <v>1</v>
      </c>
      <c r="E88" s="19"/>
      <c r="F88" s="42">
        <f t="shared" si="78"/>
        <v>1</v>
      </c>
      <c r="G88" s="15"/>
      <c r="H88" s="28"/>
      <c r="I88" s="16"/>
      <c r="J88" s="31"/>
      <c r="K88" s="79">
        <f t="shared" si="79"/>
        <v>0</v>
      </c>
      <c r="L88" s="94">
        <f>F88+K88</f>
        <v>1</v>
      </c>
      <c r="M88" s="104">
        <v>45761</v>
      </c>
      <c r="N88" s="44" t="s">
        <v>94</v>
      </c>
      <c r="O88" s="15">
        <v>5</v>
      </c>
      <c r="P88" s="28">
        <v>5</v>
      </c>
      <c r="Q88" s="16">
        <v>5</v>
      </c>
      <c r="R88" s="19">
        <v>5</v>
      </c>
      <c r="S88" s="42">
        <f t="shared" si="80"/>
        <v>20</v>
      </c>
      <c r="T88" s="15">
        <v>5</v>
      </c>
      <c r="U88" s="28">
        <v>5</v>
      </c>
      <c r="V88" s="16">
        <v>5</v>
      </c>
      <c r="W88" s="31">
        <v>5</v>
      </c>
      <c r="X88" s="9">
        <f t="shared" si="81"/>
        <v>20</v>
      </c>
      <c r="Y88" s="94">
        <f>S88+X88</f>
        <v>40</v>
      </c>
      <c r="Z88" s="104">
        <v>45772</v>
      </c>
    </row>
    <row r="89" spans="1:27" x14ac:dyDescent="0.15">
      <c r="A89" s="44" t="s">
        <v>27</v>
      </c>
      <c r="B89" s="15"/>
      <c r="C89" s="28"/>
      <c r="D89" s="16"/>
      <c r="E89" s="19"/>
      <c r="F89" s="42">
        <f t="shared" si="78"/>
        <v>0</v>
      </c>
      <c r="G89" s="15"/>
      <c r="H89" s="28">
        <v>1</v>
      </c>
      <c r="I89" s="16">
        <v>1</v>
      </c>
      <c r="J89" s="31"/>
      <c r="K89" s="79">
        <f t="shared" si="79"/>
        <v>2</v>
      </c>
      <c r="L89" s="94">
        <f t="shared" ref="L89:L112" si="82">F89+K89</f>
        <v>2</v>
      </c>
      <c r="M89" s="104">
        <v>45758</v>
      </c>
      <c r="N89" s="44" t="s">
        <v>95</v>
      </c>
      <c r="O89" s="15"/>
      <c r="P89" s="28">
        <v>1</v>
      </c>
      <c r="Q89" s="16">
        <v>1</v>
      </c>
      <c r="R89" s="19">
        <v>2</v>
      </c>
      <c r="S89" s="42">
        <f t="shared" si="80"/>
        <v>4</v>
      </c>
      <c r="T89" s="15">
        <v>2</v>
      </c>
      <c r="U89" s="28">
        <v>2</v>
      </c>
      <c r="V89" s="16">
        <v>1</v>
      </c>
      <c r="W89" s="31"/>
      <c r="X89" s="9">
        <f t="shared" si="81"/>
        <v>5</v>
      </c>
      <c r="Y89" s="94">
        <f t="shared" ref="Y89:Y112" si="83">S89+X89</f>
        <v>9</v>
      </c>
      <c r="Z89" s="104">
        <v>45775</v>
      </c>
    </row>
    <row r="90" spans="1:27" x14ac:dyDescent="0.15">
      <c r="A90" s="44" t="s">
        <v>84</v>
      </c>
      <c r="B90" s="15">
        <v>1</v>
      </c>
      <c r="C90" s="28"/>
      <c r="D90" s="16"/>
      <c r="E90" s="19"/>
      <c r="F90" s="42">
        <f t="shared" si="78"/>
        <v>1</v>
      </c>
      <c r="G90" s="15"/>
      <c r="H90" s="28"/>
      <c r="I90" s="16"/>
      <c r="J90" s="31"/>
      <c r="K90" s="79">
        <f t="shared" si="79"/>
        <v>0</v>
      </c>
      <c r="L90" s="94">
        <f t="shared" si="82"/>
        <v>1</v>
      </c>
      <c r="M90" s="104">
        <v>45763</v>
      </c>
      <c r="N90" s="44" t="s">
        <v>101</v>
      </c>
      <c r="O90" s="15">
        <v>5</v>
      </c>
      <c r="P90" s="28">
        <v>5</v>
      </c>
      <c r="Q90" s="16">
        <v>5</v>
      </c>
      <c r="R90" s="19">
        <v>5</v>
      </c>
      <c r="S90" s="42">
        <f t="shared" si="80"/>
        <v>20</v>
      </c>
      <c r="T90" s="15">
        <v>5</v>
      </c>
      <c r="U90" s="28">
        <v>5</v>
      </c>
      <c r="V90" s="16">
        <v>5</v>
      </c>
      <c r="W90" s="31">
        <v>5</v>
      </c>
      <c r="X90" s="9">
        <f t="shared" si="81"/>
        <v>20</v>
      </c>
      <c r="Y90" s="94">
        <f t="shared" si="83"/>
        <v>40</v>
      </c>
      <c r="Z90" s="104">
        <v>45775</v>
      </c>
    </row>
    <row r="91" spans="1:27" x14ac:dyDescent="0.15">
      <c r="A91" s="135" t="s">
        <v>85</v>
      </c>
      <c r="B91" s="15"/>
      <c r="C91" s="28"/>
      <c r="D91" s="16"/>
      <c r="E91" s="19"/>
      <c r="F91" s="42">
        <f t="shared" si="78"/>
        <v>0</v>
      </c>
      <c r="G91" s="15"/>
      <c r="H91" s="28">
        <v>3</v>
      </c>
      <c r="I91" s="16"/>
      <c r="J91" s="31"/>
      <c r="K91" s="9">
        <f t="shared" si="79"/>
        <v>3</v>
      </c>
      <c r="L91" s="94">
        <f t="shared" si="82"/>
        <v>3</v>
      </c>
      <c r="M91" s="104">
        <v>45765</v>
      </c>
      <c r="N91" s="44" t="s">
        <v>102</v>
      </c>
      <c r="O91" s="15"/>
      <c r="P91" s="28">
        <v>6</v>
      </c>
      <c r="Q91" s="16"/>
      <c r="R91" s="19">
        <v>5</v>
      </c>
      <c r="S91" s="42">
        <f t="shared" si="80"/>
        <v>11</v>
      </c>
      <c r="T91" s="15"/>
      <c r="U91" s="28"/>
      <c r="V91" s="16"/>
      <c r="W91" s="31"/>
      <c r="X91" s="9">
        <f t="shared" si="81"/>
        <v>0</v>
      </c>
      <c r="Y91" s="94">
        <f t="shared" si="83"/>
        <v>11</v>
      </c>
      <c r="Z91" s="104">
        <v>45777</v>
      </c>
    </row>
    <row r="92" spans="1:27" x14ac:dyDescent="0.15">
      <c r="A92" s="44" t="s">
        <v>87</v>
      </c>
      <c r="B92" s="15">
        <v>1</v>
      </c>
      <c r="C92" s="28"/>
      <c r="D92" s="16">
        <v>1</v>
      </c>
      <c r="E92" s="19"/>
      <c r="F92" s="42">
        <f t="shared" si="78"/>
        <v>2</v>
      </c>
      <c r="G92" s="15"/>
      <c r="H92" s="28"/>
      <c r="I92" s="16"/>
      <c r="J92" s="31"/>
      <c r="K92" s="79">
        <f>SUM(G92:J92)</f>
        <v>0</v>
      </c>
      <c r="L92" s="94">
        <f t="shared" si="82"/>
        <v>2</v>
      </c>
      <c r="M92" s="104">
        <v>45765</v>
      </c>
      <c r="N92" s="44" t="s">
        <v>131</v>
      </c>
      <c r="O92" s="15">
        <v>2</v>
      </c>
      <c r="P92" s="28"/>
      <c r="Q92" s="16"/>
      <c r="R92" s="19"/>
      <c r="S92" s="42">
        <f t="shared" si="80"/>
        <v>2</v>
      </c>
      <c r="T92" s="15"/>
      <c r="U92" s="28"/>
      <c r="V92" s="16"/>
      <c r="W92" s="31"/>
      <c r="X92" s="9">
        <f>SUM(T92:W92)</f>
        <v>0</v>
      </c>
      <c r="Y92" s="94">
        <f t="shared" si="83"/>
        <v>2</v>
      </c>
      <c r="Z92" s="104">
        <v>45784</v>
      </c>
    </row>
    <row r="93" spans="1:27" x14ac:dyDescent="0.15">
      <c r="A93" s="44" t="s">
        <v>89</v>
      </c>
      <c r="B93" s="15"/>
      <c r="C93" s="28">
        <v>2</v>
      </c>
      <c r="D93" s="16"/>
      <c r="E93" s="19"/>
      <c r="F93" s="42">
        <f t="shared" si="78"/>
        <v>2</v>
      </c>
      <c r="G93" s="15"/>
      <c r="H93" s="28">
        <v>1</v>
      </c>
      <c r="I93" s="16"/>
      <c r="J93" s="31"/>
      <c r="K93" s="79">
        <f t="shared" ref="K93:K97" si="84">SUM(G93:J93)</f>
        <v>1</v>
      </c>
      <c r="L93" s="94">
        <f t="shared" si="82"/>
        <v>3</v>
      </c>
      <c r="M93" s="104">
        <v>45765</v>
      </c>
      <c r="N93" s="44" t="s">
        <v>107</v>
      </c>
      <c r="O93" s="15"/>
      <c r="P93" s="28"/>
      <c r="Q93" s="16">
        <v>3</v>
      </c>
      <c r="R93" s="19"/>
      <c r="S93" s="42">
        <f t="shared" si="80"/>
        <v>3</v>
      </c>
      <c r="T93" s="15"/>
      <c r="U93" s="28"/>
      <c r="V93" s="16"/>
      <c r="W93" s="31"/>
      <c r="X93" s="9">
        <f t="shared" ref="X93:X97" si="85">SUM(T93:W93)</f>
        <v>0</v>
      </c>
      <c r="Y93" s="94">
        <f t="shared" si="83"/>
        <v>3</v>
      </c>
      <c r="Z93" s="104">
        <v>45779</v>
      </c>
    </row>
    <row r="94" spans="1:27" x14ac:dyDescent="0.15">
      <c r="A94" s="44" t="s">
        <v>90</v>
      </c>
      <c r="B94" s="15"/>
      <c r="C94" s="28">
        <v>1</v>
      </c>
      <c r="D94" s="16"/>
      <c r="E94" s="19">
        <v>1</v>
      </c>
      <c r="F94" s="42">
        <f t="shared" si="78"/>
        <v>2</v>
      </c>
      <c r="G94" s="15"/>
      <c r="H94" s="28"/>
      <c r="I94" s="16">
        <v>1</v>
      </c>
      <c r="J94" s="31"/>
      <c r="K94" s="79">
        <f t="shared" si="84"/>
        <v>1</v>
      </c>
      <c r="L94" s="94">
        <f t="shared" si="82"/>
        <v>3</v>
      </c>
      <c r="M94" s="104">
        <v>45768</v>
      </c>
      <c r="N94" s="44" t="s">
        <v>26</v>
      </c>
      <c r="O94" s="15"/>
      <c r="P94" s="28"/>
      <c r="Q94" s="16"/>
      <c r="R94" s="19"/>
      <c r="S94" s="42">
        <f t="shared" si="80"/>
        <v>0</v>
      </c>
      <c r="T94" s="15"/>
      <c r="U94" s="28">
        <v>3</v>
      </c>
      <c r="V94" s="16"/>
      <c r="W94" s="31">
        <v>3</v>
      </c>
      <c r="X94" s="9">
        <f t="shared" si="85"/>
        <v>6</v>
      </c>
      <c r="Y94" s="94">
        <f t="shared" si="83"/>
        <v>6</v>
      </c>
      <c r="Z94" s="104">
        <v>45784</v>
      </c>
    </row>
    <row r="95" spans="1:27" x14ac:dyDescent="0.15">
      <c r="A95" s="44" t="s">
        <v>27</v>
      </c>
      <c r="B95" s="15"/>
      <c r="C95" s="28"/>
      <c r="D95" s="16"/>
      <c r="E95" s="19"/>
      <c r="F95" s="42">
        <f t="shared" si="78"/>
        <v>0</v>
      </c>
      <c r="G95" s="15"/>
      <c r="H95" s="28"/>
      <c r="I95" s="16"/>
      <c r="J95" s="31">
        <v>1</v>
      </c>
      <c r="K95" s="79">
        <f t="shared" si="84"/>
        <v>1</v>
      </c>
      <c r="L95" s="94">
        <f t="shared" si="82"/>
        <v>1</v>
      </c>
      <c r="M95" s="104">
        <v>45765</v>
      </c>
      <c r="N95" s="44" t="s">
        <v>26</v>
      </c>
      <c r="O95" s="15"/>
      <c r="P95" s="28">
        <v>3</v>
      </c>
      <c r="Q95" s="16">
        <v>3</v>
      </c>
      <c r="R95" s="19">
        <v>3</v>
      </c>
      <c r="S95" s="42">
        <f>SUM(O95:R95)</f>
        <v>9</v>
      </c>
      <c r="T95" s="15"/>
      <c r="U95" s="28"/>
      <c r="V95" s="16"/>
      <c r="W95" s="31"/>
      <c r="X95" s="9">
        <f>SUM(T95:W95)</f>
        <v>0</v>
      </c>
      <c r="Y95" s="94">
        <f t="shared" si="83"/>
        <v>9</v>
      </c>
      <c r="Z95" s="104">
        <v>45786</v>
      </c>
      <c r="AA95" s="109"/>
    </row>
    <row r="96" spans="1:27" x14ac:dyDescent="0.15">
      <c r="A96" s="44" t="s">
        <v>27</v>
      </c>
      <c r="B96" s="15"/>
      <c r="C96" s="28"/>
      <c r="D96" s="16"/>
      <c r="E96" s="19"/>
      <c r="F96" s="42">
        <f t="shared" si="78"/>
        <v>0</v>
      </c>
      <c r="G96" s="15">
        <v>1</v>
      </c>
      <c r="H96" s="28"/>
      <c r="I96" s="16"/>
      <c r="J96" s="31"/>
      <c r="K96" s="79">
        <f t="shared" si="84"/>
        <v>1</v>
      </c>
      <c r="L96" s="94">
        <f t="shared" si="82"/>
        <v>1</v>
      </c>
      <c r="M96" s="104">
        <v>45768</v>
      </c>
      <c r="N96" s="121" t="s">
        <v>121</v>
      </c>
      <c r="O96" s="15"/>
      <c r="P96" s="28"/>
      <c r="Q96" s="16"/>
      <c r="R96" s="19"/>
      <c r="S96" s="42">
        <f t="shared" si="80"/>
        <v>0</v>
      </c>
      <c r="T96" s="15"/>
      <c r="U96" s="28">
        <v>7</v>
      </c>
      <c r="V96" s="16"/>
      <c r="W96" s="31">
        <v>2</v>
      </c>
      <c r="X96" s="9">
        <f t="shared" si="85"/>
        <v>9</v>
      </c>
      <c r="Y96" s="94">
        <f t="shared" si="83"/>
        <v>9</v>
      </c>
      <c r="Z96" s="104">
        <v>45793</v>
      </c>
      <c r="AA96" s="109"/>
    </row>
    <row r="97" spans="1:26" x14ac:dyDescent="0.15">
      <c r="A97" s="44" t="s">
        <v>93</v>
      </c>
      <c r="B97" s="15"/>
      <c r="C97" s="28"/>
      <c r="D97" s="16"/>
      <c r="E97" s="19"/>
      <c r="F97" s="42">
        <f t="shared" si="78"/>
        <v>0</v>
      </c>
      <c r="G97" s="15"/>
      <c r="H97" s="28">
        <v>1</v>
      </c>
      <c r="I97" s="16"/>
      <c r="J97" s="31"/>
      <c r="K97" s="79">
        <f t="shared" si="84"/>
        <v>1</v>
      </c>
      <c r="L97" s="94">
        <f t="shared" si="82"/>
        <v>1</v>
      </c>
      <c r="M97" s="104">
        <v>45771</v>
      </c>
      <c r="N97" s="135" t="s">
        <v>115</v>
      </c>
      <c r="O97" s="15"/>
      <c r="P97" s="28"/>
      <c r="Q97" s="16"/>
      <c r="R97" s="19"/>
      <c r="S97" s="42">
        <f t="shared" si="80"/>
        <v>0</v>
      </c>
      <c r="T97" s="15">
        <v>1</v>
      </c>
      <c r="U97" s="28">
        <v>1</v>
      </c>
      <c r="V97" s="16">
        <v>1</v>
      </c>
      <c r="W97" s="31"/>
      <c r="X97" s="9">
        <f t="shared" si="85"/>
        <v>3</v>
      </c>
      <c r="Y97" s="94">
        <f t="shared" si="83"/>
        <v>3</v>
      </c>
      <c r="Z97" s="104">
        <v>45796</v>
      </c>
    </row>
    <row r="98" spans="1:26" x14ac:dyDescent="0.15">
      <c r="A98" s="44" t="s">
        <v>27</v>
      </c>
      <c r="B98" s="15"/>
      <c r="C98" s="28"/>
      <c r="D98" s="16"/>
      <c r="E98" s="19"/>
      <c r="F98" s="42">
        <f t="shared" si="78"/>
        <v>0</v>
      </c>
      <c r="G98" s="15"/>
      <c r="H98" s="28"/>
      <c r="I98" s="16">
        <v>1</v>
      </c>
      <c r="J98" s="31">
        <v>1</v>
      </c>
      <c r="K98" s="79">
        <f>SUM(G98:J98)</f>
        <v>2</v>
      </c>
      <c r="L98" s="94">
        <f t="shared" si="82"/>
        <v>2</v>
      </c>
      <c r="M98" s="104">
        <v>45769</v>
      </c>
      <c r="N98" s="121" t="s">
        <v>123</v>
      </c>
      <c r="O98" s="15">
        <v>3</v>
      </c>
      <c r="P98" s="28"/>
      <c r="Q98" s="16"/>
      <c r="R98" s="19"/>
      <c r="S98" s="42">
        <f t="shared" si="80"/>
        <v>3</v>
      </c>
      <c r="T98" s="15"/>
      <c r="U98" s="28"/>
      <c r="V98" s="16">
        <v>8</v>
      </c>
      <c r="W98" s="31"/>
      <c r="X98" s="9">
        <f>SUM(T98:W98)</f>
        <v>8</v>
      </c>
      <c r="Y98" s="94">
        <f t="shared" si="83"/>
        <v>11</v>
      </c>
      <c r="Z98" s="104">
        <v>45796</v>
      </c>
    </row>
    <row r="99" spans="1:26" x14ac:dyDescent="0.15">
      <c r="A99" s="44" t="s">
        <v>99</v>
      </c>
      <c r="B99" s="15"/>
      <c r="C99" s="28"/>
      <c r="D99" s="16"/>
      <c r="E99" s="19">
        <v>1</v>
      </c>
      <c r="F99" s="42">
        <f t="shared" si="78"/>
        <v>1</v>
      </c>
      <c r="G99" s="15">
        <v>1</v>
      </c>
      <c r="H99" s="28"/>
      <c r="I99" s="16"/>
      <c r="J99" s="31"/>
      <c r="K99" s="79">
        <f>SUM(G99:J99)</f>
        <v>1</v>
      </c>
      <c r="L99" s="94">
        <f t="shared" si="82"/>
        <v>2</v>
      </c>
      <c r="M99" s="104">
        <v>45772</v>
      </c>
      <c r="N99" s="135" t="s">
        <v>124</v>
      </c>
      <c r="O99" s="15"/>
      <c r="P99" s="28"/>
      <c r="Q99" s="16"/>
      <c r="R99" s="19"/>
      <c r="S99" s="42">
        <f t="shared" si="80"/>
        <v>0</v>
      </c>
      <c r="T99" s="15"/>
      <c r="U99" s="28">
        <v>1</v>
      </c>
      <c r="V99" s="16">
        <v>1</v>
      </c>
      <c r="W99" s="31"/>
      <c r="X99" s="9">
        <f>SUM(T99:W99)</f>
        <v>2</v>
      </c>
      <c r="Y99" s="94">
        <f t="shared" si="83"/>
        <v>2</v>
      </c>
      <c r="Z99" s="104">
        <v>45803</v>
      </c>
    </row>
    <row r="100" spans="1:26" x14ac:dyDescent="0.15">
      <c r="A100" s="44" t="s">
        <v>103</v>
      </c>
      <c r="B100" s="15"/>
      <c r="C100" s="28"/>
      <c r="D100" s="16">
        <v>2</v>
      </c>
      <c r="E100" s="19"/>
      <c r="F100" s="42">
        <f t="shared" si="78"/>
        <v>2</v>
      </c>
      <c r="G100" s="15"/>
      <c r="H100" s="28"/>
      <c r="I100" s="16"/>
      <c r="J100" s="31"/>
      <c r="K100" s="79">
        <f t="shared" ref="K100:K103" si="86">SUM(G100:J100)</f>
        <v>0</v>
      </c>
      <c r="L100" s="94">
        <f t="shared" si="82"/>
        <v>2</v>
      </c>
      <c r="M100" s="104">
        <v>45777</v>
      </c>
      <c r="N100" s="44" t="s">
        <v>132</v>
      </c>
      <c r="O100" s="15">
        <v>1</v>
      </c>
      <c r="P100" s="28">
        <v>6</v>
      </c>
      <c r="Q100" s="16">
        <v>3</v>
      </c>
      <c r="R100" s="19">
        <v>7</v>
      </c>
      <c r="S100" s="42">
        <f t="shared" si="80"/>
        <v>17</v>
      </c>
      <c r="T100" s="15"/>
      <c r="U100" s="28">
        <v>5</v>
      </c>
      <c r="V100" s="16">
        <v>4</v>
      </c>
      <c r="W100" s="31">
        <v>1</v>
      </c>
      <c r="X100" s="9">
        <f t="shared" ref="X100:X103" si="87">SUM(T100:W100)</f>
        <v>10</v>
      </c>
      <c r="Y100" s="94">
        <f t="shared" si="83"/>
        <v>27</v>
      </c>
      <c r="Z100" s="104">
        <v>45803</v>
      </c>
    </row>
    <row r="101" spans="1:26" x14ac:dyDescent="0.15">
      <c r="A101" s="44" t="s">
        <v>104</v>
      </c>
      <c r="B101" s="15"/>
      <c r="C101" s="28"/>
      <c r="D101" s="16"/>
      <c r="E101" s="19"/>
      <c r="F101" s="42">
        <f t="shared" si="78"/>
        <v>0</v>
      </c>
      <c r="G101" s="15"/>
      <c r="H101" s="28">
        <v>1</v>
      </c>
      <c r="I101" s="16"/>
      <c r="J101" s="31"/>
      <c r="K101" s="79">
        <f t="shared" si="86"/>
        <v>1</v>
      </c>
      <c r="L101" s="94">
        <f t="shared" si="82"/>
        <v>1</v>
      </c>
      <c r="M101" s="104">
        <v>45779</v>
      </c>
      <c r="N101" s="121" t="s">
        <v>129</v>
      </c>
      <c r="O101" s="15"/>
      <c r="P101" s="28"/>
      <c r="Q101" s="16"/>
      <c r="R101" s="19"/>
      <c r="S101" s="42">
        <f t="shared" si="80"/>
        <v>0</v>
      </c>
      <c r="T101" s="15"/>
      <c r="U101" s="28"/>
      <c r="V101" s="16"/>
      <c r="W101" s="31">
        <v>6</v>
      </c>
      <c r="X101" s="9">
        <f t="shared" si="87"/>
        <v>6</v>
      </c>
      <c r="Y101" s="94">
        <f t="shared" si="83"/>
        <v>6</v>
      </c>
      <c r="Z101" s="104">
        <v>45803</v>
      </c>
    </row>
    <row r="102" spans="1:26" x14ac:dyDescent="0.15">
      <c r="A102" s="44" t="s">
        <v>27</v>
      </c>
      <c r="B102" s="15">
        <v>1</v>
      </c>
      <c r="C102" s="28"/>
      <c r="D102" s="16"/>
      <c r="E102" s="19">
        <v>1</v>
      </c>
      <c r="F102" s="42">
        <f t="shared" si="78"/>
        <v>2</v>
      </c>
      <c r="G102" s="15"/>
      <c r="H102" s="28"/>
      <c r="I102" s="16"/>
      <c r="J102" s="31">
        <v>1</v>
      </c>
      <c r="K102" s="79">
        <f t="shared" si="86"/>
        <v>1</v>
      </c>
      <c r="L102" s="94">
        <f t="shared" si="82"/>
        <v>3</v>
      </c>
      <c r="M102" s="104">
        <v>45777</v>
      </c>
      <c r="N102" s="44"/>
      <c r="O102" s="15"/>
      <c r="P102" s="28"/>
      <c r="Q102" s="16"/>
      <c r="R102" s="19"/>
      <c r="S102" s="42">
        <f t="shared" ref="S102:S103" si="88">SUM(O102:R102)</f>
        <v>0</v>
      </c>
      <c r="T102" s="15"/>
      <c r="U102" s="28"/>
      <c r="V102" s="16"/>
      <c r="W102" s="31"/>
      <c r="X102" s="9">
        <f t="shared" si="87"/>
        <v>0</v>
      </c>
      <c r="Y102" s="94">
        <f t="shared" ref="Y102:Y103" si="89">S102+X102</f>
        <v>0</v>
      </c>
    </row>
    <row r="103" spans="1:26" x14ac:dyDescent="0.15">
      <c r="A103" s="44" t="s">
        <v>105</v>
      </c>
      <c r="B103" s="15"/>
      <c r="C103" s="28"/>
      <c r="D103" s="16">
        <v>1</v>
      </c>
      <c r="E103" s="19"/>
      <c r="F103" s="42">
        <f t="shared" si="78"/>
        <v>1</v>
      </c>
      <c r="G103" s="38"/>
      <c r="H103" s="39"/>
      <c r="I103" s="40"/>
      <c r="J103" s="52"/>
      <c r="K103" s="83">
        <f t="shared" si="86"/>
        <v>0</v>
      </c>
      <c r="L103" s="94">
        <f t="shared" si="82"/>
        <v>1</v>
      </c>
      <c r="M103" s="104">
        <v>45779</v>
      </c>
      <c r="N103" s="44"/>
      <c r="O103" s="15"/>
      <c r="P103" s="28"/>
      <c r="Q103" s="16"/>
      <c r="R103" s="19"/>
      <c r="S103" s="42">
        <f t="shared" si="88"/>
        <v>0</v>
      </c>
      <c r="T103" s="15"/>
      <c r="U103" s="28"/>
      <c r="V103" s="16"/>
      <c r="W103" s="31"/>
      <c r="X103" s="9">
        <f t="shared" si="87"/>
        <v>0</v>
      </c>
      <c r="Y103" s="94">
        <f t="shared" si="89"/>
        <v>0</v>
      </c>
    </row>
    <row r="104" spans="1:26" x14ac:dyDescent="0.15">
      <c r="A104" s="44" t="s">
        <v>106</v>
      </c>
      <c r="B104" s="15"/>
      <c r="C104" s="28"/>
      <c r="D104" s="16">
        <v>-3</v>
      </c>
      <c r="E104" s="19"/>
      <c r="F104" s="42">
        <f t="shared" si="78"/>
        <v>-3</v>
      </c>
      <c r="G104" s="15"/>
      <c r="H104" s="28"/>
      <c r="I104" s="16"/>
      <c r="J104" s="31"/>
      <c r="K104" s="79">
        <f>SUM(G104:J104)</f>
        <v>0</v>
      </c>
      <c r="L104" s="94">
        <f t="shared" si="82"/>
        <v>-3</v>
      </c>
      <c r="M104" s="104">
        <v>45779</v>
      </c>
      <c r="N104" s="44"/>
      <c r="O104" s="15"/>
      <c r="P104" s="28"/>
      <c r="Q104" s="16"/>
      <c r="R104" s="19"/>
      <c r="S104" s="42">
        <f t="shared" si="80"/>
        <v>0</v>
      </c>
      <c r="T104" s="15"/>
      <c r="U104" s="28"/>
      <c r="V104" s="16"/>
      <c r="W104" s="31"/>
      <c r="X104" s="9">
        <f>SUM(T104:W104)</f>
        <v>0</v>
      </c>
      <c r="Y104" s="94">
        <f t="shared" si="83"/>
        <v>0</v>
      </c>
    </row>
    <row r="105" spans="1:26" x14ac:dyDescent="0.15">
      <c r="A105" s="44" t="s">
        <v>27</v>
      </c>
      <c r="B105" s="15"/>
      <c r="C105" s="28"/>
      <c r="D105" s="16"/>
      <c r="E105" s="19"/>
      <c r="F105" s="42">
        <f t="shared" si="78"/>
        <v>0</v>
      </c>
      <c r="G105" s="15"/>
      <c r="H105" s="16">
        <v>1</v>
      </c>
      <c r="I105" s="28"/>
      <c r="J105" s="53"/>
      <c r="K105" s="79">
        <f t="shared" ref="K105:K111" si="90">SUM(G105:J105)</f>
        <v>1</v>
      </c>
      <c r="L105" s="94">
        <f t="shared" si="82"/>
        <v>1</v>
      </c>
      <c r="M105" s="104">
        <v>45779</v>
      </c>
      <c r="N105" s="44"/>
      <c r="O105" s="15"/>
      <c r="P105" s="28"/>
      <c r="Q105" s="16"/>
      <c r="R105" s="19"/>
      <c r="S105" s="42">
        <f t="shared" si="80"/>
        <v>0</v>
      </c>
      <c r="T105" s="15"/>
      <c r="U105" s="16"/>
      <c r="V105" s="28"/>
      <c r="W105" s="53"/>
      <c r="X105" s="9">
        <f t="shared" ref="X105:X111" si="91">SUM(T105:W105)</f>
        <v>0</v>
      </c>
      <c r="Y105" s="94">
        <f t="shared" si="83"/>
        <v>0</v>
      </c>
    </row>
    <row r="106" spans="1:26" x14ac:dyDescent="0.15">
      <c r="A106" s="44" t="s">
        <v>63</v>
      </c>
      <c r="B106" s="15"/>
      <c r="C106" s="28"/>
      <c r="D106" s="16"/>
      <c r="E106" s="19"/>
      <c r="F106" s="42">
        <f t="shared" si="78"/>
        <v>0</v>
      </c>
      <c r="G106" s="15"/>
      <c r="H106" s="28">
        <v>-3</v>
      </c>
      <c r="I106" s="16"/>
      <c r="J106" s="31">
        <v>-3</v>
      </c>
      <c r="K106" s="79">
        <f t="shared" si="90"/>
        <v>-6</v>
      </c>
      <c r="L106" s="94">
        <f t="shared" si="82"/>
        <v>-6</v>
      </c>
      <c r="M106" s="104">
        <v>45784</v>
      </c>
      <c r="N106" s="44"/>
      <c r="O106" s="15"/>
      <c r="P106" s="28"/>
      <c r="Q106" s="16"/>
      <c r="R106" s="19"/>
      <c r="S106" s="42">
        <f t="shared" ref="S106:S107" si="92">SUM(O106:R106)</f>
        <v>0</v>
      </c>
      <c r="T106" s="15"/>
      <c r="U106" s="16"/>
      <c r="V106" s="28"/>
      <c r="W106" s="53"/>
      <c r="X106" s="9">
        <f t="shared" ref="X106:X107" si="93">SUM(T106:W106)</f>
        <v>0</v>
      </c>
      <c r="Y106" s="94">
        <f t="shared" ref="Y106:Y107" si="94">S106+X106</f>
        <v>0</v>
      </c>
    </row>
    <row r="107" spans="1:26" x14ac:dyDescent="0.15">
      <c r="A107" s="44" t="s">
        <v>27</v>
      </c>
      <c r="B107" s="15"/>
      <c r="C107" s="28">
        <v>1</v>
      </c>
      <c r="D107" s="16">
        <v>1</v>
      </c>
      <c r="E107" s="19">
        <v>1</v>
      </c>
      <c r="F107" s="42">
        <f t="shared" si="78"/>
        <v>3</v>
      </c>
      <c r="G107" s="38"/>
      <c r="H107" s="39"/>
      <c r="I107" s="40">
        <v>1</v>
      </c>
      <c r="J107" s="52"/>
      <c r="K107" s="83">
        <f t="shared" si="90"/>
        <v>1</v>
      </c>
      <c r="L107" s="94">
        <f t="shared" si="82"/>
        <v>4</v>
      </c>
      <c r="M107" s="104">
        <v>45784</v>
      </c>
      <c r="N107" s="44"/>
      <c r="O107" s="15"/>
      <c r="P107" s="28"/>
      <c r="Q107" s="16"/>
      <c r="R107" s="19"/>
      <c r="S107" s="42">
        <f t="shared" si="92"/>
        <v>0</v>
      </c>
      <c r="T107" s="15"/>
      <c r="U107" s="16"/>
      <c r="V107" s="28"/>
      <c r="W107" s="53"/>
      <c r="X107" s="9">
        <f t="shared" si="93"/>
        <v>0</v>
      </c>
      <c r="Y107" s="94">
        <f t="shared" si="94"/>
        <v>0</v>
      </c>
    </row>
    <row r="108" spans="1:26" x14ac:dyDescent="0.15">
      <c r="A108" s="44" t="s">
        <v>108</v>
      </c>
      <c r="B108" s="15"/>
      <c r="C108" s="28">
        <v>1</v>
      </c>
      <c r="D108" s="16">
        <v>1</v>
      </c>
      <c r="E108" s="19"/>
      <c r="F108" s="42">
        <f t="shared" si="78"/>
        <v>2</v>
      </c>
      <c r="G108" s="15"/>
      <c r="H108" s="28"/>
      <c r="I108" s="16"/>
      <c r="J108" s="31"/>
      <c r="K108" s="79">
        <f t="shared" si="90"/>
        <v>0</v>
      </c>
      <c r="L108" s="94">
        <f t="shared" si="82"/>
        <v>2</v>
      </c>
      <c r="M108" s="104">
        <v>45786</v>
      </c>
      <c r="N108" s="44"/>
      <c r="O108" s="15"/>
      <c r="P108" s="28"/>
      <c r="Q108" s="16"/>
      <c r="R108" s="19"/>
      <c r="S108" s="42">
        <f t="shared" ref="S108" si="95">SUM(O108:R108)</f>
        <v>0</v>
      </c>
      <c r="T108" s="15"/>
      <c r="U108" s="16"/>
      <c r="V108" s="28"/>
      <c r="W108" s="53"/>
      <c r="X108" s="9">
        <f t="shared" ref="X108" si="96">SUM(T108:W108)</f>
        <v>0</v>
      </c>
      <c r="Y108" s="94">
        <f t="shared" ref="Y108" si="97">S108+X108</f>
        <v>0</v>
      </c>
    </row>
    <row r="109" spans="1:26" x14ac:dyDescent="0.15">
      <c r="A109" s="44" t="s">
        <v>109</v>
      </c>
      <c r="B109" s="15"/>
      <c r="C109" s="28">
        <v>-1</v>
      </c>
      <c r="D109" s="16"/>
      <c r="E109" s="19">
        <v>-1</v>
      </c>
      <c r="F109" s="42">
        <f t="shared" si="78"/>
        <v>-2</v>
      </c>
      <c r="G109" s="15"/>
      <c r="H109" s="28"/>
      <c r="I109" s="16"/>
      <c r="J109" s="31"/>
      <c r="K109" s="79">
        <f t="shared" si="90"/>
        <v>0</v>
      </c>
      <c r="L109" s="94">
        <f t="shared" si="82"/>
        <v>-2</v>
      </c>
      <c r="M109" s="105">
        <v>45785</v>
      </c>
      <c r="N109" s="44" t="s">
        <v>110</v>
      </c>
      <c r="O109" s="15"/>
      <c r="P109" s="28"/>
      <c r="Q109" s="16"/>
      <c r="R109" s="19"/>
      <c r="S109" s="42">
        <f t="shared" ref="S109:S110" si="98">SUM(O109:R109)</f>
        <v>0</v>
      </c>
      <c r="T109" s="38"/>
      <c r="U109" s="39"/>
      <c r="V109" s="40"/>
      <c r="W109" s="52"/>
      <c r="X109" s="54">
        <f t="shared" ref="X109:X110" si="99">SUM(T109:W109)</f>
        <v>0</v>
      </c>
      <c r="Y109" s="94">
        <f t="shared" ref="Y109:Y110" si="100">S109+X109</f>
        <v>0</v>
      </c>
      <c r="Z109" s="103" t="s">
        <v>111</v>
      </c>
    </row>
    <row r="110" spans="1:26" ht="14.25" thickBot="1" x14ac:dyDescent="0.2">
      <c r="A110" s="44" t="s">
        <v>27</v>
      </c>
      <c r="B110" s="34"/>
      <c r="C110" s="35"/>
      <c r="D110" s="36"/>
      <c r="E110" s="37">
        <v>1</v>
      </c>
      <c r="F110" s="42">
        <f t="shared" si="78"/>
        <v>1</v>
      </c>
      <c r="G110" s="34"/>
      <c r="H110" s="36"/>
      <c r="I110" s="35"/>
      <c r="J110" s="64">
        <v>1</v>
      </c>
      <c r="K110" s="80">
        <f t="shared" si="90"/>
        <v>1</v>
      </c>
      <c r="L110" s="106">
        <f t="shared" si="82"/>
        <v>2</v>
      </c>
      <c r="M110" s="105">
        <v>45790</v>
      </c>
      <c r="N110" s="11" t="s">
        <v>65</v>
      </c>
      <c r="O110" s="15"/>
      <c r="P110" s="28"/>
      <c r="Q110" s="16"/>
      <c r="R110" s="19"/>
      <c r="S110" s="42">
        <f t="shared" si="98"/>
        <v>0</v>
      </c>
      <c r="T110" s="15"/>
      <c r="U110" s="28"/>
      <c r="V110" s="16"/>
      <c r="W110" s="19"/>
      <c r="X110" s="9">
        <f t="shared" si="99"/>
        <v>0</v>
      </c>
      <c r="Y110" s="126">
        <f t="shared" si="100"/>
        <v>0</v>
      </c>
      <c r="Z110" s="133" t="s">
        <v>70</v>
      </c>
    </row>
    <row r="111" spans="1:26" ht="14.25" thickBot="1" x14ac:dyDescent="0.2">
      <c r="A111" s="12" t="s">
        <v>8</v>
      </c>
      <c r="B111" s="21">
        <f>SUM(B86:B110)</f>
        <v>3</v>
      </c>
      <c r="C111" s="29">
        <f>SUM(C86:C110)</f>
        <v>4</v>
      </c>
      <c r="D111" s="22">
        <f>SUM(D86:D110)</f>
        <v>4</v>
      </c>
      <c r="E111" s="23">
        <f>SUM(E86:E110)</f>
        <v>5</v>
      </c>
      <c r="F111" s="20">
        <f>SUM(B111:E111)</f>
        <v>16</v>
      </c>
      <c r="G111" s="21">
        <f>SUM(G86:G110)</f>
        <v>2</v>
      </c>
      <c r="H111" s="29">
        <f>SUM(H86:H110)</f>
        <v>5</v>
      </c>
      <c r="I111" s="22">
        <f>SUM(I86:I110)</f>
        <v>5</v>
      </c>
      <c r="J111" s="23">
        <f>SUM(J86:J110)</f>
        <v>3</v>
      </c>
      <c r="K111" s="81">
        <f t="shared" si="90"/>
        <v>15</v>
      </c>
      <c r="L111" s="107">
        <f t="shared" si="82"/>
        <v>31</v>
      </c>
      <c r="N111" s="12" t="s">
        <v>8</v>
      </c>
      <c r="O111" s="128">
        <f>SUM(O86:O110)</f>
        <v>16</v>
      </c>
      <c r="P111" s="129">
        <f>SUM(P86:P110)</f>
        <v>26</v>
      </c>
      <c r="Q111" s="130">
        <f>SUM(Q86:Q110)</f>
        <v>28</v>
      </c>
      <c r="R111" s="131">
        <f>SUM(R86:R110)</f>
        <v>27</v>
      </c>
      <c r="S111" s="20">
        <f>SUM(O111:R111)</f>
        <v>97</v>
      </c>
      <c r="T111" s="128">
        <f>SUM(T86:T110)</f>
        <v>14</v>
      </c>
      <c r="U111" s="129">
        <f>SUM(U86:U110)</f>
        <v>29</v>
      </c>
      <c r="V111" s="130">
        <f>SUM(V86:V110)</f>
        <v>33</v>
      </c>
      <c r="W111" s="131">
        <f>SUM(W86:W110)</f>
        <v>23</v>
      </c>
      <c r="X111" s="20">
        <f t="shared" si="91"/>
        <v>99</v>
      </c>
      <c r="Y111" s="107">
        <f t="shared" si="83"/>
        <v>196</v>
      </c>
    </row>
    <row r="112" spans="1:26" ht="14.25" thickBot="1" x14ac:dyDescent="0.2">
      <c r="A112" s="13" t="s">
        <v>9</v>
      </c>
      <c r="B112" s="24">
        <f t="shared" ref="B112:K112" si="101">B85-B111</f>
        <v>4</v>
      </c>
      <c r="C112" s="30">
        <f t="shared" si="101"/>
        <v>4</v>
      </c>
      <c r="D112" s="25">
        <f t="shared" si="101"/>
        <v>2</v>
      </c>
      <c r="E112" s="26">
        <f t="shared" si="101"/>
        <v>3</v>
      </c>
      <c r="F112" s="71">
        <f t="shared" si="101"/>
        <v>13</v>
      </c>
      <c r="G112" s="24">
        <f t="shared" si="101"/>
        <v>5</v>
      </c>
      <c r="H112" s="30">
        <f t="shared" si="101"/>
        <v>5</v>
      </c>
      <c r="I112" s="25">
        <f t="shared" si="101"/>
        <v>4</v>
      </c>
      <c r="J112" s="26">
        <f t="shared" si="101"/>
        <v>5</v>
      </c>
      <c r="K112" s="82">
        <f t="shared" si="101"/>
        <v>19</v>
      </c>
      <c r="L112" s="86">
        <f t="shared" si="82"/>
        <v>32</v>
      </c>
      <c r="N112" s="13" t="s">
        <v>9</v>
      </c>
      <c r="O112" s="24">
        <f t="shared" ref="O112:X112" si="102">O85-O111</f>
        <v>54</v>
      </c>
      <c r="P112" s="30">
        <f t="shared" si="102"/>
        <v>54</v>
      </c>
      <c r="Q112" s="25">
        <f t="shared" si="102"/>
        <v>57</v>
      </c>
      <c r="R112" s="26">
        <f t="shared" si="102"/>
        <v>34</v>
      </c>
      <c r="S112" s="71">
        <f t="shared" si="102"/>
        <v>199</v>
      </c>
      <c r="T112" s="24">
        <f t="shared" si="102"/>
        <v>54</v>
      </c>
      <c r="U112" s="30">
        <f t="shared" si="102"/>
        <v>38</v>
      </c>
      <c r="V112" s="25">
        <f t="shared" si="102"/>
        <v>53</v>
      </c>
      <c r="W112" s="26">
        <f t="shared" si="102"/>
        <v>26</v>
      </c>
      <c r="X112" s="33">
        <f t="shared" si="102"/>
        <v>171</v>
      </c>
      <c r="Y112" s="86">
        <f t="shared" si="83"/>
        <v>370</v>
      </c>
    </row>
    <row r="113" spans="1:27" x14ac:dyDescent="0.15">
      <c r="O113" s="51">
        <f>O112/$S$112*100</f>
        <v>27.1356783919598</v>
      </c>
      <c r="P113" s="51">
        <f t="shared" ref="P113:S113" si="103">P112/$S$112*100</f>
        <v>27.1356783919598</v>
      </c>
      <c r="Q113" s="51">
        <f t="shared" si="103"/>
        <v>28.643216080402013</v>
      </c>
      <c r="R113" s="51">
        <f t="shared" si="103"/>
        <v>17.08542713567839</v>
      </c>
      <c r="S113" s="51">
        <f t="shared" si="103"/>
        <v>100</v>
      </c>
      <c r="T113" s="51">
        <f>T112/$X$112*100</f>
        <v>31.578947368421051</v>
      </c>
      <c r="U113" s="51">
        <f t="shared" ref="U113:X113" si="104">U112/$X$112*100</f>
        <v>22.222222222222221</v>
      </c>
      <c r="V113" s="51">
        <f t="shared" si="104"/>
        <v>30.994152046783626</v>
      </c>
      <c r="W113" s="51">
        <f t="shared" si="104"/>
        <v>15.204678362573098</v>
      </c>
      <c r="X113" s="51">
        <f t="shared" si="104"/>
        <v>100</v>
      </c>
    </row>
    <row r="114" spans="1:27" x14ac:dyDescent="0.15">
      <c r="S114">
        <v>650</v>
      </c>
      <c r="X114">
        <v>800</v>
      </c>
    </row>
    <row r="115" spans="1:27" ht="19.5" thickBot="1" x14ac:dyDescent="0.25">
      <c r="A115" s="2" t="s">
        <v>15</v>
      </c>
      <c r="B115" s="2"/>
      <c r="C115" s="1"/>
      <c r="D115" s="1"/>
      <c r="E115" s="1"/>
      <c r="G115" s="72"/>
      <c r="H115" s="1"/>
      <c r="I115" s="1"/>
      <c r="J115" s="1"/>
      <c r="K115" s="72" t="s">
        <v>12</v>
      </c>
      <c r="N115" s="2" t="s">
        <v>16</v>
      </c>
      <c r="O115" s="2"/>
      <c r="P115" s="1"/>
      <c r="Q115" s="1"/>
      <c r="R115" s="1"/>
      <c r="U115" s="1"/>
      <c r="V115" s="1"/>
      <c r="W115" s="1"/>
      <c r="X115" s="72" t="s">
        <v>12</v>
      </c>
    </row>
    <row r="116" spans="1:27" ht="14.25" thickBot="1" x14ac:dyDescent="0.2">
      <c r="A116" s="5" t="s">
        <v>0</v>
      </c>
      <c r="B116" s="245" t="s">
        <v>34</v>
      </c>
      <c r="C116" s="246"/>
      <c r="D116" s="246"/>
      <c r="E116" s="246"/>
      <c r="F116" s="247"/>
      <c r="G116" s="248" t="s">
        <v>35</v>
      </c>
      <c r="H116" s="249"/>
      <c r="I116" s="249"/>
      <c r="J116" s="249"/>
      <c r="K116" s="249"/>
      <c r="L116" s="243" t="s">
        <v>14</v>
      </c>
      <c r="N116" s="5" t="s">
        <v>0</v>
      </c>
      <c r="O116" s="245" t="s">
        <v>58</v>
      </c>
      <c r="P116" s="246"/>
      <c r="Q116" s="246"/>
      <c r="R116" s="246"/>
      <c r="S116" s="247"/>
      <c r="T116" s="248" t="s">
        <v>59</v>
      </c>
      <c r="U116" s="249"/>
      <c r="V116" s="249"/>
      <c r="W116" s="249"/>
      <c r="X116" s="249"/>
      <c r="Y116" s="243" t="s">
        <v>14</v>
      </c>
    </row>
    <row r="117" spans="1:27" ht="14.25" thickBot="1" x14ac:dyDescent="0.2">
      <c r="A117" s="5" t="s">
        <v>1</v>
      </c>
      <c r="B117" s="3" t="s">
        <v>17</v>
      </c>
      <c r="C117" s="27" t="s">
        <v>18</v>
      </c>
      <c r="D117" s="4" t="s">
        <v>19</v>
      </c>
      <c r="E117" s="14" t="s">
        <v>20</v>
      </c>
      <c r="F117" s="18" t="s">
        <v>2</v>
      </c>
      <c r="G117" s="3" t="s">
        <v>17</v>
      </c>
      <c r="H117" s="27" t="s">
        <v>18</v>
      </c>
      <c r="I117" s="4" t="s">
        <v>19</v>
      </c>
      <c r="J117" s="14" t="s">
        <v>20</v>
      </c>
      <c r="K117" s="73" t="s">
        <v>2</v>
      </c>
      <c r="L117" s="244"/>
      <c r="N117" s="5" t="s">
        <v>1</v>
      </c>
      <c r="O117" s="3" t="s">
        <v>17</v>
      </c>
      <c r="P117" s="27" t="s">
        <v>18</v>
      </c>
      <c r="Q117" s="4" t="s">
        <v>19</v>
      </c>
      <c r="R117" s="14" t="s">
        <v>20</v>
      </c>
      <c r="S117" s="18" t="s">
        <v>2</v>
      </c>
      <c r="T117" s="3" t="s">
        <v>17</v>
      </c>
      <c r="U117" s="27" t="s">
        <v>18</v>
      </c>
      <c r="V117" s="4" t="s">
        <v>19</v>
      </c>
      <c r="W117" s="14" t="s">
        <v>20</v>
      </c>
      <c r="X117" s="18" t="s">
        <v>2</v>
      </c>
      <c r="Y117" s="244"/>
    </row>
    <row r="118" spans="1:27" x14ac:dyDescent="0.15">
      <c r="A118" s="66" t="s">
        <v>10</v>
      </c>
      <c r="B118" s="67">
        <f>B112</f>
        <v>4</v>
      </c>
      <c r="C118" s="68">
        <f>C112</f>
        <v>4</v>
      </c>
      <c r="D118" s="68">
        <f>D112</f>
        <v>2</v>
      </c>
      <c r="E118" s="69">
        <f>E112</f>
        <v>3</v>
      </c>
      <c r="F118" s="70">
        <f>SUM(B118:E118)</f>
        <v>13</v>
      </c>
      <c r="G118" s="67">
        <f>G112</f>
        <v>5</v>
      </c>
      <c r="H118" s="68">
        <f>H112</f>
        <v>5</v>
      </c>
      <c r="I118" s="68">
        <f>I112</f>
        <v>4</v>
      </c>
      <c r="J118" s="69">
        <f>J112</f>
        <v>5</v>
      </c>
      <c r="K118" s="74">
        <f>SUM(G118:J118)</f>
        <v>19</v>
      </c>
      <c r="L118" s="84">
        <f>F118+K118</f>
        <v>32</v>
      </c>
      <c r="N118" s="66" t="s">
        <v>10</v>
      </c>
      <c r="O118" s="67">
        <f>O112</f>
        <v>54</v>
      </c>
      <c r="P118" s="68">
        <f>P112</f>
        <v>54</v>
      </c>
      <c r="Q118" s="68">
        <f>Q112</f>
        <v>57</v>
      </c>
      <c r="R118" s="69">
        <f>R112</f>
        <v>34</v>
      </c>
      <c r="S118" s="70">
        <f>SUM(O118:R118)</f>
        <v>199</v>
      </c>
      <c r="T118" s="67">
        <f>T112</f>
        <v>54</v>
      </c>
      <c r="U118" s="68">
        <f>U112</f>
        <v>38</v>
      </c>
      <c r="V118" s="68">
        <f>V112</f>
        <v>53</v>
      </c>
      <c r="W118" s="87">
        <f>W112</f>
        <v>26</v>
      </c>
      <c r="X118" s="88">
        <f>SUM(T118:W118)</f>
        <v>171</v>
      </c>
      <c r="Y118" s="84">
        <f>S118+X118</f>
        <v>370</v>
      </c>
      <c r="Z118" s="133"/>
    </row>
    <row r="119" spans="1:27" x14ac:dyDescent="0.15">
      <c r="A119" s="44" t="s">
        <v>3</v>
      </c>
      <c r="B119" s="47"/>
      <c r="C119" s="48">
        <v>3</v>
      </c>
      <c r="D119" s="49">
        <v>3</v>
      </c>
      <c r="E119" s="50">
        <v>3</v>
      </c>
      <c r="F119" s="54">
        <f>SUM(B119:E119)</f>
        <v>9</v>
      </c>
      <c r="G119" s="38"/>
      <c r="H119" s="39"/>
      <c r="I119" s="40"/>
      <c r="J119" s="41"/>
      <c r="K119" s="75">
        <f>SUM(G119:J119)</f>
        <v>0</v>
      </c>
      <c r="L119" s="94">
        <f t="shared" ref="L119:L122" si="105">F119+K119</f>
        <v>9</v>
      </c>
      <c r="M119" s="104">
        <v>45786</v>
      </c>
      <c r="N119" s="11" t="s">
        <v>4</v>
      </c>
      <c r="O119" s="15"/>
      <c r="P119" s="28"/>
      <c r="Q119" s="16"/>
      <c r="R119" s="31"/>
      <c r="S119" s="9">
        <f>SUM(O119:R119)</f>
        <v>0</v>
      </c>
      <c r="T119" s="15"/>
      <c r="U119" s="28"/>
      <c r="V119" s="16"/>
      <c r="W119" s="31"/>
      <c r="X119" s="9">
        <f>SUM(T119:W119)</f>
        <v>0</v>
      </c>
      <c r="Y119" s="126">
        <f t="shared" ref="Y119:Y120" si="106">S119+X119</f>
        <v>0</v>
      </c>
      <c r="Z119" s="133"/>
    </row>
    <row r="120" spans="1:27" x14ac:dyDescent="0.15">
      <c r="A120" s="11" t="s">
        <v>119</v>
      </c>
      <c r="B120" s="6">
        <v>1</v>
      </c>
      <c r="C120" s="17"/>
      <c r="D120" s="7"/>
      <c r="E120" s="8"/>
      <c r="F120" s="9">
        <f>SUM(B120:E120)</f>
        <v>1</v>
      </c>
      <c r="G120" s="15"/>
      <c r="H120" s="28">
        <v>2</v>
      </c>
      <c r="I120" s="16"/>
      <c r="J120" s="19">
        <v>4</v>
      </c>
      <c r="K120" s="76">
        <f>SUM(G120:J120)</f>
        <v>6</v>
      </c>
      <c r="L120" s="94">
        <f t="shared" si="105"/>
        <v>7</v>
      </c>
      <c r="M120" s="104">
        <v>45793</v>
      </c>
      <c r="N120" s="11" t="s">
        <v>50</v>
      </c>
      <c r="O120" s="15">
        <v>30</v>
      </c>
      <c r="P120" s="28">
        <v>40</v>
      </c>
      <c r="Q120" s="16">
        <f>40-10</f>
        <v>30</v>
      </c>
      <c r="R120" s="31">
        <v>40</v>
      </c>
      <c r="S120" s="9">
        <f>SUM(O120:R120)</f>
        <v>140</v>
      </c>
      <c r="T120" s="15">
        <v>30</v>
      </c>
      <c r="U120" s="28">
        <v>40</v>
      </c>
      <c r="V120" s="16">
        <f>40-20</f>
        <v>20</v>
      </c>
      <c r="W120" s="31">
        <f>40-15</f>
        <v>25</v>
      </c>
      <c r="X120" s="9">
        <f>SUM(T120:W120)</f>
        <v>115</v>
      </c>
      <c r="Y120" s="94">
        <f t="shared" si="106"/>
        <v>255</v>
      </c>
      <c r="Z120" s="133" t="s">
        <v>155</v>
      </c>
    </row>
    <row r="121" spans="1:27" x14ac:dyDescent="0.15">
      <c r="A121" s="11" t="s">
        <v>5</v>
      </c>
      <c r="B121" s="6"/>
      <c r="C121" s="17"/>
      <c r="D121" s="7">
        <v>2</v>
      </c>
      <c r="E121" s="8"/>
      <c r="F121" s="9">
        <f>SUM(B121:E121)</f>
        <v>2</v>
      </c>
      <c r="G121" s="15"/>
      <c r="H121" s="28">
        <v>2</v>
      </c>
      <c r="I121" s="16">
        <v>2</v>
      </c>
      <c r="J121" s="19"/>
      <c r="K121" s="76">
        <f>SUM(G121:J121)</f>
        <v>4</v>
      </c>
      <c r="L121" s="94">
        <f t="shared" si="105"/>
        <v>6</v>
      </c>
      <c r="M121" s="104">
        <v>45807</v>
      </c>
      <c r="N121" s="11" t="s">
        <v>149</v>
      </c>
      <c r="O121" s="15">
        <v>2</v>
      </c>
      <c r="P121" s="28">
        <v>2</v>
      </c>
      <c r="Q121" s="16">
        <v>2</v>
      </c>
      <c r="R121" s="31">
        <v>2</v>
      </c>
      <c r="S121" s="9">
        <f t="shared" ref="S121:S122" si="107">SUM(O121:R121)</f>
        <v>8</v>
      </c>
      <c r="T121" s="15">
        <v>2</v>
      </c>
      <c r="U121" s="28">
        <v>2</v>
      </c>
      <c r="V121" s="16">
        <v>2</v>
      </c>
      <c r="W121" s="31">
        <v>2</v>
      </c>
      <c r="X121" s="9">
        <f t="shared" ref="X121:X122" si="108">SUM(T121:W121)</f>
        <v>8</v>
      </c>
      <c r="Y121" s="126">
        <f t="shared" ref="Y121:Y122" si="109">S121+X121</f>
        <v>16</v>
      </c>
      <c r="Z121" s="133" t="s">
        <v>155</v>
      </c>
    </row>
    <row r="122" spans="1:27" ht="14.25" thickBot="1" x14ac:dyDescent="0.2">
      <c r="A122" s="11" t="s">
        <v>6</v>
      </c>
      <c r="B122" s="6"/>
      <c r="C122" s="17"/>
      <c r="D122" s="7"/>
      <c r="E122" s="8"/>
      <c r="F122" s="10">
        <f>SUM(B122:E122)</f>
        <v>0</v>
      </c>
      <c r="G122" s="34">
        <v>3</v>
      </c>
      <c r="H122" s="35">
        <v>3</v>
      </c>
      <c r="I122" s="36">
        <v>5</v>
      </c>
      <c r="J122" s="37"/>
      <c r="K122" s="77">
        <f>SUM(G122:J122)</f>
        <v>11</v>
      </c>
      <c r="L122" s="94">
        <f t="shared" si="105"/>
        <v>11</v>
      </c>
      <c r="M122" s="104">
        <v>45820</v>
      </c>
      <c r="N122" s="11" t="s">
        <v>134</v>
      </c>
      <c r="O122" s="15"/>
      <c r="P122" s="28"/>
      <c r="Q122" s="16"/>
      <c r="R122" s="31"/>
      <c r="S122" s="9">
        <f t="shared" si="107"/>
        <v>0</v>
      </c>
      <c r="T122" s="15"/>
      <c r="U122" s="28"/>
      <c r="V122" s="16"/>
      <c r="W122" s="31"/>
      <c r="X122" s="9">
        <f t="shared" si="108"/>
        <v>0</v>
      </c>
      <c r="Y122" s="126">
        <f t="shared" si="109"/>
        <v>0</v>
      </c>
      <c r="Z122" s="133"/>
    </row>
    <row r="123" spans="1:27" ht="14.25" thickBot="1" x14ac:dyDescent="0.2">
      <c r="A123" s="13" t="s">
        <v>7</v>
      </c>
      <c r="B123" s="55">
        <f t="shared" ref="B123:K123" si="110">SUM(B118:B122)</f>
        <v>5</v>
      </c>
      <c r="C123" s="56">
        <f t="shared" si="110"/>
        <v>7</v>
      </c>
      <c r="D123" s="57">
        <f t="shared" si="110"/>
        <v>7</v>
      </c>
      <c r="E123" s="58">
        <f t="shared" si="110"/>
        <v>6</v>
      </c>
      <c r="F123" s="59">
        <f t="shared" si="110"/>
        <v>25</v>
      </c>
      <c r="G123" s="24">
        <f t="shared" si="110"/>
        <v>8</v>
      </c>
      <c r="H123" s="30">
        <f t="shared" si="110"/>
        <v>12</v>
      </c>
      <c r="I123" s="25">
        <f t="shared" si="110"/>
        <v>11</v>
      </c>
      <c r="J123" s="60">
        <f t="shared" si="110"/>
        <v>9</v>
      </c>
      <c r="K123" s="78">
        <f t="shared" si="110"/>
        <v>40</v>
      </c>
      <c r="L123" s="85">
        <f>F123+K123</f>
        <v>65</v>
      </c>
      <c r="N123" s="13" t="s">
        <v>7</v>
      </c>
      <c r="O123" s="55">
        <f t="shared" ref="O123:X123" si="111">SUM(O118:O122)</f>
        <v>86</v>
      </c>
      <c r="P123" s="56">
        <f t="shared" si="111"/>
        <v>96</v>
      </c>
      <c r="Q123" s="57">
        <f t="shared" si="111"/>
        <v>89</v>
      </c>
      <c r="R123" s="58">
        <f t="shared" si="111"/>
        <v>76</v>
      </c>
      <c r="S123" s="59">
        <f t="shared" si="111"/>
        <v>347</v>
      </c>
      <c r="T123" s="24">
        <f t="shared" si="111"/>
        <v>86</v>
      </c>
      <c r="U123" s="30">
        <f t="shared" si="111"/>
        <v>80</v>
      </c>
      <c r="V123" s="25">
        <f t="shared" si="111"/>
        <v>75</v>
      </c>
      <c r="W123" s="60">
        <f t="shared" si="111"/>
        <v>53</v>
      </c>
      <c r="X123" s="61">
        <f t="shared" si="111"/>
        <v>294</v>
      </c>
      <c r="Y123" s="85">
        <f>S123+X123</f>
        <v>641</v>
      </c>
      <c r="Z123" s="133"/>
    </row>
    <row r="124" spans="1:27" x14ac:dyDescent="0.15">
      <c r="A124" s="44" t="s">
        <v>112</v>
      </c>
      <c r="B124" s="38"/>
      <c r="C124" s="39"/>
      <c r="D124" s="40">
        <v>1</v>
      </c>
      <c r="E124" s="41"/>
      <c r="F124" s="62">
        <f t="shared" ref="F124:F148" si="112">SUM(B124:E124)</f>
        <v>1</v>
      </c>
      <c r="G124" s="15"/>
      <c r="H124" s="28"/>
      <c r="I124" s="16"/>
      <c r="J124" s="31"/>
      <c r="K124" s="79">
        <f t="shared" ref="K124:K129" si="113">SUM(G124:J124)</f>
        <v>0</v>
      </c>
      <c r="L124" s="101">
        <f>F124+K124</f>
        <v>1</v>
      </c>
      <c r="M124" s="104">
        <v>45791</v>
      </c>
      <c r="N124" s="44" t="s">
        <v>26</v>
      </c>
      <c r="O124" s="15"/>
      <c r="P124" s="28"/>
      <c r="Q124" s="16">
        <v>2</v>
      </c>
      <c r="R124" s="19"/>
      <c r="S124" s="42">
        <f>SUM(O124:R124)</f>
        <v>2</v>
      </c>
      <c r="T124" s="15"/>
      <c r="U124" s="28">
        <v>2</v>
      </c>
      <c r="V124" s="16">
        <v>2</v>
      </c>
      <c r="W124" s="31"/>
      <c r="X124" s="9">
        <f>SUM(T124:W124)</f>
        <v>4</v>
      </c>
      <c r="Y124" s="94">
        <f t="shared" ref="Y124:Y125" si="114">S124+X124</f>
        <v>6</v>
      </c>
      <c r="Z124" s="104">
        <v>45807</v>
      </c>
    </row>
    <row r="125" spans="1:27" x14ac:dyDescent="0.15">
      <c r="A125" s="44" t="s">
        <v>27</v>
      </c>
      <c r="B125" s="15"/>
      <c r="C125" s="28"/>
      <c r="D125" s="16"/>
      <c r="E125" s="19"/>
      <c r="F125" s="42">
        <f t="shared" si="112"/>
        <v>0</v>
      </c>
      <c r="G125" s="15"/>
      <c r="H125" s="28">
        <v>1</v>
      </c>
      <c r="I125" s="16"/>
      <c r="J125" s="31"/>
      <c r="K125" s="79">
        <f t="shared" si="113"/>
        <v>1</v>
      </c>
      <c r="L125" s="94">
        <f>F125+K125</f>
        <v>1</v>
      </c>
      <c r="M125" s="104">
        <v>45792</v>
      </c>
      <c r="N125" s="44" t="s">
        <v>133</v>
      </c>
      <c r="O125" s="15">
        <v>1</v>
      </c>
      <c r="P125" s="28">
        <v>5</v>
      </c>
      <c r="Q125" s="16">
        <v>4</v>
      </c>
      <c r="R125" s="19">
        <v>3</v>
      </c>
      <c r="S125" s="42">
        <f t="shared" ref="S125" si="115">SUM(O125:R125)</f>
        <v>13</v>
      </c>
      <c r="T125" s="38"/>
      <c r="U125" s="39">
        <v>2</v>
      </c>
      <c r="V125" s="40">
        <v>1</v>
      </c>
      <c r="W125" s="52">
        <v>3</v>
      </c>
      <c r="X125" s="54">
        <f t="shared" ref="X125" si="116">SUM(T125:W125)</f>
        <v>6</v>
      </c>
      <c r="Y125" s="94">
        <f t="shared" si="114"/>
        <v>19</v>
      </c>
      <c r="Z125" s="104">
        <v>45810</v>
      </c>
      <c r="AA125" s="109"/>
    </row>
    <row r="126" spans="1:27" x14ac:dyDescent="0.15">
      <c r="A126" s="44" t="s">
        <v>120</v>
      </c>
      <c r="B126" s="15"/>
      <c r="C126" s="28"/>
      <c r="D126" s="16">
        <v>-1</v>
      </c>
      <c r="E126" s="19"/>
      <c r="F126" s="42">
        <f t="shared" si="112"/>
        <v>-1</v>
      </c>
      <c r="G126" s="15"/>
      <c r="H126" s="28">
        <v>1</v>
      </c>
      <c r="I126" s="16"/>
      <c r="J126" s="31"/>
      <c r="K126" s="79">
        <f t="shared" si="113"/>
        <v>1</v>
      </c>
      <c r="L126" s="94">
        <f>F126+K126</f>
        <v>0</v>
      </c>
      <c r="M126" s="104">
        <v>45793</v>
      </c>
      <c r="N126" s="135" t="s">
        <v>140</v>
      </c>
      <c r="O126" s="15"/>
      <c r="P126" s="28"/>
      <c r="Q126" s="16"/>
      <c r="R126" s="19"/>
      <c r="S126" s="42">
        <f t="shared" ref="S126:S143" si="117">SUM(O126:R126)</f>
        <v>0</v>
      </c>
      <c r="T126" s="15">
        <v>1</v>
      </c>
      <c r="U126" s="28"/>
      <c r="V126" s="16">
        <v>1</v>
      </c>
      <c r="W126" s="31"/>
      <c r="X126" s="9">
        <f t="shared" ref="X126:X129" si="118">SUM(T126:W126)</f>
        <v>2</v>
      </c>
      <c r="Y126" s="94">
        <f>S126+X126</f>
        <v>2</v>
      </c>
      <c r="Z126" s="104">
        <v>45814</v>
      </c>
      <c r="AA126" s="109"/>
    </row>
    <row r="127" spans="1:27" x14ac:dyDescent="0.15">
      <c r="A127" s="44" t="s">
        <v>27</v>
      </c>
      <c r="B127" s="15"/>
      <c r="C127" s="28">
        <v>1</v>
      </c>
      <c r="D127" s="16"/>
      <c r="E127" s="19"/>
      <c r="F127" s="42">
        <f t="shared" si="112"/>
        <v>1</v>
      </c>
      <c r="G127" s="15"/>
      <c r="H127" s="28">
        <v>1</v>
      </c>
      <c r="I127" s="16"/>
      <c r="J127" s="31"/>
      <c r="K127" s="79">
        <f t="shared" si="113"/>
        <v>1</v>
      </c>
      <c r="L127" s="94">
        <f t="shared" ref="L127:L150" si="119">F127+K127</f>
        <v>2</v>
      </c>
      <c r="M127" s="104">
        <v>45796</v>
      </c>
      <c r="N127" s="121" t="s">
        <v>141</v>
      </c>
      <c r="O127" s="15"/>
      <c r="P127" s="28"/>
      <c r="Q127" s="16"/>
      <c r="R127" s="19"/>
      <c r="S127" s="42">
        <f t="shared" si="117"/>
        <v>0</v>
      </c>
      <c r="T127" s="15"/>
      <c r="U127" s="28"/>
      <c r="V127" s="16"/>
      <c r="W127" s="31">
        <v>2</v>
      </c>
      <c r="X127" s="9">
        <f t="shared" si="118"/>
        <v>2</v>
      </c>
      <c r="Y127" s="94">
        <f t="shared" ref="Y127:Y150" si="120">S127+X127</f>
        <v>2</v>
      </c>
      <c r="Z127" s="104">
        <v>45817</v>
      </c>
      <c r="AA127" s="109"/>
    </row>
    <row r="128" spans="1:27" x14ac:dyDescent="0.15">
      <c r="A128" s="44" t="s">
        <v>27</v>
      </c>
      <c r="B128" s="15"/>
      <c r="C128" s="28"/>
      <c r="D128" s="16"/>
      <c r="E128" s="19"/>
      <c r="F128" s="42">
        <f t="shared" si="112"/>
        <v>0</v>
      </c>
      <c r="G128" s="15">
        <v>1</v>
      </c>
      <c r="H128" s="28"/>
      <c r="I128" s="16"/>
      <c r="J128" s="31"/>
      <c r="K128" s="79">
        <f t="shared" si="113"/>
        <v>1</v>
      </c>
      <c r="L128" s="94">
        <f t="shared" si="119"/>
        <v>1</v>
      </c>
      <c r="M128" s="104">
        <v>45800</v>
      </c>
      <c r="N128" s="135" t="s">
        <v>142</v>
      </c>
      <c r="O128" s="15"/>
      <c r="P128" s="28">
        <v>1</v>
      </c>
      <c r="Q128" s="16"/>
      <c r="R128" s="19"/>
      <c r="S128" s="42">
        <f t="shared" si="117"/>
        <v>1</v>
      </c>
      <c r="T128" s="15"/>
      <c r="U128" s="28"/>
      <c r="V128" s="16"/>
      <c r="W128" s="31"/>
      <c r="X128" s="9">
        <f t="shared" si="118"/>
        <v>0</v>
      </c>
      <c r="Y128" s="94">
        <f t="shared" si="120"/>
        <v>1</v>
      </c>
      <c r="Z128" s="104">
        <v>45821</v>
      </c>
      <c r="AA128" s="109"/>
    </row>
    <row r="129" spans="1:27" x14ac:dyDescent="0.15">
      <c r="A129" s="44" t="s">
        <v>27</v>
      </c>
      <c r="B129" s="15"/>
      <c r="C129" s="28"/>
      <c r="D129" s="16">
        <v>1</v>
      </c>
      <c r="E129" s="19"/>
      <c r="F129" s="42">
        <f t="shared" si="112"/>
        <v>1</v>
      </c>
      <c r="G129" s="15"/>
      <c r="H129" s="28"/>
      <c r="I129" s="16">
        <v>1</v>
      </c>
      <c r="J129" s="31"/>
      <c r="K129" s="79">
        <f t="shared" si="113"/>
        <v>1</v>
      </c>
      <c r="L129" s="94">
        <f t="shared" si="119"/>
        <v>2</v>
      </c>
      <c r="M129" s="104">
        <v>45803</v>
      </c>
      <c r="N129" s="121" t="s">
        <v>148</v>
      </c>
      <c r="O129" s="15"/>
      <c r="P129" s="28"/>
      <c r="Q129" s="16"/>
      <c r="R129" s="19"/>
      <c r="S129" s="42">
        <f t="shared" si="117"/>
        <v>0</v>
      </c>
      <c r="T129" s="15"/>
      <c r="U129" s="28"/>
      <c r="V129" s="16">
        <v>2</v>
      </c>
      <c r="W129" s="31">
        <v>2</v>
      </c>
      <c r="X129" s="9">
        <f t="shared" si="118"/>
        <v>4</v>
      </c>
      <c r="Y129" s="94">
        <f t="shared" si="120"/>
        <v>4</v>
      </c>
      <c r="Z129" s="104">
        <v>45821</v>
      </c>
      <c r="AA129" s="109"/>
    </row>
    <row r="130" spans="1:27" x14ac:dyDescent="0.15">
      <c r="A130" s="44" t="s">
        <v>130</v>
      </c>
      <c r="B130" s="15"/>
      <c r="C130" s="28"/>
      <c r="D130" s="16"/>
      <c r="E130" s="19"/>
      <c r="F130" s="42">
        <f t="shared" si="112"/>
        <v>0</v>
      </c>
      <c r="G130" s="15"/>
      <c r="H130" s="28"/>
      <c r="I130" s="16">
        <v>1</v>
      </c>
      <c r="J130" s="31"/>
      <c r="K130" s="79">
        <f>SUM(G130:J130)</f>
        <v>1</v>
      </c>
      <c r="L130" s="94">
        <f t="shared" si="119"/>
        <v>1</v>
      </c>
      <c r="M130" s="104">
        <v>45806</v>
      </c>
      <c r="N130" s="44" t="s">
        <v>26</v>
      </c>
      <c r="O130" s="15"/>
      <c r="P130" s="28"/>
      <c r="Q130" s="16"/>
      <c r="R130" s="19"/>
      <c r="S130" s="42">
        <f>SUM(O130:R130)</f>
        <v>0</v>
      </c>
      <c r="T130" s="15">
        <v>3</v>
      </c>
      <c r="U130" s="28">
        <v>3</v>
      </c>
      <c r="V130" s="16">
        <v>5</v>
      </c>
      <c r="W130" s="31"/>
      <c r="X130" s="9">
        <f>SUM(T130:W130)</f>
        <v>11</v>
      </c>
      <c r="Y130" s="94">
        <f t="shared" si="120"/>
        <v>11</v>
      </c>
      <c r="Z130" s="104">
        <v>45820</v>
      </c>
      <c r="AA130" s="109"/>
    </row>
    <row r="131" spans="1:27" x14ac:dyDescent="0.15">
      <c r="A131" s="44" t="s">
        <v>27</v>
      </c>
      <c r="B131" s="15"/>
      <c r="C131" s="28"/>
      <c r="D131" s="16"/>
      <c r="E131" s="19"/>
      <c r="F131" s="42">
        <f t="shared" si="112"/>
        <v>0</v>
      </c>
      <c r="G131" s="15"/>
      <c r="H131" s="28">
        <v>1</v>
      </c>
      <c r="I131" s="16"/>
      <c r="J131" s="31"/>
      <c r="K131" s="79">
        <f t="shared" ref="K131:K135" si="121">SUM(G131:J131)</f>
        <v>1</v>
      </c>
      <c r="L131" s="94">
        <f t="shared" si="119"/>
        <v>1</v>
      </c>
      <c r="M131" s="104">
        <v>45804</v>
      </c>
      <c r="N131" s="135" t="s">
        <v>150</v>
      </c>
      <c r="O131" s="15"/>
      <c r="P131" s="28"/>
      <c r="Q131" s="16"/>
      <c r="R131" s="19"/>
      <c r="S131" s="42">
        <f t="shared" si="117"/>
        <v>0</v>
      </c>
      <c r="T131" s="15"/>
      <c r="U131" s="28"/>
      <c r="V131" s="16">
        <v>1</v>
      </c>
      <c r="W131" s="31">
        <v>1</v>
      </c>
      <c r="X131" s="9">
        <f t="shared" ref="X131:X135" si="122">SUM(T131:W131)</f>
        <v>2</v>
      </c>
      <c r="Y131" s="94">
        <f t="shared" si="120"/>
        <v>2</v>
      </c>
      <c r="Z131" s="104">
        <v>45828</v>
      </c>
      <c r="AA131" s="109"/>
    </row>
    <row r="132" spans="1:27" x14ac:dyDescent="0.15">
      <c r="A132" s="44" t="s">
        <v>27</v>
      </c>
      <c r="B132" s="15"/>
      <c r="C132" s="28"/>
      <c r="D132" s="16">
        <v>1</v>
      </c>
      <c r="E132" s="19"/>
      <c r="F132" s="42">
        <f t="shared" si="112"/>
        <v>1</v>
      </c>
      <c r="G132" s="15"/>
      <c r="H132" s="28"/>
      <c r="I132" s="16"/>
      <c r="J132" s="31"/>
      <c r="K132" s="79">
        <f t="shared" si="121"/>
        <v>0</v>
      </c>
      <c r="L132" s="94">
        <f t="shared" si="119"/>
        <v>1</v>
      </c>
      <c r="M132" s="105">
        <v>45805</v>
      </c>
      <c r="N132" s="121" t="s">
        <v>151</v>
      </c>
      <c r="O132" s="15"/>
      <c r="P132" s="28"/>
      <c r="Q132" s="16"/>
      <c r="R132" s="19">
        <v>3</v>
      </c>
      <c r="S132" s="42">
        <f t="shared" si="117"/>
        <v>3</v>
      </c>
      <c r="T132" s="15"/>
      <c r="U132" s="28"/>
      <c r="V132" s="16"/>
      <c r="W132" s="31">
        <v>6</v>
      </c>
      <c r="X132" s="9">
        <f t="shared" si="122"/>
        <v>6</v>
      </c>
      <c r="Y132" s="94">
        <f t="shared" si="120"/>
        <v>9</v>
      </c>
      <c r="Z132" s="104">
        <v>45827</v>
      </c>
    </row>
    <row r="133" spans="1:27" x14ac:dyDescent="0.15">
      <c r="A133" s="44" t="s">
        <v>27</v>
      </c>
      <c r="B133" s="15"/>
      <c r="C133" s="28"/>
      <c r="D133" s="16"/>
      <c r="E133" s="19"/>
      <c r="F133" s="42">
        <f t="shared" si="112"/>
        <v>0</v>
      </c>
      <c r="G133" s="15">
        <v>1</v>
      </c>
      <c r="H133" s="28">
        <v>1</v>
      </c>
      <c r="I133" s="16"/>
      <c r="J133" s="31"/>
      <c r="K133" s="79">
        <f t="shared" si="121"/>
        <v>2</v>
      </c>
      <c r="L133" s="94">
        <f t="shared" si="119"/>
        <v>2</v>
      </c>
      <c r="M133" s="105">
        <v>45810</v>
      </c>
      <c r="N133" s="44" t="s">
        <v>26</v>
      </c>
      <c r="O133" s="15"/>
      <c r="P133" s="28"/>
      <c r="Q133" s="16"/>
      <c r="R133" s="19">
        <v>5</v>
      </c>
      <c r="S133" s="42">
        <f>SUM(O133:R133)</f>
        <v>5</v>
      </c>
      <c r="T133" s="15"/>
      <c r="U133" s="28"/>
      <c r="V133" s="16"/>
      <c r="W133" s="31">
        <v>5</v>
      </c>
      <c r="X133" s="9">
        <f>SUM(T133:W133)</f>
        <v>5</v>
      </c>
      <c r="Y133" s="94">
        <f t="shared" si="120"/>
        <v>10</v>
      </c>
      <c r="Z133" s="104">
        <v>45832</v>
      </c>
    </row>
    <row r="134" spans="1:27" x14ac:dyDescent="0.15">
      <c r="A134" s="44" t="s">
        <v>27</v>
      </c>
      <c r="B134" s="15"/>
      <c r="C134" s="28"/>
      <c r="D134" s="16"/>
      <c r="E134" s="19">
        <v>1</v>
      </c>
      <c r="F134" s="42">
        <f t="shared" si="112"/>
        <v>1</v>
      </c>
      <c r="G134" s="15"/>
      <c r="H134" s="28"/>
      <c r="I134" s="16"/>
      <c r="J134" s="31"/>
      <c r="K134" s="79">
        <f t="shared" si="121"/>
        <v>0</v>
      </c>
      <c r="L134" s="94">
        <f t="shared" si="119"/>
        <v>1</v>
      </c>
      <c r="M134" s="105">
        <v>45812</v>
      </c>
      <c r="N134" s="121" t="s">
        <v>157</v>
      </c>
      <c r="O134" s="15"/>
      <c r="P134" s="28"/>
      <c r="Q134" s="16">
        <v>5</v>
      </c>
      <c r="R134" s="19"/>
      <c r="S134" s="42">
        <f t="shared" si="117"/>
        <v>5</v>
      </c>
      <c r="T134" s="15"/>
      <c r="U134" s="28"/>
      <c r="V134" s="16"/>
      <c r="W134" s="31"/>
      <c r="X134" s="9">
        <f t="shared" si="122"/>
        <v>0</v>
      </c>
      <c r="Y134" s="94">
        <f t="shared" si="120"/>
        <v>5</v>
      </c>
      <c r="Z134" s="104">
        <v>45838</v>
      </c>
    </row>
    <row r="135" spans="1:27" x14ac:dyDescent="0.15">
      <c r="A135" s="44" t="s">
        <v>27</v>
      </c>
      <c r="B135" s="15"/>
      <c r="C135" s="28"/>
      <c r="D135" s="16"/>
      <c r="E135" s="19"/>
      <c r="F135" s="42">
        <f t="shared" si="112"/>
        <v>0</v>
      </c>
      <c r="G135" s="15"/>
      <c r="H135" s="28"/>
      <c r="I135" s="16">
        <v>1</v>
      </c>
      <c r="J135" s="31">
        <v>1</v>
      </c>
      <c r="K135" s="79">
        <f t="shared" si="121"/>
        <v>2</v>
      </c>
      <c r="L135" s="94">
        <f t="shared" si="119"/>
        <v>2</v>
      </c>
      <c r="M135" s="105">
        <v>45814</v>
      </c>
      <c r="N135" s="11" t="s">
        <v>156</v>
      </c>
      <c r="O135" s="15">
        <v>15</v>
      </c>
      <c r="P135" s="28">
        <v>20</v>
      </c>
      <c r="Q135" s="16">
        <v>15</v>
      </c>
      <c r="R135" s="19">
        <v>15</v>
      </c>
      <c r="S135" s="42">
        <f t="shared" si="117"/>
        <v>65</v>
      </c>
      <c r="T135" s="15">
        <v>15</v>
      </c>
      <c r="U135" s="28">
        <v>20</v>
      </c>
      <c r="V135" s="16">
        <v>15</v>
      </c>
      <c r="W135" s="31">
        <v>15</v>
      </c>
      <c r="X135" s="9">
        <f t="shared" si="122"/>
        <v>65</v>
      </c>
      <c r="Y135" s="94">
        <f t="shared" si="120"/>
        <v>130</v>
      </c>
      <c r="Z135" s="104">
        <v>45841</v>
      </c>
    </row>
    <row r="136" spans="1:27" x14ac:dyDescent="0.15">
      <c r="A136" s="44" t="s">
        <v>27</v>
      </c>
      <c r="B136" s="15"/>
      <c r="C136" s="28"/>
      <c r="D136" s="16"/>
      <c r="E136" s="19"/>
      <c r="F136" s="42">
        <f t="shared" si="112"/>
        <v>0</v>
      </c>
      <c r="G136" s="15"/>
      <c r="H136" s="28">
        <v>1</v>
      </c>
      <c r="I136" s="16"/>
      <c r="J136" s="31">
        <v>1</v>
      </c>
      <c r="K136" s="79">
        <f>SUM(G136:J136)</f>
        <v>2</v>
      </c>
      <c r="L136" s="94">
        <f t="shared" si="119"/>
        <v>2</v>
      </c>
      <c r="M136" s="105">
        <v>45817</v>
      </c>
      <c r="N136" s="135" t="s">
        <v>159</v>
      </c>
      <c r="O136" s="15"/>
      <c r="P136" s="28"/>
      <c r="Q136" s="16"/>
      <c r="R136" s="19"/>
      <c r="S136" s="42">
        <f t="shared" si="117"/>
        <v>0</v>
      </c>
      <c r="T136" s="15"/>
      <c r="U136" s="28">
        <v>1</v>
      </c>
      <c r="V136" s="16">
        <v>1</v>
      </c>
      <c r="W136" s="31">
        <v>2</v>
      </c>
      <c r="X136" s="9">
        <f>SUM(T136:W136)</f>
        <v>4</v>
      </c>
      <c r="Y136" s="94">
        <f t="shared" si="120"/>
        <v>4</v>
      </c>
      <c r="Z136" s="104">
        <v>45842</v>
      </c>
    </row>
    <row r="137" spans="1:27" x14ac:dyDescent="0.15">
      <c r="A137" s="44" t="s">
        <v>143</v>
      </c>
      <c r="B137" s="15">
        <v>1</v>
      </c>
      <c r="C137" s="28"/>
      <c r="D137" s="16"/>
      <c r="E137" s="19"/>
      <c r="F137" s="42">
        <f t="shared" si="112"/>
        <v>1</v>
      </c>
      <c r="G137" s="15">
        <v>1</v>
      </c>
      <c r="H137" s="28"/>
      <c r="I137" s="16"/>
      <c r="J137" s="31"/>
      <c r="K137" s="79">
        <f>SUM(G137:J137)</f>
        <v>1</v>
      </c>
      <c r="L137" s="94">
        <f t="shared" si="119"/>
        <v>2</v>
      </c>
      <c r="M137" s="104">
        <v>45817</v>
      </c>
      <c r="N137" s="121" t="s">
        <v>165</v>
      </c>
      <c r="O137" s="15">
        <v>4</v>
      </c>
      <c r="P137" s="28"/>
      <c r="Q137" s="16"/>
      <c r="R137" s="19"/>
      <c r="S137" s="42">
        <f t="shared" si="117"/>
        <v>4</v>
      </c>
      <c r="T137" s="15">
        <v>8</v>
      </c>
      <c r="U137" s="28"/>
      <c r="V137" s="16"/>
      <c r="W137" s="31"/>
      <c r="X137" s="9">
        <f>SUM(T137:W137)</f>
        <v>8</v>
      </c>
      <c r="Y137" s="94">
        <f t="shared" si="120"/>
        <v>12</v>
      </c>
      <c r="Z137" s="104">
        <v>45842</v>
      </c>
    </row>
    <row r="138" spans="1:27" x14ac:dyDescent="0.15">
      <c r="A138" s="44" t="s">
        <v>144</v>
      </c>
      <c r="B138" s="15"/>
      <c r="C138" s="28"/>
      <c r="D138" s="16"/>
      <c r="E138" s="19"/>
      <c r="F138" s="42">
        <f t="shared" si="112"/>
        <v>0</v>
      </c>
      <c r="G138" s="15"/>
      <c r="H138" s="28"/>
      <c r="I138" s="16">
        <v>1</v>
      </c>
      <c r="J138" s="31"/>
      <c r="K138" s="79">
        <f t="shared" ref="K138:K141" si="123">SUM(G138:J138)</f>
        <v>1</v>
      </c>
      <c r="L138" s="94">
        <f t="shared" si="119"/>
        <v>1</v>
      </c>
      <c r="M138" s="104">
        <v>45820</v>
      </c>
      <c r="N138" s="121" t="s">
        <v>164</v>
      </c>
      <c r="O138" s="15"/>
      <c r="P138" s="28"/>
      <c r="Q138" s="16"/>
      <c r="R138" s="19"/>
      <c r="S138" s="42">
        <f t="shared" si="117"/>
        <v>0</v>
      </c>
      <c r="T138" s="15"/>
      <c r="U138" s="28"/>
      <c r="V138" s="16">
        <v>2</v>
      </c>
      <c r="W138" s="31"/>
      <c r="X138" s="9">
        <f t="shared" ref="X138:X140" si="124">SUM(T138:W138)</f>
        <v>2</v>
      </c>
      <c r="Y138" s="94">
        <f t="shared" si="120"/>
        <v>2</v>
      </c>
      <c r="Z138" s="104">
        <v>45842</v>
      </c>
    </row>
    <row r="139" spans="1:27" x14ac:dyDescent="0.15">
      <c r="A139" s="44" t="s">
        <v>27</v>
      </c>
      <c r="B139" s="15"/>
      <c r="C139" s="28"/>
      <c r="D139" s="16"/>
      <c r="E139" s="19"/>
      <c r="F139" s="42">
        <f t="shared" si="112"/>
        <v>0</v>
      </c>
      <c r="G139" s="15"/>
      <c r="H139" s="28"/>
      <c r="I139" s="16">
        <v>1</v>
      </c>
      <c r="J139" s="31">
        <v>1</v>
      </c>
      <c r="K139" s="79">
        <f t="shared" si="123"/>
        <v>2</v>
      </c>
      <c r="L139" s="94">
        <f t="shared" si="119"/>
        <v>2</v>
      </c>
      <c r="M139" s="104">
        <v>45818</v>
      </c>
      <c r="N139" s="44" t="s">
        <v>26</v>
      </c>
      <c r="O139" s="15"/>
      <c r="P139" s="28"/>
      <c r="Q139" s="16">
        <v>5</v>
      </c>
      <c r="R139" s="19"/>
      <c r="S139" s="42">
        <f t="shared" si="117"/>
        <v>5</v>
      </c>
      <c r="T139" s="15"/>
      <c r="U139" s="28"/>
      <c r="V139" s="16"/>
      <c r="W139" s="31">
        <v>3</v>
      </c>
      <c r="X139" s="9">
        <f t="shared" si="124"/>
        <v>3</v>
      </c>
      <c r="Y139" s="94">
        <f t="shared" si="120"/>
        <v>8</v>
      </c>
      <c r="Z139" s="104">
        <v>45840</v>
      </c>
    </row>
    <row r="140" spans="1:27" x14ac:dyDescent="0.15">
      <c r="A140" s="44" t="s">
        <v>27</v>
      </c>
      <c r="B140" s="15"/>
      <c r="C140" s="28"/>
      <c r="D140" s="16"/>
      <c r="E140" s="19"/>
      <c r="F140" s="42">
        <f t="shared" si="112"/>
        <v>0</v>
      </c>
      <c r="G140" s="15"/>
      <c r="H140" s="28"/>
      <c r="I140" s="16">
        <v>1</v>
      </c>
      <c r="J140" s="31">
        <v>1</v>
      </c>
      <c r="K140" s="79">
        <f t="shared" si="123"/>
        <v>2</v>
      </c>
      <c r="L140" s="94">
        <f t="shared" si="119"/>
        <v>2</v>
      </c>
      <c r="M140" s="104">
        <v>45819</v>
      </c>
      <c r="N140" s="44" t="s">
        <v>26</v>
      </c>
      <c r="O140" s="15">
        <v>3</v>
      </c>
      <c r="P140" s="28"/>
      <c r="Q140" s="16">
        <v>3</v>
      </c>
      <c r="R140" s="19">
        <v>5</v>
      </c>
      <c r="S140" s="42">
        <f t="shared" si="117"/>
        <v>11</v>
      </c>
      <c r="T140" s="15"/>
      <c r="U140" s="28"/>
      <c r="V140" s="16"/>
      <c r="W140" s="31">
        <v>3</v>
      </c>
      <c r="X140" s="9">
        <f t="shared" si="124"/>
        <v>3</v>
      </c>
      <c r="Y140" s="94">
        <f t="shared" si="120"/>
        <v>14</v>
      </c>
      <c r="Z140" s="104">
        <v>45842</v>
      </c>
    </row>
    <row r="141" spans="1:27" x14ac:dyDescent="0.15">
      <c r="A141" s="44" t="s">
        <v>27</v>
      </c>
      <c r="B141" s="15"/>
      <c r="C141" s="28"/>
      <c r="D141" s="16"/>
      <c r="E141" s="19">
        <v>1</v>
      </c>
      <c r="F141" s="42">
        <f t="shared" si="112"/>
        <v>1</v>
      </c>
      <c r="G141" s="38">
        <v>1</v>
      </c>
      <c r="H141" s="39"/>
      <c r="I141" s="40"/>
      <c r="J141" s="52"/>
      <c r="K141" s="83">
        <f t="shared" si="123"/>
        <v>1</v>
      </c>
      <c r="L141" s="94">
        <f t="shared" si="119"/>
        <v>2</v>
      </c>
      <c r="M141" s="104">
        <v>45820</v>
      </c>
      <c r="N141" s="44" t="s">
        <v>26</v>
      </c>
      <c r="O141" s="15"/>
      <c r="P141" s="28"/>
      <c r="Q141" s="16"/>
      <c r="R141" s="19"/>
      <c r="S141" s="42">
        <f>SUM(O141:R141)</f>
        <v>0</v>
      </c>
      <c r="T141" s="38"/>
      <c r="U141" s="39"/>
      <c r="V141" s="40">
        <v>3</v>
      </c>
      <c r="W141" s="52">
        <v>3</v>
      </c>
      <c r="X141" s="54">
        <f>SUM(T141:W141)</f>
        <v>6</v>
      </c>
      <c r="Y141" s="94">
        <f t="shared" si="120"/>
        <v>6</v>
      </c>
      <c r="Z141" s="104">
        <v>45843</v>
      </c>
    </row>
    <row r="142" spans="1:27" x14ac:dyDescent="0.15">
      <c r="A142" s="44" t="s">
        <v>27</v>
      </c>
      <c r="B142" s="15"/>
      <c r="C142" s="28"/>
      <c r="D142" s="16"/>
      <c r="E142" s="19">
        <v>1</v>
      </c>
      <c r="F142" s="42">
        <f t="shared" si="112"/>
        <v>1</v>
      </c>
      <c r="G142" s="15"/>
      <c r="H142" s="28"/>
      <c r="I142" s="16"/>
      <c r="J142" s="31"/>
      <c r="K142" s="79">
        <f>SUM(G142:J142)</f>
        <v>0</v>
      </c>
      <c r="L142" s="94">
        <f t="shared" si="119"/>
        <v>1</v>
      </c>
      <c r="M142" s="104">
        <v>45824</v>
      </c>
      <c r="N142" s="121" t="s">
        <v>171</v>
      </c>
      <c r="O142" s="15"/>
      <c r="P142" s="28"/>
      <c r="Q142" s="16"/>
      <c r="R142" s="19"/>
      <c r="S142" s="42">
        <f t="shared" si="117"/>
        <v>0</v>
      </c>
      <c r="T142" s="15"/>
      <c r="U142" s="28">
        <v>9</v>
      </c>
      <c r="V142" s="16"/>
      <c r="W142" s="31"/>
      <c r="X142" s="9">
        <f>SUM(T142:W142)</f>
        <v>9</v>
      </c>
      <c r="Y142" s="94">
        <f t="shared" si="120"/>
        <v>9</v>
      </c>
      <c r="Z142" s="104">
        <v>45848</v>
      </c>
    </row>
    <row r="143" spans="1:27" x14ac:dyDescent="0.15">
      <c r="A143" s="44" t="s">
        <v>27</v>
      </c>
      <c r="B143" s="15"/>
      <c r="C143" s="28"/>
      <c r="D143" s="16"/>
      <c r="E143" s="19">
        <v>1</v>
      </c>
      <c r="F143" s="42">
        <f t="shared" si="112"/>
        <v>1</v>
      </c>
      <c r="G143" s="15"/>
      <c r="H143" s="16"/>
      <c r="I143" s="28"/>
      <c r="J143" s="53"/>
      <c r="K143" s="79">
        <f t="shared" ref="K143:K149" si="125">SUM(G143:J143)</f>
        <v>0</v>
      </c>
      <c r="L143" s="94">
        <f t="shared" si="119"/>
        <v>1</v>
      </c>
      <c r="M143" s="104">
        <v>45826</v>
      </c>
      <c r="N143" s="44" t="s">
        <v>26</v>
      </c>
      <c r="O143" s="15"/>
      <c r="P143" s="28">
        <v>3</v>
      </c>
      <c r="Q143" s="16"/>
      <c r="R143" s="19">
        <v>5</v>
      </c>
      <c r="S143" s="42">
        <f t="shared" si="117"/>
        <v>8</v>
      </c>
      <c r="T143" s="15"/>
      <c r="U143" s="16"/>
      <c r="V143" s="28"/>
      <c r="W143" s="53">
        <v>3</v>
      </c>
      <c r="X143" s="9">
        <f t="shared" ref="X143" si="126">SUM(T143:W143)</f>
        <v>3</v>
      </c>
      <c r="Y143" s="94">
        <f t="shared" si="120"/>
        <v>11</v>
      </c>
      <c r="Z143" s="104">
        <v>45846</v>
      </c>
    </row>
    <row r="144" spans="1:27" x14ac:dyDescent="0.15">
      <c r="A144" s="44" t="s">
        <v>152</v>
      </c>
      <c r="B144" s="15"/>
      <c r="C144" s="28"/>
      <c r="D144" s="16"/>
      <c r="E144" s="19"/>
      <c r="F144" s="42">
        <f t="shared" si="112"/>
        <v>0</v>
      </c>
      <c r="G144" s="15"/>
      <c r="H144" s="28">
        <v>-1</v>
      </c>
      <c r="I144" s="16"/>
      <c r="J144" s="31"/>
      <c r="K144" s="79">
        <f t="shared" si="125"/>
        <v>-1</v>
      </c>
      <c r="L144" s="94">
        <f t="shared" si="119"/>
        <v>-1</v>
      </c>
      <c r="M144" s="105">
        <v>45821</v>
      </c>
      <c r="N144" s="44"/>
      <c r="O144" s="15"/>
      <c r="P144" s="28"/>
      <c r="Q144" s="16"/>
      <c r="R144" s="19"/>
      <c r="S144" s="42">
        <f t="shared" ref="S144:S148" si="127">SUM(O144:R144)</f>
        <v>0</v>
      </c>
      <c r="T144" s="15"/>
      <c r="U144" s="16"/>
      <c r="V144" s="28"/>
      <c r="W144" s="53"/>
      <c r="X144" s="9">
        <f t="shared" ref="X144:X148" si="128">SUM(T144:W144)</f>
        <v>0</v>
      </c>
      <c r="Y144" s="94">
        <f t="shared" ref="Y144:Y148" si="129">S144+X144</f>
        <v>0</v>
      </c>
      <c r="Z144" s="133"/>
    </row>
    <row r="145" spans="1:26" x14ac:dyDescent="0.15">
      <c r="A145" s="44" t="s">
        <v>27</v>
      </c>
      <c r="B145" s="15"/>
      <c r="C145" s="28"/>
      <c r="D145" s="16"/>
      <c r="E145" s="19"/>
      <c r="F145" s="42">
        <f t="shared" si="112"/>
        <v>0</v>
      </c>
      <c r="G145" s="38"/>
      <c r="H145" s="39"/>
      <c r="I145" s="40"/>
      <c r="J145" s="52">
        <v>1</v>
      </c>
      <c r="K145" s="83">
        <f t="shared" si="125"/>
        <v>1</v>
      </c>
      <c r="L145" s="94">
        <f t="shared" si="119"/>
        <v>1</v>
      </c>
      <c r="M145" s="105">
        <v>45828</v>
      </c>
      <c r="N145" s="44" t="s">
        <v>125</v>
      </c>
      <c r="O145" s="15"/>
      <c r="P145" s="28"/>
      <c r="Q145" s="16"/>
      <c r="R145" s="19"/>
      <c r="S145" s="42">
        <f t="shared" si="127"/>
        <v>0</v>
      </c>
      <c r="T145" s="38"/>
      <c r="U145" s="39"/>
      <c r="V145" s="40"/>
      <c r="W145" s="52"/>
      <c r="X145" s="54">
        <f t="shared" si="128"/>
        <v>0</v>
      </c>
      <c r="Y145" s="94">
        <f t="shared" si="129"/>
        <v>0</v>
      </c>
      <c r="Z145" s="133" t="s">
        <v>126</v>
      </c>
    </row>
    <row r="146" spans="1:26" x14ac:dyDescent="0.15">
      <c r="A146" s="44" t="s">
        <v>27</v>
      </c>
      <c r="B146" s="15"/>
      <c r="C146" s="28">
        <v>1</v>
      </c>
      <c r="D146" s="16"/>
      <c r="E146" s="19">
        <v>1</v>
      </c>
      <c r="F146" s="42">
        <f t="shared" si="112"/>
        <v>2</v>
      </c>
      <c r="G146" s="15"/>
      <c r="H146" s="28"/>
      <c r="I146" s="16"/>
      <c r="J146" s="31">
        <v>1</v>
      </c>
      <c r="K146" s="79">
        <f t="shared" si="125"/>
        <v>1</v>
      </c>
      <c r="L146" s="94">
        <f t="shared" si="119"/>
        <v>3</v>
      </c>
      <c r="M146" s="105">
        <v>45831</v>
      </c>
      <c r="N146" s="44" t="s">
        <v>98</v>
      </c>
      <c r="O146" s="15"/>
      <c r="P146" s="28"/>
      <c r="Q146" s="16"/>
      <c r="R146" s="19"/>
      <c r="S146" s="42">
        <f t="shared" si="127"/>
        <v>0</v>
      </c>
      <c r="T146" s="38"/>
      <c r="U146" s="39"/>
      <c r="V146" s="40"/>
      <c r="W146" s="52"/>
      <c r="X146" s="54">
        <f t="shared" si="128"/>
        <v>0</v>
      </c>
      <c r="Y146" s="94">
        <f t="shared" si="129"/>
        <v>0</v>
      </c>
      <c r="Z146" s="133" t="s">
        <v>118</v>
      </c>
    </row>
    <row r="147" spans="1:26" x14ac:dyDescent="0.15">
      <c r="A147" s="44"/>
      <c r="B147" s="15"/>
      <c r="C147" s="28"/>
      <c r="D147" s="16"/>
      <c r="E147" s="19"/>
      <c r="F147" s="42">
        <f t="shared" si="112"/>
        <v>0</v>
      </c>
      <c r="G147" s="15"/>
      <c r="H147" s="28"/>
      <c r="I147" s="16"/>
      <c r="J147" s="31"/>
      <c r="K147" s="79">
        <f t="shared" si="125"/>
        <v>0</v>
      </c>
      <c r="L147" s="94">
        <f t="shared" si="119"/>
        <v>0</v>
      </c>
      <c r="N147" s="44" t="s">
        <v>116</v>
      </c>
      <c r="O147" s="15"/>
      <c r="P147" s="28"/>
      <c r="Q147" s="16"/>
      <c r="R147" s="19"/>
      <c r="S147" s="42">
        <f t="shared" si="127"/>
        <v>0</v>
      </c>
      <c r="T147" s="38"/>
      <c r="U147" s="39"/>
      <c r="V147" s="40"/>
      <c r="W147" s="52"/>
      <c r="X147" s="54">
        <f t="shared" si="128"/>
        <v>0</v>
      </c>
      <c r="Y147" s="94">
        <f t="shared" si="129"/>
        <v>0</v>
      </c>
      <c r="Z147" s="133" t="s">
        <v>117</v>
      </c>
    </row>
    <row r="148" spans="1:26" ht="14.25" thickBot="1" x14ac:dyDescent="0.2">
      <c r="A148" s="44"/>
      <c r="B148" s="34"/>
      <c r="C148" s="35"/>
      <c r="D148" s="36"/>
      <c r="E148" s="37"/>
      <c r="F148" s="42">
        <f t="shared" si="112"/>
        <v>0</v>
      </c>
      <c r="G148" s="34"/>
      <c r="H148" s="36"/>
      <c r="I148" s="35"/>
      <c r="J148" s="64"/>
      <c r="K148" s="80">
        <f t="shared" si="125"/>
        <v>0</v>
      </c>
      <c r="L148" s="106">
        <f t="shared" si="119"/>
        <v>0</v>
      </c>
      <c r="N148" s="146" t="s">
        <v>80</v>
      </c>
      <c r="O148" s="34"/>
      <c r="P148" s="35"/>
      <c r="Q148" s="36"/>
      <c r="R148" s="37"/>
      <c r="S148" s="43">
        <f t="shared" si="127"/>
        <v>0</v>
      </c>
      <c r="T148" s="34"/>
      <c r="U148" s="36"/>
      <c r="V148" s="35"/>
      <c r="W148" s="64"/>
      <c r="X148" s="10">
        <f t="shared" si="128"/>
        <v>0</v>
      </c>
      <c r="Y148" s="142">
        <f t="shared" si="129"/>
        <v>0</v>
      </c>
      <c r="Z148" s="104">
        <v>45812</v>
      </c>
    </row>
    <row r="149" spans="1:26" ht="14.25" thickBot="1" x14ac:dyDescent="0.2">
      <c r="A149" s="12" t="s">
        <v>8</v>
      </c>
      <c r="B149" s="21">
        <f>SUM(B124:B148)</f>
        <v>1</v>
      </c>
      <c r="C149" s="29">
        <f>SUM(C124:C148)</f>
        <v>2</v>
      </c>
      <c r="D149" s="22">
        <f>SUM(D124:D148)</f>
        <v>2</v>
      </c>
      <c r="E149" s="23">
        <f>SUM(E124:E148)</f>
        <v>5</v>
      </c>
      <c r="F149" s="20">
        <f>SUM(B149:E149)</f>
        <v>10</v>
      </c>
      <c r="G149" s="21">
        <f>SUM(G124:G148)</f>
        <v>4</v>
      </c>
      <c r="H149" s="29">
        <f>SUM(H124:H148)</f>
        <v>5</v>
      </c>
      <c r="I149" s="22">
        <f>SUM(I124:I148)</f>
        <v>6</v>
      </c>
      <c r="J149" s="23">
        <f>SUM(J124:J148)</f>
        <v>6</v>
      </c>
      <c r="K149" s="81">
        <f t="shared" si="125"/>
        <v>21</v>
      </c>
      <c r="L149" s="107">
        <f t="shared" si="119"/>
        <v>31</v>
      </c>
      <c r="N149" s="110" t="s">
        <v>8</v>
      </c>
      <c r="O149" s="21">
        <f>SUM(O124:O148)</f>
        <v>23</v>
      </c>
      <c r="P149" s="29">
        <f>SUM(P124:P148)</f>
        <v>29</v>
      </c>
      <c r="Q149" s="22">
        <f>SUM(Q124:Q148)</f>
        <v>34</v>
      </c>
      <c r="R149" s="23">
        <f>SUM(R124:R148)</f>
        <v>36</v>
      </c>
      <c r="S149" s="45">
        <f>SUM(O149:R149)</f>
        <v>122</v>
      </c>
      <c r="T149" s="21">
        <f>SUM(T124:T148)</f>
        <v>27</v>
      </c>
      <c r="U149" s="29">
        <f>SUM(U124:U148)</f>
        <v>37</v>
      </c>
      <c r="V149" s="22">
        <f>SUM(V124:V148)</f>
        <v>33</v>
      </c>
      <c r="W149" s="23">
        <f>SUM(W124:W148)</f>
        <v>48</v>
      </c>
      <c r="X149" s="45">
        <f t="shared" ref="X149" si="130">SUM(T149:W149)</f>
        <v>145</v>
      </c>
      <c r="Y149" s="111">
        <f t="shared" si="120"/>
        <v>267</v>
      </c>
    </row>
    <row r="150" spans="1:26" ht="14.25" thickBot="1" x14ac:dyDescent="0.2">
      <c r="A150" s="13" t="s">
        <v>9</v>
      </c>
      <c r="B150" s="24">
        <f t="shared" ref="B150:K150" si="131">B123-B149</f>
        <v>4</v>
      </c>
      <c r="C150" s="30">
        <f t="shared" si="131"/>
        <v>5</v>
      </c>
      <c r="D150" s="25">
        <f t="shared" si="131"/>
        <v>5</v>
      </c>
      <c r="E150" s="26">
        <f t="shared" si="131"/>
        <v>1</v>
      </c>
      <c r="F150" s="71">
        <f t="shared" si="131"/>
        <v>15</v>
      </c>
      <c r="G150" s="24">
        <f t="shared" si="131"/>
        <v>4</v>
      </c>
      <c r="H150" s="30">
        <f t="shared" si="131"/>
        <v>7</v>
      </c>
      <c r="I150" s="25">
        <f t="shared" si="131"/>
        <v>5</v>
      </c>
      <c r="J150" s="26">
        <f t="shared" si="131"/>
        <v>3</v>
      </c>
      <c r="K150" s="82">
        <f t="shared" si="131"/>
        <v>19</v>
      </c>
      <c r="L150" s="86">
        <f t="shared" si="119"/>
        <v>34</v>
      </c>
      <c r="N150" s="13" t="s">
        <v>9</v>
      </c>
      <c r="O150" s="24">
        <f t="shared" ref="O150:X150" si="132">O123-O149</f>
        <v>63</v>
      </c>
      <c r="P150" s="30">
        <f t="shared" si="132"/>
        <v>67</v>
      </c>
      <c r="Q150" s="25">
        <f t="shared" si="132"/>
        <v>55</v>
      </c>
      <c r="R150" s="26">
        <f t="shared" si="132"/>
        <v>40</v>
      </c>
      <c r="S150" s="71">
        <f t="shared" si="132"/>
        <v>225</v>
      </c>
      <c r="T150" s="24">
        <f t="shared" si="132"/>
        <v>59</v>
      </c>
      <c r="U150" s="30">
        <f t="shared" si="132"/>
        <v>43</v>
      </c>
      <c r="V150" s="25">
        <f t="shared" si="132"/>
        <v>42</v>
      </c>
      <c r="W150" s="26">
        <f t="shared" si="132"/>
        <v>5</v>
      </c>
      <c r="X150" s="33">
        <f t="shared" si="132"/>
        <v>149</v>
      </c>
      <c r="Y150" s="86">
        <f t="shared" si="120"/>
        <v>374</v>
      </c>
    </row>
    <row r="151" spans="1:26" x14ac:dyDescent="0.15">
      <c r="O151" s="51">
        <f>O150/$S$112*100</f>
        <v>31.658291457286431</v>
      </c>
      <c r="P151" s="51">
        <f t="shared" ref="P151:S151" si="133">P150/$S$112*100</f>
        <v>33.668341708542712</v>
      </c>
      <c r="Q151" s="51">
        <f t="shared" si="133"/>
        <v>27.638190954773869</v>
      </c>
      <c r="R151" s="51">
        <f t="shared" si="133"/>
        <v>20.100502512562816</v>
      </c>
      <c r="S151" s="51">
        <f t="shared" si="133"/>
        <v>113.06532663316582</v>
      </c>
      <c r="T151" s="51">
        <f>T150/$X$112*100</f>
        <v>34.502923976608187</v>
      </c>
      <c r="U151" s="51">
        <f t="shared" ref="U151:X151" si="134">U150/$X$112*100</f>
        <v>25.146198830409354</v>
      </c>
      <c r="V151" s="51">
        <f t="shared" si="134"/>
        <v>24.561403508771928</v>
      </c>
      <c r="W151" s="51">
        <f t="shared" si="134"/>
        <v>2.9239766081871341</v>
      </c>
      <c r="X151" s="51">
        <f t="shared" si="134"/>
        <v>87.134502923976612</v>
      </c>
    </row>
    <row r="152" spans="1:26" x14ac:dyDescent="0.15">
      <c r="S152">
        <v>650</v>
      </c>
      <c r="X152">
        <v>800</v>
      </c>
    </row>
    <row r="153" spans="1:26" ht="19.5" thickBot="1" x14ac:dyDescent="0.25">
      <c r="A153" s="2" t="s">
        <v>15</v>
      </c>
      <c r="B153" s="2"/>
      <c r="C153" s="1"/>
      <c r="D153" s="1"/>
      <c r="E153" s="1"/>
      <c r="G153" s="72"/>
      <c r="H153" s="1"/>
      <c r="I153" s="1"/>
      <c r="J153" s="1"/>
      <c r="K153" s="72" t="s">
        <v>12</v>
      </c>
      <c r="N153" s="2" t="s">
        <v>16</v>
      </c>
      <c r="O153" s="2"/>
      <c r="P153" s="1"/>
      <c r="Q153" s="1"/>
      <c r="R153" s="1"/>
      <c r="U153" s="1"/>
      <c r="V153" s="1"/>
      <c r="W153" s="1"/>
      <c r="X153" s="72" t="s">
        <v>12</v>
      </c>
    </row>
    <row r="154" spans="1:26" ht="14.25" thickBot="1" x14ac:dyDescent="0.2">
      <c r="A154" s="5" t="s">
        <v>0</v>
      </c>
      <c r="B154" s="245" t="s">
        <v>34</v>
      </c>
      <c r="C154" s="246"/>
      <c r="D154" s="246"/>
      <c r="E154" s="246"/>
      <c r="F154" s="247"/>
      <c r="G154" s="248" t="s">
        <v>35</v>
      </c>
      <c r="H154" s="249"/>
      <c r="I154" s="249"/>
      <c r="J154" s="249"/>
      <c r="K154" s="249"/>
      <c r="L154" s="243" t="s">
        <v>14</v>
      </c>
      <c r="N154" s="5" t="s">
        <v>0</v>
      </c>
      <c r="O154" s="245" t="s">
        <v>58</v>
      </c>
      <c r="P154" s="246"/>
      <c r="Q154" s="246"/>
      <c r="R154" s="246"/>
      <c r="S154" s="247"/>
      <c r="T154" s="248" t="s">
        <v>59</v>
      </c>
      <c r="U154" s="249"/>
      <c r="V154" s="249"/>
      <c r="W154" s="249"/>
      <c r="X154" s="249"/>
      <c r="Y154" s="243" t="s">
        <v>14</v>
      </c>
    </row>
    <row r="155" spans="1:26" ht="14.25" thickBot="1" x14ac:dyDescent="0.2">
      <c r="A155" s="5" t="s">
        <v>1</v>
      </c>
      <c r="B155" s="3" t="s">
        <v>17</v>
      </c>
      <c r="C155" s="27" t="s">
        <v>18</v>
      </c>
      <c r="D155" s="4" t="s">
        <v>19</v>
      </c>
      <c r="E155" s="14" t="s">
        <v>20</v>
      </c>
      <c r="F155" s="18" t="s">
        <v>2</v>
      </c>
      <c r="G155" s="3" t="s">
        <v>17</v>
      </c>
      <c r="H155" s="27" t="s">
        <v>18</v>
      </c>
      <c r="I155" s="4" t="s">
        <v>19</v>
      </c>
      <c r="J155" s="14" t="s">
        <v>20</v>
      </c>
      <c r="K155" s="73" t="s">
        <v>2</v>
      </c>
      <c r="L155" s="244"/>
      <c r="N155" s="5" t="s">
        <v>1</v>
      </c>
      <c r="O155" s="3" t="s">
        <v>17</v>
      </c>
      <c r="P155" s="27" t="s">
        <v>18</v>
      </c>
      <c r="Q155" s="4" t="s">
        <v>19</v>
      </c>
      <c r="R155" s="14" t="s">
        <v>20</v>
      </c>
      <c r="S155" s="18" t="s">
        <v>2</v>
      </c>
      <c r="T155" s="3" t="s">
        <v>17</v>
      </c>
      <c r="U155" s="27" t="s">
        <v>18</v>
      </c>
      <c r="V155" s="4" t="s">
        <v>19</v>
      </c>
      <c r="W155" s="14" t="s">
        <v>20</v>
      </c>
      <c r="X155" s="18" t="s">
        <v>2</v>
      </c>
      <c r="Y155" s="244"/>
    </row>
    <row r="156" spans="1:26" x14ac:dyDescent="0.15">
      <c r="A156" s="66" t="s">
        <v>10</v>
      </c>
      <c r="B156" s="67">
        <f>B150</f>
        <v>4</v>
      </c>
      <c r="C156" s="68">
        <f>C150</f>
        <v>5</v>
      </c>
      <c r="D156" s="68">
        <f>D150</f>
        <v>5</v>
      </c>
      <c r="E156" s="69">
        <f>E150</f>
        <v>1</v>
      </c>
      <c r="F156" s="70">
        <f>SUM(B156:E156)</f>
        <v>15</v>
      </c>
      <c r="G156" s="67">
        <f>G150</f>
        <v>4</v>
      </c>
      <c r="H156" s="68">
        <f>H150</f>
        <v>7</v>
      </c>
      <c r="I156" s="68">
        <f>I150</f>
        <v>5</v>
      </c>
      <c r="J156" s="69">
        <f>J150</f>
        <v>3</v>
      </c>
      <c r="K156" s="74">
        <f>SUM(G156:J156)</f>
        <v>19</v>
      </c>
      <c r="L156" s="84">
        <f>F156+K156</f>
        <v>34</v>
      </c>
      <c r="N156" s="66" t="s">
        <v>10</v>
      </c>
      <c r="O156" s="67">
        <f>O150</f>
        <v>63</v>
      </c>
      <c r="P156" s="68">
        <f>P150</f>
        <v>67</v>
      </c>
      <c r="Q156" s="68">
        <f>Q150</f>
        <v>55</v>
      </c>
      <c r="R156" s="69">
        <f>R150</f>
        <v>40</v>
      </c>
      <c r="S156" s="70">
        <f>SUM(O156:R156)</f>
        <v>225</v>
      </c>
      <c r="T156" s="67">
        <f>T150</f>
        <v>59</v>
      </c>
      <c r="U156" s="68">
        <f>U150</f>
        <v>43</v>
      </c>
      <c r="V156" s="68">
        <f>V150</f>
        <v>42</v>
      </c>
      <c r="W156" s="87">
        <f>W150</f>
        <v>5</v>
      </c>
      <c r="X156" s="88">
        <f>SUM(T156:W156)</f>
        <v>149</v>
      </c>
      <c r="Y156" s="84">
        <f>S156+X156</f>
        <v>374</v>
      </c>
    </row>
    <row r="157" spans="1:26" x14ac:dyDescent="0.15">
      <c r="A157" s="44" t="s">
        <v>3</v>
      </c>
      <c r="B157" s="47"/>
      <c r="C157" s="48"/>
      <c r="D157" s="49"/>
      <c r="E157" s="50">
        <v>5</v>
      </c>
      <c r="F157" s="54">
        <f>SUM(B157:E157)</f>
        <v>5</v>
      </c>
      <c r="G157" s="38"/>
      <c r="H157" s="39"/>
      <c r="I157" s="40"/>
      <c r="J157" s="41">
        <v>5</v>
      </c>
      <c r="K157" s="75">
        <f>SUM(G157:J157)</f>
        <v>5</v>
      </c>
      <c r="L157" s="94">
        <f t="shared" ref="L157:L160" si="135">F157+K157</f>
        <v>10</v>
      </c>
      <c r="M157" s="104">
        <v>45832</v>
      </c>
      <c r="N157" s="11" t="s">
        <v>162</v>
      </c>
      <c r="O157" s="15"/>
      <c r="P157" s="28"/>
      <c r="Q157" s="16"/>
      <c r="R157" s="31"/>
      <c r="S157" s="9">
        <f>SUM(O157:R157)</f>
        <v>0</v>
      </c>
      <c r="T157" s="15"/>
      <c r="U157" s="28"/>
      <c r="V157" s="16"/>
      <c r="W157" s="31"/>
      <c r="X157" s="9">
        <f>SUM(T157:W157)</f>
        <v>0</v>
      </c>
      <c r="Y157" s="94">
        <f t="shared" ref="Y157" si="136">S157+X157</f>
        <v>0</v>
      </c>
      <c r="Z157" s="104"/>
    </row>
    <row r="158" spans="1:26" x14ac:dyDescent="0.15">
      <c r="A158" s="44" t="s">
        <v>4</v>
      </c>
      <c r="B158" s="47"/>
      <c r="C158" s="48"/>
      <c r="D158" s="49">
        <v>5</v>
      </c>
      <c r="E158" s="50"/>
      <c r="F158" s="54">
        <f t="shared" ref="F158:F159" si="137">SUM(B158:E158)</f>
        <v>5</v>
      </c>
      <c r="G158" s="38"/>
      <c r="H158" s="39"/>
      <c r="I158" s="40"/>
      <c r="J158" s="41">
        <v>3</v>
      </c>
      <c r="K158" s="75">
        <f t="shared" ref="K158:K159" si="138">SUM(G158:J158)</f>
        <v>3</v>
      </c>
      <c r="L158" s="94">
        <f t="shared" ref="L158:L159" si="139">F158+K158</f>
        <v>8</v>
      </c>
      <c r="M158" s="104">
        <v>45840</v>
      </c>
      <c r="N158" s="11" t="s">
        <v>163</v>
      </c>
      <c r="O158" s="15"/>
      <c r="P158" s="28"/>
      <c r="Q158" s="16"/>
      <c r="R158" s="31"/>
      <c r="S158" s="9">
        <f>SUM(O158:R158)</f>
        <v>0</v>
      </c>
      <c r="T158" s="15"/>
      <c r="U158" s="28"/>
      <c r="V158" s="16"/>
      <c r="W158" s="31">
        <v>40</v>
      </c>
      <c r="X158" s="9">
        <f>SUM(T158:W158)</f>
        <v>40</v>
      </c>
      <c r="Y158" s="94">
        <f t="shared" ref="Y158:Y159" si="140">S158+X158</f>
        <v>40</v>
      </c>
      <c r="Z158" s="104" t="s">
        <v>178</v>
      </c>
    </row>
    <row r="159" spans="1:26" x14ac:dyDescent="0.15">
      <c r="A159" s="44" t="s">
        <v>5</v>
      </c>
      <c r="B159" s="47">
        <v>3</v>
      </c>
      <c r="C159" s="48"/>
      <c r="D159" s="49">
        <v>3</v>
      </c>
      <c r="E159" s="50">
        <v>5</v>
      </c>
      <c r="F159" s="54">
        <f t="shared" si="137"/>
        <v>11</v>
      </c>
      <c r="G159" s="38"/>
      <c r="H159" s="39"/>
      <c r="I159" s="40"/>
      <c r="J159" s="41">
        <v>3</v>
      </c>
      <c r="K159" s="75">
        <f t="shared" si="138"/>
        <v>3</v>
      </c>
      <c r="L159" s="94">
        <f t="shared" si="139"/>
        <v>14</v>
      </c>
      <c r="M159" s="104">
        <v>45842</v>
      </c>
      <c r="N159" s="11" t="s">
        <v>45</v>
      </c>
      <c r="O159" s="15">
        <v>15</v>
      </c>
      <c r="P159" s="28">
        <v>30</v>
      </c>
      <c r="Q159" s="16">
        <v>50</v>
      </c>
      <c r="R159" s="31">
        <v>35</v>
      </c>
      <c r="S159" s="9">
        <f>SUM(O159:R159)</f>
        <v>130</v>
      </c>
      <c r="T159" s="15">
        <v>20</v>
      </c>
      <c r="U159" s="28">
        <v>35</v>
      </c>
      <c r="V159" s="16">
        <v>60</v>
      </c>
      <c r="W159" s="31">
        <v>15</v>
      </c>
      <c r="X159" s="9">
        <f>SUM(T159:W159)</f>
        <v>130</v>
      </c>
      <c r="Y159" s="94">
        <f t="shared" si="140"/>
        <v>260</v>
      </c>
      <c r="Z159" s="104" t="s">
        <v>191</v>
      </c>
    </row>
    <row r="160" spans="1:26" ht="14.25" thickBot="1" x14ac:dyDescent="0.2">
      <c r="A160" s="11" t="s">
        <v>6</v>
      </c>
      <c r="B160" s="6"/>
      <c r="C160" s="17"/>
      <c r="D160" s="7"/>
      <c r="E160" s="8"/>
      <c r="F160" s="10">
        <f>SUM(B160:E160)</f>
        <v>0</v>
      </c>
      <c r="G160" s="34"/>
      <c r="H160" s="35"/>
      <c r="I160" s="36">
        <v>3</v>
      </c>
      <c r="J160" s="37">
        <v>3</v>
      </c>
      <c r="K160" s="77">
        <f>SUM(G160:J160)</f>
        <v>6</v>
      </c>
      <c r="L160" s="94">
        <f t="shared" si="135"/>
        <v>6</v>
      </c>
      <c r="M160" s="104">
        <v>45843</v>
      </c>
      <c r="N160" s="11" t="s">
        <v>29</v>
      </c>
      <c r="O160" s="15"/>
      <c r="P160" s="28"/>
      <c r="Q160" s="16">
        <v>-1</v>
      </c>
      <c r="R160" s="31"/>
      <c r="S160" s="9">
        <f>SUM(O160:R160)</f>
        <v>-1</v>
      </c>
      <c r="T160" s="15">
        <v>-1</v>
      </c>
      <c r="U160" s="28"/>
      <c r="V160" s="16"/>
      <c r="W160" s="31"/>
      <c r="X160" s="9">
        <f>SUM(T160:W160)</f>
        <v>-1</v>
      </c>
      <c r="Y160" s="94">
        <f t="shared" ref="Y160" si="141">S160+X160</f>
        <v>-2</v>
      </c>
      <c r="Z160" s="133"/>
    </row>
    <row r="161" spans="1:27" ht="14.25" thickBot="1" x14ac:dyDescent="0.2">
      <c r="A161" s="13" t="s">
        <v>7</v>
      </c>
      <c r="B161" s="55">
        <f t="shared" ref="B161:K161" si="142">SUM(B156:B160)</f>
        <v>7</v>
      </c>
      <c r="C161" s="56">
        <f t="shared" si="142"/>
        <v>5</v>
      </c>
      <c r="D161" s="57">
        <f t="shared" si="142"/>
        <v>13</v>
      </c>
      <c r="E161" s="58">
        <f t="shared" si="142"/>
        <v>11</v>
      </c>
      <c r="F161" s="59">
        <f t="shared" si="142"/>
        <v>36</v>
      </c>
      <c r="G161" s="24">
        <f t="shared" si="142"/>
        <v>4</v>
      </c>
      <c r="H161" s="30">
        <f t="shared" si="142"/>
        <v>7</v>
      </c>
      <c r="I161" s="25">
        <f t="shared" si="142"/>
        <v>8</v>
      </c>
      <c r="J161" s="60">
        <f t="shared" si="142"/>
        <v>17</v>
      </c>
      <c r="K161" s="78">
        <f t="shared" si="142"/>
        <v>36</v>
      </c>
      <c r="L161" s="85">
        <f>F161+K161</f>
        <v>72</v>
      </c>
      <c r="N161" s="13" t="s">
        <v>7</v>
      </c>
      <c r="O161" s="55">
        <f t="shared" ref="O161:X161" si="143">SUM(O156:O160)</f>
        <v>78</v>
      </c>
      <c r="P161" s="56">
        <f t="shared" si="143"/>
        <v>97</v>
      </c>
      <c r="Q161" s="57">
        <f t="shared" si="143"/>
        <v>104</v>
      </c>
      <c r="R161" s="58">
        <f t="shared" si="143"/>
        <v>75</v>
      </c>
      <c r="S161" s="59">
        <f t="shared" si="143"/>
        <v>354</v>
      </c>
      <c r="T161" s="24">
        <f t="shared" si="143"/>
        <v>78</v>
      </c>
      <c r="U161" s="30">
        <f t="shared" si="143"/>
        <v>78</v>
      </c>
      <c r="V161" s="25">
        <f t="shared" si="143"/>
        <v>102</v>
      </c>
      <c r="W161" s="60">
        <f t="shared" si="143"/>
        <v>60</v>
      </c>
      <c r="X161" s="61">
        <f t="shared" si="143"/>
        <v>318</v>
      </c>
      <c r="Y161" s="85">
        <f>S161+X161</f>
        <v>672</v>
      </c>
    </row>
    <row r="162" spans="1:27" x14ac:dyDescent="0.15">
      <c r="A162" s="44" t="s">
        <v>27</v>
      </c>
      <c r="B162" s="15"/>
      <c r="C162" s="28"/>
      <c r="D162" s="16"/>
      <c r="E162" s="19"/>
      <c r="F162" s="42">
        <f t="shared" ref="F162:F170" si="144">SUM(B162:E162)</f>
        <v>0</v>
      </c>
      <c r="G162" s="15"/>
      <c r="H162" s="28"/>
      <c r="I162" s="16"/>
      <c r="J162" s="31">
        <v>1</v>
      </c>
      <c r="K162" s="79">
        <f t="shared" ref="K162:K170" si="145">SUM(G162:J162)</f>
        <v>1</v>
      </c>
      <c r="L162" s="94">
        <f t="shared" ref="L162:L170" si="146">F162+K162</f>
        <v>1</v>
      </c>
      <c r="M162" s="104">
        <v>45832</v>
      </c>
      <c r="N162" s="44" t="s">
        <v>26</v>
      </c>
      <c r="O162" s="38">
        <v>2</v>
      </c>
      <c r="P162" s="39"/>
      <c r="Q162" s="40">
        <v>2</v>
      </c>
      <c r="R162" s="41"/>
      <c r="S162" s="62">
        <f t="shared" ref="S162" si="147">SUM(O162:R162)</f>
        <v>4</v>
      </c>
      <c r="T162" s="15"/>
      <c r="U162" s="28"/>
      <c r="V162" s="16">
        <v>2</v>
      </c>
      <c r="W162" s="31"/>
      <c r="X162" s="9">
        <f>SUM(T162:W162)</f>
        <v>2</v>
      </c>
      <c r="Y162" s="101">
        <f t="shared" ref="Y162" si="148">S162+X162</f>
        <v>6</v>
      </c>
      <c r="Z162" s="104">
        <v>45848</v>
      </c>
      <c r="AA162" s="109"/>
    </row>
    <row r="163" spans="1:27" x14ac:dyDescent="0.15">
      <c r="A163" s="44" t="s">
        <v>158</v>
      </c>
      <c r="B163" s="15"/>
      <c r="C163" s="28"/>
      <c r="D163" s="16">
        <v>1</v>
      </c>
      <c r="E163" s="19"/>
      <c r="F163" s="42">
        <f t="shared" si="144"/>
        <v>1</v>
      </c>
      <c r="G163" s="15"/>
      <c r="H163" s="28"/>
      <c r="I163" s="16"/>
      <c r="J163" s="31"/>
      <c r="K163" s="79">
        <f t="shared" si="145"/>
        <v>0</v>
      </c>
      <c r="L163" s="94">
        <f t="shared" si="146"/>
        <v>1</v>
      </c>
      <c r="M163" s="104">
        <v>45840</v>
      </c>
      <c r="N163" s="121" t="s">
        <v>175</v>
      </c>
      <c r="O163" s="15"/>
      <c r="P163" s="28"/>
      <c r="Q163" s="16"/>
      <c r="R163" s="19"/>
      <c r="S163" s="42">
        <f t="shared" ref="S163:S180" si="149">SUM(O163:R163)</f>
        <v>0</v>
      </c>
      <c r="T163" s="15"/>
      <c r="U163" s="28"/>
      <c r="V163" s="16"/>
      <c r="W163" s="31">
        <v>6</v>
      </c>
      <c r="X163" s="9">
        <f t="shared" ref="X163:X168" si="150">SUM(T163:W163)</f>
        <v>6</v>
      </c>
      <c r="Y163" s="94">
        <f>S163+X163</f>
        <v>6</v>
      </c>
      <c r="Z163" s="104">
        <v>45853</v>
      </c>
      <c r="AA163" s="109"/>
    </row>
    <row r="164" spans="1:27" x14ac:dyDescent="0.15">
      <c r="A164" s="44" t="s">
        <v>27</v>
      </c>
      <c r="B164" s="15"/>
      <c r="C164" s="28"/>
      <c r="D164" s="16">
        <v>1</v>
      </c>
      <c r="E164" s="19"/>
      <c r="F164" s="42">
        <f t="shared" si="144"/>
        <v>1</v>
      </c>
      <c r="G164" s="15"/>
      <c r="H164" s="28"/>
      <c r="I164" s="16"/>
      <c r="J164" s="31">
        <v>1</v>
      </c>
      <c r="K164" s="79">
        <f t="shared" si="145"/>
        <v>1</v>
      </c>
      <c r="L164" s="94">
        <f t="shared" si="146"/>
        <v>2</v>
      </c>
      <c r="M164" s="104">
        <v>45838</v>
      </c>
      <c r="N164" s="121" t="s">
        <v>176</v>
      </c>
      <c r="O164" s="15"/>
      <c r="P164" s="28"/>
      <c r="Q164" s="16"/>
      <c r="R164" s="19"/>
      <c r="S164" s="42">
        <f t="shared" si="149"/>
        <v>0</v>
      </c>
      <c r="T164" s="15"/>
      <c r="U164" s="28"/>
      <c r="V164" s="16">
        <v>3</v>
      </c>
      <c r="W164" s="31"/>
      <c r="X164" s="9">
        <f t="shared" si="150"/>
        <v>3</v>
      </c>
      <c r="Y164" s="94">
        <f>S164+X164</f>
        <v>3</v>
      </c>
      <c r="Z164" s="104">
        <v>45853</v>
      </c>
      <c r="AA164" s="109"/>
    </row>
    <row r="165" spans="1:27" x14ac:dyDescent="0.15">
      <c r="A165" s="44" t="s">
        <v>160</v>
      </c>
      <c r="B165" s="15"/>
      <c r="C165" s="28"/>
      <c r="D165" s="16">
        <v>1</v>
      </c>
      <c r="E165" s="19">
        <v>1</v>
      </c>
      <c r="F165" s="42">
        <f t="shared" si="144"/>
        <v>2</v>
      </c>
      <c r="G165" s="15"/>
      <c r="H165" s="28"/>
      <c r="I165" s="16"/>
      <c r="J165" s="31"/>
      <c r="K165" s="79">
        <f t="shared" si="145"/>
        <v>0</v>
      </c>
      <c r="L165" s="94">
        <f t="shared" si="146"/>
        <v>2</v>
      </c>
      <c r="M165" s="104">
        <v>45841</v>
      </c>
      <c r="N165" s="44" t="s">
        <v>26</v>
      </c>
      <c r="O165" s="15">
        <v>3</v>
      </c>
      <c r="P165" s="28">
        <v>3</v>
      </c>
      <c r="Q165" s="16"/>
      <c r="R165" s="19"/>
      <c r="S165" s="42">
        <f t="shared" si="149"/>
        <v>6</v>
      </c>
      <c r="T165" s="15"/>
      <c r="U165" s="28">
        <v>5</v>
      </c>
      <c r="V165" s="16"/>
      <c r="W165" s="31"/>
      <c r="X165" s="9">
        <f t="shared" si="150"/>
        <v>5</v>
      </c>
      <c r="Y165" s="94">
        <f t="shared" ref="Y165:Y166" si="151">S165+X165</f>
        <v>11</v>
      </c>
      <c r="Z165" s="104">
        <v>45852</v>
      </c>
    </row>
    <row r="166" spans="1:27" x14ac:dyDescent="0.15">
      <c r="A166" s="44" t="s">
        <v>27</v>
      </c>
      <c r="B166" s="15"/>
      <c r="C166" s="28"/>
      <c r="D166" s="16">
        <v>1</v>
      </c>
      <c r="E166" s="19"/>
      <c r="F166" s="42">
        <f t="shared" si="144"/>
        <v>1</v>
      </c>
      <c r="G166" s="15"/>
      <c r="H166" s="28">
        <v>1</v>
      </c>
      <c r="I166" s="16"/>
      <c r="J166" s="31"/>
      <c r="K166" s="79">
        <f t="shared" si="145"/>
        <v>1</v>
      </c>
      <c r="L166" s="94">
        <f t="shared" si="146"/>
        <v>2</v>
      </c>
      <c r="M166" s="104">
        <v>45839</v>
      </c>
      <c r="N166" s="44" t="s">
        <v>26</v>
      </c>
      <c r="O166" s="15"/>
      <c r="P166" s="28"/>
      <c r="Q166" s="16"/>
      <c r="R166" s="19"/>
      <c r="S166" s="42">
        <f>SUM(O166:R166)</f>
        <v>0</v>
      </c>
      <c r="T166" s="15">
        <v>5</v>
      </c>
      <c r="U166" s="28"/>
      <c r="V166" s="16"/>
      <c r="W166" s="31"/>
      <c r="X166" s="9">
        <f>SUM(T166:W166)</f>
        <v>5</v>
      </c>
      <c r="Y166" s="94">
        <f t="shared" si="151"/>
        <v>5</v>
      </c>
      <c r="Z166" s="104">
        <v>45853</v>
      </c>
    </row>
    <row r="167" spans="1:27" x14ac:dyDescent="0.15">
      <c r="A167" s="44" t="s">
        <v>161</v>
      </c>
      <c r="B167" s="15"/>
      <c r="C167" s="28">
        <v>1</v>
      </c>
      <c r="D167" s="16">
        <v>4</v>
      </c>
      <c r="E167" s="19"/>
      <c r="F167" s="42">
        <f t="shared" si="144"/>
        <v>5</v>
      </c>
      <c r="G167" s="15"/>
      <c r="H167" s="28"/>
      <c r="I167" s="16"/>
      <c r="J167" s="31">
        <v>1</v>
      </c>
      <c r="K167" s="79">
        <f t="shared" si="145"/>
        <v>1</v>
      </c>
      <c r="L167" s="94">
        <f t="shared" si="146"/>
        <v>6</v>
      </c>
      <c r="M167" s="104">
        <v>45842</v>
      </c>
      <c r="N167" s="135" t="s">
        <v>179</v>
      </c>
      <c r="O167" s="15"/>
      <c r="P167" s="28"/>
      <c r="Q167" s="16"/>
      <c r="R167" s="19"/>
      <c r="S167" s="42">
        <f t="shared" si="149"/>
        <v>0</v>
      </c>
      <c r="T167" s="15"/>
      <c r="U167" s="28"/>
      <c r="V167" s="16">
        <v>2</v>
      </c>
      <c r="W167" s="31"/>
      <c r="X167" s="9">
        <f t="shared" si="150"/>
        <v>2</v>
      </c>
      <c r="Y167" s="94">
        <f t="shared" ref="Y167:Y188" si="152">S167+X167</f>
        <v>2</v>
      </c>
      <c r="Z167" s="104">
        <v>45856</v>
      </c>
    </row>
    <row r="168" spans="1:27" x14ac:dyDescent="0.15">
      <c r="A168" s="44" t="s">
        <v>27</v>
      </c>
      <c r="B168" s="15"/>
      <c r="C168" s="28"/>
      <c r="D168" s="16"/>
      <c r="E168" s="19"/>
      <c r="F168" s="42">
        <f t="shared" si="144"/>
        <v>0</v>
      </c>
      <c r="G168" s="15"/>
      <c r="H168" s="28"/>
      <c r="I168" s="16">
        <v>1</v>
      </c>
      <c r="J168" s="31"/>
      <c r="K168" s="79">
        <f t="shared" si="145"/>
        <v>1</v>
      </c>
      <c r="L168" s="94">
        <f t="shared" si="146"/>
        <v>1</v>
      </c>
      <c r="M168" s="104">
        <v>45840</v>
      </c>
      <c r="N168" s="44" t="s">
        <v>26</v>
      </c>
      <c r="O168" s="15"/>
      <c r="P168" s="28"/>
      <c r="Q168" s="16">
        <v>3</v>
      </c>
      <c r="R168" s="19"/>
      <c r="S168" s="42">
        <f t="shared" si="149"/>
        <v>3</v>
      </c>
      <c r="T168" s="15"/>
      <c r="U168" s="28"/>
      <c r="V168" s="16">
        <v>3</v>
      </c>
      <c r="W168" s="31">
        <v>3</v>
      </c>
      <c r="X168" s="9">
        <f t="shared" si="150"/>
        <v>6</v>
      </c>
      <c r="Y168" s="94">
        <f t="shared" si="152"/>
        <v>9</v>
      </c>
      <c r="Z168" s="104">
        <v>45854</v>
      </c>
    </row>
    <row r="169" spans="1:27" x14ac:dyDescent="0.15">
      <c r="A169" s="44" t="s">
        <v>166</v>
      </c>
      <c r="B169" s="15">
        <v>1</v>
      </c>
      <c r="C169" s="28"/>
      <c r="D169" s="16"/>
      <c r="E169" s="19">
        <v>4</v>
      </c>
      <c r="F169" s="42">
        <f t="shared" si="144"/>
        <v>5</v>
      </c>
      <c r="G169" s="15"/>
      <c r="H169" s="28"/>
      <c r="I169" s="16"/>
      <c r="J169" s="31">
        <v>1</v>
      </c>
      <c r="K169" s="79">
        <f t="shared" si="145"/>
        <v>1</v>
      </c>
      <c r="L169" s="94">
        <f t="shared" si="146"/>
        <v>6</v>
      </c>
      <c r="M169" s="104">
        <v>45842</v>
      </c>
      <c r="N169" s="121" t="s">
        <v>182</v>
      </c>
      <c r="O169" s="15"/>
      <c r="P169" s="28"/>
      <c r="Q169" s="16"/>
      <c r="R169" s="19">
        <v>3</v>
      </c>
      <c r="S169" s="42">
        <f t="shared" si="149"/>
        <v>3</v>
      </c>
      <c r="T169" s="15"/>
      <c r="U169" s="28"/>
      <c r="V169" s="16"/>
      <c r="W169" s="31"/>
      <c r="X169" s="9">
        <f t="shared" ref="X169:X174" si="153">SUM(T169:W169)</f>
        <v>0</v>
      </c>
      <c r="Y169" s="94">
        <f t="shared" si="152"/>
        <v>3</v>
      </c>
      <c r="Z169" s="104">
        <v>45856</v>
      </c>
    </row>
    <row r="170" spans="1:27" x14ac:dyDescent="0.15">
      <c r="A170" s="44" t="s">
        <v>27</v>
      </c>
      <c r="B170" s="15"/>
      <c r="C170" s="28"/>
      <c r="D170" s="16"/>
      <c r="E170" s="19">
        <v>1</v>
      </c>
      <c r="F170" s="42">
        <f t="shared" si="144"/>
        <v>1</v>
      </c>
      <c r="G170" s="15"/>
      <c r="H170" s="28"/>
      <c r="I170" s="16"/>
      <c r="J170" s="31">
        <v>1</v>
      </c>
      <c r="K170" s="79">
        <f t="shared" si="145"/>
        <v>1</v>
      </c>
      <c r="L170" s="94">
        <f t="shared" si="146"/>
        <v>2</v>
      </c>
      <c r="M170" s="104">
        <v>45841</v>
      </c>
      <c r="N170" s="11" t="s">
        <v>180</v>
      </c>
      <c r="O170" s="15">
        <v>5</v>
      </c>
      <c r="P170" s="28">
        <v>10</v>
      </c>
      <c r="Q170" s="16">
        <v>5</v>
      </c>
      <c r="R170" s="19">
        <v>15</v>
      </c>
      <c r="S170" s="42">
        <f t="shared" si="149"/>
        <v>35</v>
      </c>
      <c r="T170" s="15"/>
      <c r="U170" s="28">
        <v>15</v>
      </c>
      <c r="V170" s="16"/>
      <c r="W170" s="31">
        <v>15</v>
      </c>
      <c r="X170" s="9">
        <f t="shared" si="153"/>
        <v>30</v>
      </c>
      <c r="Y170" s="94">
        <f t="shared" si="152"/>
        <v>65</v>
      </c>
      <c r="Z170" s="104">
        <v>45855</v>
      </c>
    </row>
    <row r="171" spans="1:27" x14ac:dyDescent="0.15">
      <c r="A171" s="44" t="s">
        <v>167</v>
      </c>
      <c r="B171" s="15"/>
      <c r="C171" s="28"/>
      <c r="D171" s="16"/>
      <c r="E171" s="19">
        <v>1</v>
      </c>
      <c r="F171" s="42">
        <f t="shared" ref="F171:F186" si="154">SUM(B171:E171)</f>
        <v>1</v>
      </c>
      <c r="G171" s="15"/>
      <c r="H171" s="28"/>
      <c r="I171" s="16">
        <v>1</v>
      </c>
      <c r="J171" s="31">
        <v>3</v>
      </c>
      <c r="K171" s="79">
        <f t="shared" ref="K171:K173" si="155">SUM(G171:J171)</f>
        <v>4</v>
      </c>
      <c r="L171" s="94">
        <f t="shared" ref="L171:L188" si="156">F171+K171</f>
        <v>5</v>
      </c>
      <c r="M171" s="104">
        <v>45845</v>
      </c>
      <c r="N171" s="11" t="s">
        <v>184</v>
      </c>
      <c r="O171" s="15">
        <v>10</v>
      </c>
      <c r="P171" s="28"/>
      <c r="Q171" s="16">
        <v>10</v>
      </c>
      <c r="R171" s="19">
        <v>10</v>
      </c>
      <c r="S171" s="42">
        <f t="shared" si="149"/>
        <v>30</v>
      </c>
      <c r="T171" s="15"/>
      <c r="U171" s="28">
        <v>5</v>
      </c>
      <c r="V171" s="16"/>
      <c r="W171" s="31">
        <v>10</v>
      </c>
      <c r="X171" s="9">
        <f t="shared" si="153"/>
        <v>15</v>
      </c>
      <c r="Y171" s="94">
        <f t="shared" si="152"/>
        <v>45</v>
      </c>
      <c r="Z171" s="104">
        <v>45856</v>
      </c>
    </row>
    <row r="172" spans="1:27" x14ac:dyDescent="0.15">
      <c r="A172" s="44" t="s">
        <v>27</v>
      </c>
      <c r="B172" s="15">
        <v>1</v>
      </c>
      <c r="C172" s="28"/>
      <c r="D172" s="16"/>
      <c r="E172" s="19"/>
      <c r="F172" s="42">
        <f t="shared" si="154"/>
        <v>1</v>
      </c>
      <c r="G172" s="15"/>
      <c r="H172" s="28"/>
      <c r="I172" s="16">
        <v>1</v>
      </c>
      <c r="J172" s="31">
        <v>1</v>
      </c>
      <c r="K172" s="79">
        <f t="shared" si="155"/>
        <v>2</v>
      </c>
      <c r="L172" s="94">
        <f t="shared" si="156"/>
        <v>3</v>
      </c>
      <c r="M172" s="104">
        <v>45842</v>
      </c>
      <c r="N172" s="121" t="s">
        <v>185</v>
      </c>
      <c r="O172" s="15"/>
      <c r="P172" s="28"/>
      <c r="Q172" s="16"/>
      <c r="R172" s="19"/>
      <c r="S172" s="42">
        <f t="shared" si="149"/>
        <v>0</v>
      </c>
      <c r="T172" s="15"/>
      <c r="U172" s="28"/>
      <c r="V172" s="16">
        <v>7</v>
      </c>
      <c r="W172" s="31"/>
      <c r="X172" s="9">
        <f t="shared" si="153"/>
        <v>7</v>
      </c>
      <c r="Y172" s="94">
        <f t="shared" si="152"/>
        <v>7</v>
      </c>
      <c r="Z172" s="104">
        <v>45862</v>
      </c>
      <c r="AA172" s="109"/>
    </row>
    <row r="173" spans="1:27" x14ac:dyDescent="0.15">
      <c r="A173" s="44" t="s">
        <v>27</v>
      </c>
      <c r="B173" s="15"/>
      <c r="C173" s="28"/>
      <c r="D173" s="16"/>
      <c r="E173" s="19">
        <v>1</v>
      </c>
      <c r="F173" s="42">
        <f t="shared" si="154"/>
        <v>1</v>
      </c>
      <c r="G173" s="15"/>
      <c r="H173" s="28"/>
      <c r="I173" s="16"/>
      <c r="J173" s="31">
        <v>2</v>
      </c>
      <c r="K173" s="79">
        <f t="shared" si="155"/>
        <v>2</v>
      </c>
      <c r="L173" s="94">
        <f t="shared" si="156"/>
        <v>3</v>
      </c>
      <c r="M173" s="104">
        <v>45843</v>
      </c>
      <c r="N173" s="11" t="s">
        <v>188</v>
      </c>
      <c r="O173" s="15"/>
      <c r="P173" s="28">
        <v>5</v>
      </c>
      <c r="Q173" s="16">
        <v>5</v>
      </c>
      <c r="R173" s="19">
        <v>5</v>
      </c>
      <c r="S173" s="42">
        <f t="shared" si="149"/>
        <v>15</v>
      </c>
      <c r="T173" s="15">
        <v>5</v>
      </c>
      <c r="U173" s="28"/>
      <c r="V173" s="16">
        <v>5</v>
      </c>
      <c r="W173" s="31"/>
      <c r="X173" s="9">
        <f t="shared" si="153"/>
        <v>10</v>
      </c>
      <c r="Y173" s="94">
        <f t="shared" si="152"/>
        <v>25</v>
      </c>
      <c r="Z173" s="104">
        <v>45857</v>
      </c>
      <c r="AA173" s="109"/>
    </row>
    <row r="174" spans="1:27" x14ac:dyDescent="0.15">
      <c r="A174" s="44" t="s">
        <v>168</v>
      </c>
      <c r="B174" s="15"/>
      <c r="C174" s="28"/>
      <c r="D174" s="16"/>
      <c r="E174" s="19">
        <v>2</v>
      </c>
      <c r="F174" s="42">
        <f t="shared" si="154"/>
        <v>2</v>
      </c>
      <c r="G174" s="15"/>
      <c r="H174" s="28"/>
      <c r="I174" s="16">
        <v>1</v>
      </c>
      <c r="J174" s="31"/>
      <c r="K174" s="79">
        <f>SUM(G174:J174)</f>
        <v>1</v>
      </c>
      <c r="L174" s="94">
        <f t="shared" si="156"/>
        <v>3</v>
      </c>
      <c r="M174" s="104">
        <v>45847</v>
      </c>
      <c r="N174" s="44" t="s">
        <v>26</v>
      </c>
      <c r="O174" s="15">
        <v>3</v>
      </c>
      <c r="P174" s="28"/>
      <c r="Q174" s="16"/>
      <c r="R174" s="19">
        <v>3</v>
      </c>
      <c r="S174" s="42">
        <f t="shared" si="149"/>
        <v>6</v>
      </c>
      <c r="T174" s="15"/>
      <c r="U174" s="28"/>
      <c r="V174" s="16">
        <v>3</v>
      </c>
      <c r="W174" s="31">
        <v>3</v>
      </c>
      <c r="X174" s="9">
        <f t="shared" si="153"/>
        <v>6</v>
      </c>
      <c r="Y174" s="94">
        <f t="shared" si="152"/>
        <v>12</v>
      </c>
      <c r="Z174" s="104">
        <v>45857</v>
      </c>
    </row>
    <row r="175" spans="1:27" x14ac:dyDescent="0.15">
      <c r="A175" s="44" t="s">
        <v>27</v>
      </c>
      <c r="B175" s="15"/>
      <c r="C175" s="28">
        <v>1</v>
      </c>
      <c r="D175" s="16">
        <v>1</v>
      </c>
      <c r="E175" s="19"/>
      <c r="F175" s="42">
        <f t="shared" si="154"/>
        <v>2</v>
      </c>
      <c r="G175" s="15"/>
      <c r="H175" s="28">
        <v>1</v>
      </c>
      <c r="I175" s="16"/>
      <c r="J175" s="31"/>
      <c r="K175" s="79">
        <f>SUM(G175:J175)</f>
        <v>1</v>
      </c>
      <c r="L175" s="94">
        <f t="shared" si="156"/>
        <v>3</v>
      </c>
      <c r="M175" s="104">
        <v>45845</v>
      </c>
      <c r="N175" s="135" t="s">
        <v>189</v>
      </c>
      <c r="O175" s="15"/>
      <c r="P175" s="28">
        <v>6</v>
      </c>
      <c r="Q175" s="16"/>
      <c r="R175" s="19"/>
      <c r="S175" s="42">
        <f t="shared" si="149"/>
        <v>6</v>
      </c>
      <c r="T175" s="15"/>
      <c r="U175" s="28">
        <v>3</v>
      </c>
      <c r="V175" s="16"/>
      <c r="W175" s="31">
        <v>1</v>
      </c>
      <c r="X175" s="9">
        <f>SUM(T175:W175)</f>
        <v>4</v>
      </c>
      <c r="Y175" s="94">
        <f t="shared" si="152"/>
        <v>10</v>
      </c>
      <c r="Z175" s="104">
        <v>45860</v>
      </c>
    </row>
    <row r="176" spans="1:27" x14ac:dyDescent="0.15">
      <c r="A176" s="32" t="s">
        <v>169</v>
      </c>
      <c r="B176" s="15"/>
      <c r="C176" s="28">
        <v>-3</v>
      </c>
      <c r="D176" s="16"/>
      <c r="E176" s="19">
        <v>-5</v>
      </c>
      <c r="F176" s="42">
        <f t="shared" si="154"/>
        <v>-8</v>
      </c>
      <c r="G176" s="15"/>
      <c r="H176" s="28"/>
      <c r="I176" s="16"/>
      <c r="J176" s="31">
        <v>-3</v>
      </c>
      <c r="K176" s="79">
        <f t="shared" ref="K176:K179" si="157">SUM(G176:J176)</f>
        <v>-3</v>
      </c>
      <c r="L176" s="94">
        <f t="shared" si="156"/>
        <v>-11</v>
      </c>
      <c r="M176" s="104">
        <v>45846</v>
      </c>
      <c r="N176" s="44" t="s">
        <v>26</v>
      </c>
      <c r="O176" s="15"/>
      <c r="P176" s="28">
        <v>3</v>
      </c>
      <c r="Q176" s="16">
        <v>5</v>
      </c>
      <c r="R176" s="19">
        <v>3</v>
      </c>
      <c r="S176" s="42">
        <f>SUM(O176:R176)</f>
        <v>11</v>
      </c>
      <c r="T176" s="15"/>
      <c r="U176" s="28"/>
      <c r="V176" s="16"/>
      <c r="W176" s="31"/>
      <c r="X176" s="9">
        <f>SUM(T176:W176)</f>
        <v>0</v>
      </c>
      <c r="Y176" s="94">
        <f t="shared" si="152"/>
        <v>11</v>
      </c>
      <c r="Z176" s="104">
        <v>45862</v>
      </c>
    </row>
    <row r="177" spans="1:26" x14ac:dyDescent="0.15">
      <c r="A177" s="44" t="s">
        <v>170</v>
      </c>
      <c r="B177" s="15">
        <v>1</v>
      </c>
      <c r="C177" s="28">
        <v>1</v>
      </c>
      <c r="D177" s="16">
        <v>1</v>
      </c>
      <c r="E177" s="19"/>
      <c r="F177" s="42">
        <f t="shared" si="154"/>
        <v>3</v>
      </c>
      <c r="G177" s="15"/>
      <c r="H177" s="28">
        <v>1</v>
      </c>
      <c r="I177" s="16"/>
      <c r="J177" s="31"/>
      <c r="K177" s="79">
        <f t="shared" si="157"/>
        <v>1</v>
      </c>
      <c r="L177" s="94">
        <f t="shared" si="156"/>
        <v>4</v>
      </c>
      <c r="M177" s="104">
        <v>45848</v>
      </c>
      <c r="N177" s="44"/>
      <c r="O177" s="15"/>
      <c r="P177" s="28"/>
      <c r="Q177" s="16"/>
      <c r="R177" s="19"/>
      <c r="S177" s="42">
        <f t="shared" si="149"/>
        <v>0</v>
      </c>
      <c r="T177" s="15"/>
      <c r="U177" s="28"/>
      <c r="V177" s="16"/>
      <c r="W177" s="31"/>
      <c r="X177" s="9">
        <f t="shared" ref="X177:X179" si="158">SUM(T177:W177)</f>
        <v>0</v>
      </c>
      <c r="Y177" s="94">
        <f t="shared" si="152"/>
        <v>0</v>
      </c>
    </row>
    <row r="178" spans="1:26" x14ac:dyDescent="0.15">
      <c r="A178" s="44" t="s">
        <v>172</v>
      </c>
      <c r="B178" s="15">
        <v>2</v>
      </c>
      <c r="C178" s="28"/>
      <c r="D178" s="16">
        <v>1</v>
      </c>
      <c r="E178" s="19"/>
      <c r="F178" s="42">
        <f t="shared" si="154"/>
        <v>3</v>
      </c>
      <c r="G178" s="15"/>
      <c r="H178" s="28"/>
      <c r="I178" s="16"/>
      <c r="J178" s="31">
        <v>2</v>
      </c>
      <c r="K178" s="79">
        <f t="shared" si="157"/>
        <v>2</v>
      </c>
      <c r="L178" s="94">
        <f t="shared" si="156"/>
        <v>5</v>
      </c>
      <c r="M178" s="104">
        <v>45849</v>
      </c>
      <c r="N178" s="44"/>
      <c r="O178" s="15"/>
      <c r="P178" s="28"/>
      <c r="Q178" s="16"/>
      <c r="R178" s="19"/>
      <c r="S178" s="42">
        <f t="shared" si="149"/>
        <v>0</v>
      </c>
      <c r="T178" s="15"/>
      <c r="U178" s="28"/>
      <c r="V178" s="16"/>
      <c r="W178" s="31"/>
      <c r="X178" s="9">
        <f t="shared" si="158"/>
        <v>0</v>
      </c>
      <c r="Y178" s="94">
        <f t="shared" si="152"/>
        <v>0</v>
      </c>
    </row>
    <row r="179" spans="1:26" x14ac:dyDescent="0.15">
      <c r="A179" s="44" t="s">
        <v>27</v>
      </c>
      <c r="B179" s="15"/>
      <c r="C179" s="28"/>
      <c r="D179" s="16"/>
      <c r="E179" s="19"/>
      <c r="F179" s="42">
        <f t="shared" si="154"/>
        <v>0</v>
      </c>
      <c r="G179" s="38"/>
      <c r="H179" s="39"/>
      <c r="I179" s="40">
        <v>1</v>
      </c>
      <c r="J179" s="52"/>
      <c r="K179" s="83">
        <f t="shared" si="157"/>
        <v>1</v>
      </c>
      <c r="L179" s="94">
        <f t="shared" si="156"/>
        <v>1</v>
      </c>
      <c r="M179" s="104">
        <v>45847</v>
      </c>
      <c r="N179" s="44"/>
      <c r="O179" s="15"/>
      <c r="P179" s="28"/>
      <c r="Q179" s="16"/>
      <c r="R179" s="19"/>
      <c r="S179" s="42">
        <f t="shared" si="149"/>
        <v>0</v>
      </c>
      <c r="T179" s="38"/>
      <c r="U179" s="39"/>
      <c r="V179" s="40"/>
      <c r="W179" s="52"/>
      <c r="X179" s="54">
        <f t="shared" si="158"/>
        <v>0</v>
      </c>
      <c r="Y179" s="94">
        <f t="shared" si="152"/>
        <v>0</v>
      </c>
    </row>
    <row r="180" spans="1:26" x14ac:dyDescent="0.15">
      <c r="A180" s="32" t="s">
        <v>63</v>
      </c>
      <c r="B180" s="15">
        <v>-2</v>
      </c>
      <c r="C180" s="28"/>
      <c r="D180" s="16">
        <v>-2</v>
      </c>
      <c r="E180" s="19"/>
      <c r="F180" s="42">
        <f t="shared" si="154"/>
        <v>-4</v>
      </c>
      <c r="G180" s="15"/>
      <c r="H180" s="28"/>
      <c r="I180" s="16">
        <v>-2</v>
      </c>
      <c r="J180" s="31"/>
      <c r="K180" s="79">
        <f>SUM(G180:J180)</f>
        <v>-2</v>
      </c>
      <c r="L180" s="94">
        <f t="shared" si="156"/>
        <v>-6</v>
      </c>
      <c r="M180" s="104">
        <v>45848</v>
      </c>
      <c r="N180" s="44"/>
      <c r="O180" s="15"/>
      <c r="P180" s="28"/>
      <c r="Q180" s="16"/>
      <c r="R180" s="19"/>
      <c r="S180" s="42">
        <f t="shared" si="149"/>
        <v>0</v>
      </c>
      <c r="T180" s="15"/>
      <c r="U180" s="28"/>
      <c r="V180" s="16"/>
      <c r="W180" s="31"/>
      <c r="X180" s="9">
        <f>SUM(T180:W180)</f>
        <v>0</v>
      </c>
      <c r="Y180" s="94">
        <f t="shared" si="152"/>
        <v>0</v>
      </c>
    </row>
    <row r="181" spans="1:26" x14ac:dyDescent="0.15">
      <c r="A181" s="44" t="s">
        <v>173</v>
      </c>
      <c r="B181" s="15">
        <v>1</v>
      </c>
      <c r="C181" s="28">
        <v>2</v>
      </c>
      <c r="D181" s="16"/>
      <c r="E181" s="19"/>
      <c r="F181" s="42">
        <f t="shared" si="154"/>
        <v>3</v>
      </c>
      <c r="G181" s="15"/>
      <c r="H181" s="16"/>
      <c r="I181" s="28"/>
      <c r="J181" s="53"/>
      <c r="K181" s="79">
        <f t="shared" ref="K181:K187" si="159">SUM(G181:J181)</f>
        <v>0</v>
      </c>
      <c r="L181" s="94">
        <f t="shared" si="156"/>
        <v>3</v>
      </c>
      <c r="M181" s="104">
        <v>45849</v>
      </c>
      <c r="N181" s="44"/>
      <c r="O181" s="15"/>
      <c r="P181" s="28"/>
      <c r="Q181" s="16"/>
      <c r="R181" s="19"/>
      <c r="S181" s="42">
        <f t="shared" ref="S181" si="160">SUM(O181:R181)</f>
        <v>0</v>
      </c>
      <c r="T181" s="15"/>
      <c r="U181" s="28"/>
      <c r="V181" s="16"/>
      <c r="W181" s="31"/>
      <c r="X181" s="9">
        <f>SUM(T181:W181)</f>
        <v>0</v>
      </c>
      <c r="Y181" s="94">
        <f t="shared" ref="Y181" si="161">S181+X181</f>
        <v>0</v>
      </c>
    </row>
    <row r="182" spans="1:26" x14ac:dyDescent="0.15">
      <c r="A182" s="44" t="s">
        <v>27</v>
      </c>
      <c r="B182" s="15"/>
      <c r="C182" s="28"/>
      <c r="D182" s="16"/>
      <c r="E182" s="19"/>
      <c r="F182" s="42">
        <f t="shared" si="154"/>
        <v>0</v>
      </c>
      <c r="G182" s="15"/>
      <c r="H182" s="28"/>
      <c r="I182" s="16">
        <v>1</v>
      </c>
      <c r="J182" s="31"/>
      <c r="K182" s="79">
        <f t="shared" si="159"/>
        <v>1</v>
      </c>
      <c r="L182" s="94">
        <f t="shared" si="156"/>
        <v>1</v>
      </c>
      <c r="M182" s="104">
        <v>45848</v>
      </c>
      <c r="N182" s="44" t="s">
        <v>113</v>
      </c>
      <c r="O182" s="15"/>
      <c r="P182" s="28"/>
      <c r="Q182" s="16"/>
      <c r="R182" s="19"/>
      <c r="S182" s="42">
        <f t="shared" ref="S182:S185" si="162">SUM(O182:R182)</f>
        <v>0</v>
      </c>
      <c r="T182" s="38"/>
      <c r="U182" s="39"/>
      <c r="V182" s="40"/>
      <c r="W182" s="52"/>
      <c r="X182" s="54">
        <f t="shared" ref="X182:X185" si="163">SUM(T182:W182)</f>
        <v>0</v>
      </c>
      <c r="Y182" s="94">
        <f t="shared" ref="Y182:Y185" si="164">S182+X182</f>
        <v>0</v>
      </c>
      <c r="Z182" s="133" t="s">
        <v>114</v>
      </c>
    </row>
    <row r="183" spans="1:26" x14ac:dyDescent="0.15">
      <c r="A183" s="44" t="s">
        <v>174</v>
      </c>
      <c r="B183" s="15"/>
      <c r="C183" s="28">
        <v>1</v>
      </c>
      <c r="D183" s="16"/>
      <c r="E183" s="19"/>
      <c r="F183" s="42">
        <f t="shared" si="154"/>
        <v>1</v>
      </c>
      <c r="G183" s="38"/>
      <c r="H183" s="39">
        <v>1</v>
      </c>
      <c r="I183" s="40"/>
      <c r="J183" s="52"/>
      <c r="K183" s="83">
        <f t="shared" si="159"/>
        <v>1</v>
      </c>
      <c r="L183" s="94">
        <f t="shared" si="156"/>
        <v>2</v>
      </c>
      <c r="M183" s="104">
        <v>45852</v>
      </c>
      <c r="N183" s="147" t="s">
        <v>96</v>
      </c>
      <c r="O183" s="115"/>
      <c r="P183" s="116"/>
      <c r="Q183" s="117"/>
      <c r="R183" s="118"/>
      <c r="S183" s="127">
        <f t="shared" si="162"/>
        <v>0</v>
      </c>
      <c r="T183" s="148"/>
      <c r="U183" s="149"/>
      <c r="V183" s="150"/>
      <c r="W183" s="151"/>
      <c r="X183" s="152">
        <f t="shared" si="163"/>
        <v>0</v>
      </c>
      <c r="Y183" s="120">
        <f t="shared" si="164"/>
        <v>0</v>
      </c>
      <c r="Z183" s="134"/>
    </row>
    <row r="184" spans="1:26" x14ac:dyDescent="0.15">
      <c r="A184" s="44" t="s">
        <v>27</v>
      </c>
      <c r="B184" s="15">
        <v>1</v>
      </c>
      <c r="C184" s="28"/>
      <c r="D184" s="16"/>
      <c r="E184" s="19"/>
      <c r="F184" s="42">
        <f t="shared" si="154"/>
        <v>1</v>
      </c>
      <c r="G184" s="15"/>
      <c r="H184" s="28">
        <v>2</v>
      </c>
      <c r="I184" s="16"/>
      <c r="J184" s="31"/>
      <c r="K184" s="79">
        <f t="shared" si="159"/>
        <v>2</v>
      </c>
      <c r="L184" s="94">
        <f t="shared" si="156"/>
        <v>3</v>
      </c>
      <c r="M184" s="104">
        <v>45849</v>
      </c>
      <c r="N184" s="11" t="s">
        <v>97</v>
      </c>
      <c r="O184" s="15"/>
      <c r="P184" s="28"/>
      <c r="Q184" s="16"/>
      <c r="R184" s="19"/>
      <c r="S184" s="42">
        <f t="shared" si="162"/>
        <v>0</v>
      </c>
      <c r="T184" s="15"/>
      <c r="U184" s="28"/>
      <c r="V184" s="16"/>
      <c r="W184" s="31"/>
      <c r="X184" s="9">
        <f t="shared" si="163"/>
        <v>0</v>
      </c>
      <c r="Y184" s="126">
        <f t="shared" si="164"/>
        <v>0</v>
      </c>
      <c r="Z184" s="133" t="s">
        <v>122</v>
      </c>
    </row>
    <row r="185" spans="1:26" x14ac:dyDescent="0.15">
      <c r="A185" s="32" t="s">
        <v>63</v>
      </c>
      <c r="B185" s="15">
        <v>-3</v>
      </c>
      <c r="C185" s="28">
        <v>-3</v>
      </c>
      <c r="D185" s="16"/>
      <c r="E185" s="19"/>
      <c r="F185" s="42">
        <f t="shared" si="154"/>
        <v>-6</v>
      </c>
      <c r="G185" s="15"/>
      <c r="H185" s="28">
        <v>-5</v>
      </c>
      <c r="I185" s="16"/>
      <c r="J185" s="31"/>
      <c r="K185" s="79">
        <f t="shared" si="159"/>
        <v>-5</v>
      </c>
      <c r="L185" s="94">
        <f t="shared" si="156"/>
        <v>-11</v>
      </c>
      <c r="M185" s="104">
        <v>45852</v>
      </c>
      <c r="N185" s="11" t="s">
        <v>127</v>
      </c>
      <c r="O185" s="15"/>
      <c r="P185" s="28"/>
      <c r="Q185" s="16"/>
      <c r="R185" s="19"/>
      <c r="S185" s="42">
        <f t="shared" si="162"/>
        <v>0</v>
      </c>
      <c r="T185" s="15"/>
      <c r="U185" s="28"/>
      <c r="V185" s="16"/>
      <c r="W185" s="31"/>
      <c r="X185" s="9">
        <f t="shared" si="163"/>
        <v>0</v>
      </c>
      <c r="Y185" s="126">
        <f t="shared" si="164"/>
        <v>0</v>
      </c>
      <c r="Z185" s="133" t="s">
        <v>128</v>
      </c>
    </row>
    <row r="186" spans="1:26" ht="14.25" thickBot="1" x14ac:dyDescent="0.2">
      <c r="A186" s="44" t="s">
        <v>177</v>
      </c>
      <c r="B186" s="34">
        <v>1</v>
      </c>
      <c r="C186" s="35"/>
      <c r="D186" s="36"/>
      <c r="E186" s="37"/>
      <c r="F186" s="42">
        <f t="shared" si="154"/>
        <v>1</v>
      </c>
      <c r="G186" s="34">
        <v>1</v>
      </c>
      <c r="H186" s="36"/>
      <c r="I186" s="35"/>
      <c r="J186" s="64"/>
      <c r="K186" s="80">
        <f t="shared" si="159"/>
        <v>1</v>
      </c>
      <c r="L186" s="106">
        <f t="shared" si="156"/>
        <v>2</v>
      </c>
      <c r="M186" s="104">
        <v>45854</v>
      </c>
      <c r="N186" s="146" t="s">
        <v>136</v>
      </c>
      <c r="O186" s="34"/>
      <c r="P186" s="35"/>
      <c r="Q186" s="36"/>
      <c r="R186" s="37"/>
      <c r="S186" s="43">
        <f t="shared" ref="S186" si="165">SUM(O186:R186)</f>
        <v>0</v>
      </c>
      <c r="T186" s="34"/>
      <c r="U186" s="35"/>
      <c r="V186" s="36"/>
      <c r="W186" s="63"/>
      <c r="X186" s="10">
        <f t="shared" ref="X186" si="166">SUM(T186:W186)</f>
        <v>0</v>
      </c>
      <c r="Y186" s="142">
        <f t="shared" ref="Y186" si="167">S186+X186</f>
        <v>0</v>
      </c>
      <c r="Z186" s="133" t="s">
        <v>137</v>
      </c>
    </row>
    <row r="187" spans="1:26" ht="14.25" thickBot="1" x14ac:dyDescent="0.2">
      <c r="A187" s="12" t="s">
        <v>8</v>
      </c>
      <c r="B187" s="21">
        <f>SUM(B162:B186)</f>
        <v>3</v>
      </c>
      <c r="C187" s="29">
        <f>SUM(C162:C186)</f>
        <v>0</v>
      </c>
      <c r="D187" s="22">
        <f>SUM(D162:D186)</f>
        <v>9</v>
      </c>
      <c r="E187" s="23">
        <f>SUM(E162:E186)</f>
        <v>5</v>
      </c>
      <c r="F187" s="20">
        <f>SUM(B187:E187)</f>
        <v>17</v>
      </c>
      <c r="G187" s="21">
        <f>SUM(G162:G186)</f>
        <v>1</v>
      </c>
      <c r="H187" s="29">
        <f>SUM(H162:H186)</f>
        <v>1</v>
      </c>
      <c r="I187" s="22">
        <f>SUM(I162:I186)</f>
        <v>4</v>
      </c>
      <c r="J187" s="23">
        <f>SUM(J162:J186)</f>
        <v>10</v>
      </c>
      <c r="K187" s="81">
        <f t="shared" si="159"/>
        <v>16</v>
      </c>
      <c r="L187" s="107">
        <f t="shared" si="156"/>
        <v>33</v>
      </c>
      <c r="N187" s="110" t="s">
        <v>8</v>
      </c>
      <c r="O187" s="21">
        <f>SUM(O162:O186)</f>
        <v>23</v>
      </c>
      <c r="P187" s="29">
        <f>SUM(P162:P186)</f>
        <v>27</v>
      </c>
      <c r="Q187" s="22">
        <f>SUM(Q162:Q186)</f>
        <v>30</v>
      </c>
      <c r="R187" s="23">
        <f>SUM(R162:R186)</f>
        <v>39</v>
      </c>
      <c r="S187" s="45">
        <f>SUM(O187:R187)</f>
        <v>119</v>
      </c>
      <c r="T187" s="21">
        <f>SUM(T162:T186)</f>
        <v>10</v>
      </c>
      <c r="U187" s="29">
        <f>SUM(U162:U186)</f>
        <v>28</v>
      </c>
      <c r="V187" s="22">
        <f>SUM(V162:V186)</f>
        <v>25</v>
      </c>
      <c r="W187" s="23">
        <f>SUM(W162:W186)</f>
        <v>38</v>
      </c>
      <c r="X187" s="45">
        <f t="shared" ref="X187" si="168">SUM(T187:W187)</f>
        <v>101</v>
      </c>
      <c r="Y187" s="111">
        <f t="shared" si="152"/>
        <v>220</v>
      </c>
    </row>
    <row r="188" spans="1:26" ht="14.25" thickBot="1" x14ac:dyDescent="0.2">
      <c r="A188" s="13" t="s">
        <v>9</v>
      </c>
      <c r="B188" s="24">
        <f t="shared" ref="B188:K188" si="169">B161-B187</f>
        <v>4</v>
      </c>
      <c r="C188" s="30">
        <f t="shared" si="169"/>
        <v>5</v>
      </c>
      <c r="D188" s="25">
        <f t="shared" si="169"/>
        <v>4</v>
      </c>
      <c r="E188" s="26">
        <f t="shared" si="169"/>
        <v>6</v>
      </c>
      <c r="F188" s="71">
        <f t="shared" si="169"/>
        <v>19</v>
      </c>
      <c r="G188" s="24">
        <f t="shared" si="169"/>
        <v>3</v>
      </c>
      <c r="H188" s="30">
        <f t="shared" si="169"/>
        <v>6</v>
      </c>
      <c r="I188" s="25">
        <f t="shared" si="169"/>
        <v>4</v>
      </c>
      <c r="J188" s="26">
        <f t="shared" si="169"/>
        <v>7</v>
      </c>
      <c r="K188" s="82">
        <f t="shared" si="169"/>
        <v>20</v>
      </c>
      <c r="L188" s="86">
        <f t="shared" si="156"/>
        <v>39</v>
      </c>
      <c r="N188" s="13" t="s">
        <v>9</v>
      </c>
      <c r="O188" s="24">
        <f t="shared" ref="O188:X188" si="170">O161-O187</f>
        <v>55</v>
      </c>
      <c r="P188" s="30">
        <f t="shared" si="170"/>
        <v>70</v>
      </c>
      <c r="Q188" s="25">
        <f t="shared" si="170"/>
        <v>74</v>
      </c>
      <c r="R188" s="26">
        <f t="shared" si="170"/>
        <v>36</v>
      </c>
      <c r="S188" s="71">
        <f t="shared" si="170"/>
        <v>235</v>
      </c>
      <c r="T188" s="24">
        <f t="shared" si="170"/>
        <v>68</v>
      </c>
      <c r="U188" s="30">
        <f t="shared" si="170"/>
        <v>50</v>
      </c>
      <c r="V188" s="25">
        <f t="shared" si="170"/>
        <v>77</v>
      </c>
      <c r="W188" s="26">
        <f t="shared" si="170"/>
        <v>22</v>
      </c>
      <c r="X188" s="33">
        <f t="shared" si="170"/>
        <v>217</v>
      </c>
      <c r="Y188" s="86">
        <f t="shared" si="152"/>
        <v>452</v>
      </c>
    </row>
    <row r="189" spans="1:26" x14ac:dyDescent="0.15">
      <c r="N189" s="143" t="s">
        <v>147</v>
      </c>
      <c r="O189" s="46">
        <f>O187+O149+O111+O73+O35</f>
        <v>103</v>
      </c>
      <c r="P189" s="46">
        <f t="shared" ref="P189:X189" si="171">P187+P149+P111+P73+P35</f>
        <v>147</v>
      </c>
      <c r="Q189" s="46">
        <f t="shared" si="171"/>
        <v>154</v>
      </c>
      <c r="R189" s="46">
        <f t="shared" si="171"/>
        <v>148</v>
      </c>
      <c r="S189" s="46">
        <f t="shared" si="171"/>
        <v>552</v>
      </c>
      <c r="T189" s="46">
        <f t="shared" si="171"/>
        <v>95</v>
      </c>
      <c r="U189" s="46">
        <f t="shared" si="171"/>
        <v>170</v>
      </c>
      <c r="V189" s="46">
        <f t="shared" si="171"/>
        <v>152</v>
      </c>
      <c r="W189" s="46">
        <f t="shared" si="171"/>
        <v>192</v>
      </c>
      <c r="X189" s="46">
        <f t="shared" si="171"/>
        <v>609</v>
      </c>
      <c r="Y189" s="46">
        <f>Y187+Y149+Y111+Y73+Y35</f>
        <v>1161</v>
      </c>
    </row>
    <row r="190" spans="1:26" x14ac:dyDescent="0.15">
      <c r="N190" s="144" t="s">
        <v>145</v>
      </c>
      <c r="O190" s="145">
        <f>O189/$S$189*100</f>
        <v>18.659420289855071</v>
      </c>
      <c r="P190" s="145">
        <f t="shared" ref="P190:S190" si="172">P189/$S$189*100</f>
        <v>26.630434782608699</v>
      </c>
      <c r="Q190" s="145">
        <f t="shared" si="172"/>
        <v>27.898550724637683</v>
      </c>
      <c r="R190" s="145">
        <f t="shared" si="172"/>
        <v>26.811594202898554</v>
      </c>
      <c r="S190" s="145">
        <f t="shared" si="172"/>
        <v>100</v>
      </c>
      <c r="T190" s="145">
        <f>T189/$X$189*100</f>
        <v>15.599343185550083</v>
      </c>
      <c r="U190" s="145">
        <f t="shared" ref="U190:X190" si="173">U189/$X$189*100</f>
        <v>27.914614121510674</v>
      </c>
      <c r="V190" s="145">
        <f t="shared" si="173"/>
        <v>24.958949096880133</v>
      </c>
      <c r="W190" s="145">
        <f t="shared" si="173"/>
        <v>31.527093596059114</v>
      </c>
      <c r="X190" s="145">
        <f t="shared" si="173"/>
        <v>100</v>
      </c>
    </row>
    <row r="191" spans="1:26" ht="19.5" thickBot="1" x14ac:dyDescent="0.25">
      <c r="A191" s="2" t="s">
        <v>15</v>
      </c>
      <c r="B191" s="2"/>
      <c r="C191" s="1"/>
      <c r="D191" s="1"/>
      <c r="E191" s="1"/>
      <c r="G191" s="72"/>
      <c r="H191" s="1"/>
      <c r="I191" s="1"/>
      <c r="J191" s="1"/>
      <c r="K191" s="72" t="s">
        <v>12</v>
      </c>
      <c r="N191" s="2" t="s">
        <v>16</v>
      </c>
      <c r="O191" s="2"/>
      <c r="P191" s="1"/>
      <c r="Q191" s="1"/>
      <c r="R191" s="1"/>
      <c r="S191" s="157">
        <v>47.5</v>
      </c>
      <c r="U191" s="1"/>
      <c r="V191" s="1"/>
      <c r="W191" s="72" t="s">
        <v>12</v>
      </c>
      <c r="X191" s="156">
        <v>52.5</v>
      </c>
    </row>
    <row r="192" spans="1:26" ht="14.25" thickBot="1" x14ac:dyDescent="0.2">
      <c r="A192" s="5" t="s">
        <v>0</v>
      </c>
      <c r="B192" s="245" t="s">
        <v>34</v>
      </c>
      <c r="C192" s="246"/>
      <c r="D192" s="246"/>
      <c r="E192" s="246"/>
      <c r="F192" s="247"/>
      <c r="G192" s="248" t="s">
        <v>35</v>
      </c>
      <c r="H192" s="249"/>
      <c r="I192" s="249"/>
      <c r="J192" s="249"/>
      <c r="K192" s="249"/>
      <c r="L192" s="243" t="s">
        <v>14</v>
      </c>
      <c r="N192" s="5" t="s">
        <v>0</v>
      </c>
      <c r="O192" s="245" t="s">
        <v>58</v>
      </c>
      <c r="P192" s="246"/>
      <c r="Q192" s="246"/>
      <c r="R192" s="246"/>
      <c r="S192" s="247"/>
      <c r="T192" s="248" t="s">
        <v>59</v>
      </c>
      <c r="U192" s="249"/>
      <c r="V192" s="249"/>
      <c r="W192" s="249"/>
      <c r="X192" s="249"/>
      <c r="Y192" s="243" t="s">
        <v>14</v>
      </c>
    </row>
    <row r="193" spans="1:27" ht="14.25" thickBot="1" x14ac:dyDescent="0.2">
      <c r="A193" s="5" t="s">
        <v>1</v>
      </c>
      <c r="B193" s="3" t="s">
        <v>17</v>
      </c>
      <c r="C193" s="27" t="s">
        <v>18</v>
      </c>
      <c r="D193" s="4" t="s">
        <v>19</v>
      </c>
      <c r="E193" s="14" t="s">
        <v>20</v>
      </c>
      <c r="F193" s="18" t="s">
        <v>2</v>
      </c>
      <c r="G193" s="3" t="s">
        <v>17</v>
      </c>
      <c r="H193" s="27" t="s">
        <v>18</v>
      </c>
      <c r="I193" s="4" t="s">
        <v>19</v>
      </c>
      <c r="J193" s="14" t="s">
        <v>20</v>
      </c>
      <c r="K193" s="73" t="s">
        <v>2</v>
      </c>
      <c r="L193" s="244"/>
      <c r="N193" s="5" t="s">
        <v>1</v>
      </c>
      <c r="O193" s="3" t="s">
        <v>17</v>
      </c>
      <c r="P193" s="27" t="s">
        <v>18</v>
      </c>
      <c r="Q193" s="4" t="s">
        <v>19</v>
      </c>
      <c r="R193" s="14" t="s">
        <v>20</v>
      </c>
      <c r="S193" s="18" t="s">
        <v>2</v>
      </c>
      <c r="T193" s="3" t="s">
        <v>17</v>
      </c>
      <c r="U193" s="27" t="s">
        <v>18</v>
      </c>
      <c r="V193" s="4" t="s">
        <v>19</v>
      </c>
      <c r="W193" s="14" t="s">
        <v>20</v>
      </c>
      <c r="X193" s="18" t="s">
        <v>2</v>
      </c>
      <c r="Y193" s="244"/>
    </row>
    <row r="194" spans="1:27" x14ac:dyDescent="0.15">
      <c r="A194" s="66" t="s">
        <v>10</v>
      </c>
      <c r="B194" s="67">
        <f>B188</f>
        <v>4</v>
      </c>
      <c r="C194" s="68">
        <f>C188</f>
        <v>5</v>
      </c>
      <c r="D194" s="68">
        <f>D188</f>
        <v>4</v>
      </c>
      <c r="E194" s="69">
        <f>E188</f>
        <v>6</v>
      </c>
      <c r="F194" s="70">
        <f>SUM(B194:E194)</f>
        <v>19</v>
      </c>
      <c r="G194" s="67">
        <f>G188</f>
        <v>3</v>
      </c>
      <c r="H194" s="68">
        <f>H188</f>
        <v>6</v>
      </c>
      <c r="I194" s="68">
        <f>I188</f>
        <v>4</v>
      </c>
      <c r="J194" s="69">
        <f>J188</f>
        <v>7</v>
      </c>
      <c r="K194" s="74">
        <f>SUM(G194:J194)</f>
        <v>20</v>
      </c>
      <c r="L194" s="84">
        <f>F194+K194</f>
        <v>39</v>
      </c>
      <c r="N194" s="66" t="s">
        <v>10</v>
      </c>
      <c r="O194" s="67">
        <f>O188</f>
        <v>55</v>
      </c>
      <c r="P194" s="68">
        <f>P188</f>
        <v>70</v>
      </c>
      <c r="Q194" s="68">
        <f>Q188</f>
        <v>74</v>
      </c>
      <c r="R194" s="69">
        <f>R188</f>
        <v>36</v>
      </c>
      <c r="S194" s="70">
        <f>SUM(O194:R194)</f>
        <v>235</v>
      </c>
      <c r="T194" s="67">
        <f>T188</f>
        <v>68</v>
      </c>
      <c r="U194" s="68">
        <f>U188</f>
        <v>50</v>
      </c>
      <c r="V194" s="68">
        <f>V188</f>
        <v>77</v>
      </c>
      <c r="W194" s="87">
        <f>W188</f>
        <v>22</v>
      </c>
      <c r="X194" s="88">
        <f>SUM(T194:W194)</f>
        <v>217</v>
      </c>
      <c r="Y194" s="84">
        <f>S194+X194</f>
        <v>452</v>
      </c>
    </row>
    <row r="195" spans="1:27" x14ac:dyDescent="0.15">
      <c r="A195" s="44" t="s">
        <v>3</v>
      </c>
      <c r="B195" s="47"/>
      <c r="C195" s="48"/>
      <c r="D195" s="49"/>
      <c r="E195" s="50"/>
      <c r="F195" s="54">
        <f>SUM(B195:E195)</f>
        <v>0</v>
      </c>
      <c r="G195" s="38">
        <v>5</v>
      </c>
      <c r="H195" s="39"/>
      <c r="I195" s="40"/>
      <c r="J195" s="41"/>
      <c r="K195" s="75">
        <f>SUM(G195:J195)</f>
        <v>5</v>
      </c>
      <c r="L195" s="94">
        <f t="shared" ref="L195:L198" si="174">F195+K195</f>
        <v>5</v>
      </c>
      <c r="M195" s="104">
        <v>45853</v>
      </c>
      <c r="N195" s="11" t="s">
        <v>4</v>
      </c>
      <c r="O195" s="15"/>
      <c r="P195" s="28"/>
      <c r="Q195" s="16"/>
      <c r="R195" s="31"/>
      <c r="S195" s="9">
        <f>SUM(O195:R195)</f>
        <v>0</v>
      </c>
      <c r="T195" s="15"/>
      <c r="U195" s="28"/>
      <c r="V195" s="16"/>
      <c r="W195" s="31"/>
      <c r="X195" s="9">
        <f>SUM(T195:W195)</f>
        <v>0</v>
      </c>
      <c r="Y195" s="126">
        <f t="shared" ref="Y195" si="175">S195+X195</f>
        <v>0</v>
      </c>
      <c r="Z195" s="132"/>
    </row>
    <row r="196" spans="1:27" x14ac:dyDescent="0.15">
      <c r="A196" s="44" t="s">
        <v>4</v>
      </c>
      <c r="B196" s="47"/>
      <c r="C196" s="48"/>
      <c r="D196" s="49">
        <v>3</v>
      </c>
      <c r="E196" s="50"/>
      <c r="F196" s="54">
        <f t="shared" ref="F196:F197" si="176">SUM(B196:E196)</f>
        <v>3</v>
      </c>
      <c r="G196" s="38"/>
      <c r="H196" s="39"/>
      <c r="I196" s="40">
        <v>3</v>
      </c>
      <c r="J196" s="41">
        <v>3</v>
      </c>
      <c r="K196" s="75">
        <f t="shared" ref="K196:K197" si="177">SUM(G196:J196)</f>
        <v>6</v>
      </c>
      <c r="L196" s="94">
        <f t="shared" si="174"/>
        <v>9</v>
      </c>
      <c r="M196" s="104">
        <v>45854</v>
      </c>
      <c r="N196" s="11" t="s">
        <v>5</v>
      </c>
      <c r="O196" s="15"/>
      <c r="P196" s="28"/>
      <c r="Q196" s="16"/>
      <c r="R196" s="31"/>
      <c r="S196" s="9">
        <f>SUM(O196:R196)</f>
        <v>0</v>
      </c>
      <c r="T196" s="15"/>
      <c r="U196" s="28"/>
      <c r="V196" s="16"/>
      <c r="W196" s="31"/>
      <c r="X196" s="9">
        <f>SUM(T196:W196)</f>
        <v>0</v>
      </c>
      <c r="Y196" s="126">
        <f t="shared" ref="Y196" si="178">S196+X196</f>
        <v>0</v>
      </c>
      <c r="Z196" s="132"/>
    </row>
    <row r="197" spans="1:27" x14ac:dyDescent="0.15">
      <c r="A197" s="44" t="s">
        <v>5</v>
      </c>
      <c r="B197" s="47">
        <v>3</v>
      </c>
      <c r="C197" s="48"/>
      <c r="D197" s="49"/>
      <c r="E197" s="50">
        <v>3</v>
      </c>
      <c r="F197" s="54">
        <f t="shared" si="176"/>
        <v>6</v>
      </c>
      <c r="G197" s="38"/>
      <c r="H197" s="39"/>
      <c r="I197" s="40">
        <v>3</v>
      </c>
      <c r="J197" s="41">
        <v>3</v>
      </c>
      <c r="K197" s="75">
        <f t="shared" si="177"/>
        <v>6</v>
      </c>
      <c r="L197" s="94">
        <f t="shared" si="174"/>
        <v>12</v>
      </c>
      <c r="M197" s="104">
        <v>45857</v>
      </c>
      <c r="N197" s="11" t="s">
        <v>6</v>
      </c>
      <c r="O197" s="15"/>
      <c r="P197" s="28"/>
      <c r="Q197" s="16"/>
      <c r="R197" s="31"/>
      <c r="S197" s="9">
        <f>SUM(O197:R197)</f>
        <v>0</v>
      </c>
      <c r="T197" s="15"/>
      <c r="U197" s="28"/>
      <c r="V197" s="16"/>
      <c r="W197" s="31"/>
      <c r="X197" s="9">
        <f>SUM(T197:W197)</f>
        <v>0</v>
      </c>
      <c r="Y197" s="126">
        <f t="shared" ref="Y197" si="179">S197+X197</f>
        <v>0</v>
      </c>
    </row>
    <row r="198" spans="1:27" ht="14.25" thickBot="1" x14ac:dyDescent="0.2">
      <c r="A198" s="11" t="s">
        <v>6</v>
      </c>
      <c r="B198" s="6"/>
      <c r="C198" s="17">
        <v>3</v>
      </c>
      <c r="D198" s="7">
        <v>5</v>
      </c>
      <c r="E198" s="8">
        <v>3</v>
      </c>
      <c r="F198" s="10">
        <f>SUM(B198:E198)</f>
        <v>11</v>
      </c>
      <c r="G198" s="34"/>
      <c r="H198" s="35"/>
      <c r="I198" s="36"/>
      <c r="J198" s="37"/>
      <c r="K198" s="77">
        <f>SUM(G198:J198)</f>
        <v>0</v>
      </c>
      <c r="L198" s="94">
        <f t="shared" si="174"/>
        <v>11</v>
      </c>
      <c r="M198" s="104">
        <v>45862</v>
      </c>
      <c r="N198" s="11" t="s">
        <v>6</v>
      </c>
      <c r="O198" s="15"/>
      <c r="P198" s="28"/>
      <c r="Q198" s="16"/>
      <c r="R198" s="31"/>
      <c r="S198" s="10">
        <f>SUM(O198:R198)</f>
        <v>0</v>
      </c>
      <c r="T198" s="34"/>
      <c r="U198" s="35"/>
      <c r="V198" s="36"/>
      <c r="W198" s="63"/>
      <c r="X198" s="10">
        <f>SUM(T198:W198)</f>
        <v>0</v>
      </c>
      <c r="Y198" s="94">
        <f t="shared" ref="Y198" si="180">S198+X198</f>
        <v>0</v>
      </c>
    </row>
    <row r="199" spans="1:27" ht="14.25" thickBot="1" x14ac:dyDescent="0.2">
      <c r="A199" s="13" t="s">
        <v>7</v>
      </c>
      <c r="B199" s="55">
        <f t="shared" ref="B199:K199" si="181">SUM(B194:B198)</f>
        <v>7</v>
      </c>
      <c r="C199" s="56">
        <f t="shared" si="181"/>
        <v>8</v>
      </c>
      <c r="D199" s="57">
        <f t="shared" si="181"/>
        <v>12</v>
      </c>
      <c r="E199" s="58">
        <f t="shared" si="181"/>
        <v>12</v>
      </c>
      <c r="F199" s="59">
        <f t="shared" si="181"/>
        <v>39</v>
      </c>
      <c r="G199" s="24">
        <f t="shared" si="181"/>
        <v>8</v>
      </c>
      <c r="H199" s="30">
        <f t="shared" si="181"/>
        <v>6</v>
      </c>
      <c r="I199" s="25">
        <f t="shared" si="181"/>
        <v>10</v>
      </c>
      <c r="J199" s="60">
        <f t="shared" si="181"/>
        <v>13</v>
      </c>
      <c r="K199" s="78">
        <f t="shared" si="181"/>
        <v>37</v>
      </c>
      <c r="L199" s="85">
        <f>F199+K199</f>
        <v>76</v>
      </c>
      <c r="N199" s="13" t="s">
        <v>7</v>
      </c>
      <c r="O199" s="55">
        <f t="shared" ref="O199:X199" si="182">SUM(O194:O198)</f>
        <v>55</v>
      </c>
      <c r="P199" s="56">
        <f t="shared" si="182"/>
        <v>70</v>
      </c>
      <c r="Q199" s="57">
        <f t="shared" si="182"/>
        <v>74</v>
      </c>
      <c r="R199" s="58">
        <f t="shared" si="182"/>
        <v>36</v>
      </c>
      <c r="S199" s="59">
        <f t="shared" si="182"/>
        <v>235</v>
      </c>
      <c r="T199" s="24">
        <f t="shared" si="182"/>
        <v>68</v>
      </c>
      <c r="U199" s="30">
        <f t="shared" si="182"/>
        <v>50</v>
      </c>
      <c r="V199" s="25">
        <f t="shared" si="182"/>
        <v>77</v>
      </c>
      <c r="W199" s="60">
        <f t="shared" si="182"/>
        <v>22</v>
      </c>
      <c r="X199" s="61">
        <f t="shared" si="182"/>
        <v>217</v>
      </c>
      <c r="Y199" s="85">
        <f>S199+X199</f>
        <v>452</v>
      </c>
    </row>
    <row r="200" spans="1:27" x14ac:dyDescent="0.15">
      <c r="A200" s="44" t="s">
        <v>27</v>
      </c>
      <c r="B200" s="15"/>
      <c r="C200" s="28"/>
      <c r="D200" s="16"/>
      <c r="E200" s="19">
        <v>1</v>
      </c>
      <c r="F200" s="42">
        <f t="shared" ref="F200:F224" si="183">SUM(B200:E200)</f>
        <v>1</v>
      </c>
      <c r="G200" s="15">
        <f>1+2</f>
        <v>3</v>
      </c>
      <c r="H200" s="28"/>
      <c r="I200" s="16">
        <v>1</v>
      </c>
      <c r="J200" s="31">
        <v>1</v>
      </c>
      <c r="K200" s="79">
        <f t="shared" ref="K200:K209" si="184">SUM(G200:J200)</f>
        <v>5</v>
      </c>
      <c r="L200" s="94">
        <f t="shared" ref="L200:L226" si="185">F200+K200</f>
        <v>6</v>
      </c>
      <c r="M200" s="105">
        <v>45852</v>
      </c>
      <c r="N200" s="121" t="s">
        <v>196</v>
      </c>
      <c r="O200" s="38"/>
      <c r="P200" s="39"/>
      <c r="Q200" s="40"/>
      <c r="R200" s="41"/>
      <c r="S200" s="62">
        <f t="shared" ref="S200:S218" si="186">SUM(O200:R200)</f>
        <v>0</v>
      </c>
      <c r="T200" s="15"/>
      <c r="U200" s="28">
        <v>8</v>
      </c>
      <c r="V200" s="16"/>
      <c r="W200" s="31"/>
      <c r="X200" s="9">
        <f t="shared" ref="X200:X203" si="187">SUM(T200:W200)</f>
        <v>8</v>
      </c>
      <c r="Y200" s="101">
        <f>S200+X200</f>
        <v>8</v>
      </c>
      <c r="Z200" s="104">
        <v>45870</v>
      </c>
    </row>
    <row r="201" spans="1:27" x14ac:dyDescent="0.15">
      <c r="A201" s="44" t="s">
        <v>177</v>
      </c>
      <c r="B201" s="15"/>
      <c r="C201" s="28"/>
      <c r="D201" s="16">
        <v>1</v>
      </c>
      <c r="E201" s="19"/>
      <c r="F201" s="42">
        <f t="shared" si="183"/>
        <v>1</v>
      </c>
      <c r="G201" s="15"/>
      <c r="H201" s="28"/>
      <c r="I201" s="16"/>
      <c r="J201" s="31"/>
      <c r="K201" s="79">
        <f t="shared" si="184"/>
        <v>0</v>
      </c>
      <c r="L201" s="94">
        <f t="shared" si="185"/>
        <v>1</v>
      </c>
      <c r="M201" s="104">
        <v>45855</v>
      </c>
      <c r="N201" s="121" t="s">
        <v>201</v>
      </c>
      <c r="O201" s="15"/>
      <c r="P201" s="28">
        <v>6</v>
      </c>
      <c r="Q201" s="16"/>
      <c r="R201" s="19">
        <v>4</v>
      </c>
      <c r="S201" s="42">
        <f t="shared" si="186"/>
        <v>10</v>
      </c>
      <c r="T201" s="15"/>
      <c r="U201" s="28"/>
      <c r="V201" s="16"/>
      <c r="W201" s="31"/>
      <c r="X201" s="9">
        <f t="shared" si="187"/>
        <v>0</v>
      </c>
      <c r="Y201" s="94">
        <f>S201+X201</f>
        <v>10</v>
      </c>
      <c r="Z201" s="104">
        <v>45873</v>
      </c>
    </row>
    <row r="202" spans="1:27" x14ac:dyDescent="0.15">
      <c r="A202" s="44" t="s">
        <v>27</v>
      </c>
      <c r="B202" s="15"/>
      <c r="C202" s="28"/>
      <c r="D202" s="16"/>
      <c r="E202" s="19"/>
      <c r="F202" s="42">
        <f t="shared" si="183"/>
        <v>0</v>
      </c>
      <c r="G202" s="15"/>
      <c r="H202" s="28"/>
      <c r="I202" s="16">
        <f>1+1</f>
        <v>2</v>
      </c>
      <c r="J202" s="31">
        <v>1</v>
      </c>
      <c r="K202" s="79">
        <f t="shared" si="184"/>
        <v>3</v>
      </c>
      <c r="L202" s="94">
        <f t="shared" si="185"/>
        <v>3</v>
      </c>
      <c r="M202" s="104">
        <v>45853</v>
      </c>
      <c r="N202" s="44" t="s">
        <v>26</v>
      </c>
      <c r="O202" s="15"/>
      <c r="P202" s="28"/>
      <c r="Q202" s="16"/>
      <c r="R202" s="19"/>
      <c r="S202" s="42">
        <f t="shared" si="186"/>
        <v>0</v>
      </c>
      <c r="T202" s="15">
        <v>3</v>
      </c>
      <c r="U202" s="28">
        <v>3</v>
      </c>
      <c r="V202" s="16">
        <v>3</v>
      </c>
      <c r="W202" s="31">
        <v>3</v>
      </c>
      <c r="X202" s="9">
        <f t="shared" si="187"/>
        <v>12</v>
      </c>
      <c r="Y202" s="94">
        <f>S202+X202</f>
        <v>12</v>
      </c>
      <c r="Z202" s="104">
        <v>45871</v>
      </c>
    </row>
    <row r="203" spans="1:27" x14ac:dyDescent="0.15">
      <c r="A203" s="44" t="s">
        <v>181</v>
      </c>
      <c r="B203" s="15"/>
      <c r="C203" s="28"/>
      <c r="D203" s="16">
        <v>1</v>
      </c>
      <c r="E203" s="19"/>
      <c r="F203" s="42">
        <f t="shared" si="183"/>
        <v>1</v>
      </c>
      <c r="G203" s="15"/>
      <c r="H203" s="28"/>
      <c r="I203" s="16"/>
      <c r="J203" s="31"/>
      <c r="K203" s="79">
        <f t="shared" si="184"/>
        <v>0</v>
      </c>
      <c r="L203" s="94">
        <f t="shared" si="185"/>
        <v>1</v>
      </c>
      <c r="M203" s="104">
        <v>45856</v>
      </c>
      <c r="N203" s="135" t="s">
        <v>203</v>
      </c>
      <c r="O203" s="15">
        <v>2</v>
      </c>
      <c r="P203" s="28">
        <v>1</v>
      </c>
      <c r="Q203" s="16">
        <v>5</v>
      </c>
      <c r="R203" s="19"/>
      <c r="S203" s="42">
        <f t="shared" si="186"/>
        <v>8</v>
      </c>
      <c r="T203" s="15">
        <v>1</v>
      </c>
      <c r="U203" s="28">
        <v>2</v>
      </c>
      <c r="V203" s="16"/>
      <c r="W203" s="31">
        <v>3</v>
      </c>
      <c r="X203" s="9">
        <f t="shared" si="187"/>
        <v>6</v>
      </c>
      <c r="Y203" s="94">
        <f t="shared" ref="Y203:Y226" si="188">S203+X203</f>
        <v>14</v>
      </c>
      <c r="Z203" s="104">
        <v>45877</v>
      </c>
    </row>
    <row r="204" spans="1:27" x14ac:dyDescent="0.15">
      <c r="A204" s="44" t="s">
        <v>27</v>
      </c>
      <c r="B204" s="15"/>
      <c r="C204" s="28"/>
      <c r="D204" s="16"/>
      <c r="E204" s="19"/>
      <c r="F204" s="42">
        <f t="shared" si="183"/>
        <v>0</v>
      </c>
      <c r="G204" s="15"/>
      <c r="H204" s="28"/>
      <c r="I204" s="16"/>
      <c r="J204" s="31">
        <v>1</v>
      </c>
      <c r="K204" s="79">
        <f t="shared" si="184"/>
        <v>1</v>
      </c>
      <c r="L204" s="94">
        <f t="shared" si="185"/>
        <v>1</v>
      </c>
      <c r="M204" s="104">
        <v>45853</v>
      </c>
      <c r="N204" s="44" t="s">
        <v>26</v>
      </c>
      <c r="O204" s="15"/>
      <c r="P204" s="28"/>
      <c r="Q204" s="16">
        <v>3</v>
      </c>
      <c r="R204" s="19"/>
      <c r="S204" s="42">
        <f>SUM(O204:R204)</f>
        <v>3</v>
      </c>
      <c r="T204" s="15"/>
      <c r="U204" s="28"/>
      <c r="V204" s="16"/>
      <c r="W204" s="31">
        <v>3</v>
      </c>
      <c r="X204" s="9">
        <f>SUM(T204:W204)</f>
        <v>3</v>
      </c>
      <c r="Y204" s="94">
        <f t="shared" si="188"/>
        <v>6</v>
      </c>
      <c r="Z204" s="104">
        <v>45874</v>
      </c>
      <c r="AA204" s="109"/>
    </row>
    <row r="205" spans="1:27" x14ac:dyDescent="0.15">
      <c r="A205" s="44" t="s">
        <v>27</v>
      </c>
      <c r="B205" s="15"/>
      <c r="C205" s="28"/>
      <c r="D205" s="16"/>
      <c r="E205" s="19"/>
      <c r="F205" s="42">
        <f t="shared" si="183"/>
        <v>0</v>
      </c>
      <c r="G205" s="15">
        <v>1</v>
      </c>
      <c r="H205" s="28"/>
      <c r="I205" s="16"/>
      <c r="J205" s="31"/>
      <c r="K205" s="79">
        <f t="shared" si="184"/>
        <v>1</v>
      </c>
      <c r="L205" s="94">
        <f t="shared" si="185"/>
        <v>1</v>
      </c>
      <c r="M205" s="105">
        <v>45854</v>
      </c>
      <c r="N205" s="44" t="s">
        <v>26</v>
      </c>
      <c r="O205" s="15"/>
      <c r="P205" s="28"/>
      <c r="Q205" s="16"/>
      <c r="R205" s="19"/>
      <c r="S205" s="42">
        <f t="shared" ref="S205" si="189">SUM(O205:R205)</f>
        <v>0</v>
      </c>
      <c r="T205" s="15"/>
      <c r="U205" s="28"/>
      <c r="V205" s="16">
        <v>5</v>
      </c>
      <c r="W205" s="31">
        <v>3</v>
      </c>
      <c r="X205" s="9">
        <f t="shared" ref="X205" si="190">SUM(T205:W205)</f>
        <v>8</v>
      </c>
      <c r="Y205" s="94">
        <f t="shared" si="188"/>
        <v>8</v>
      </c>
      <c r="Z205" s="104">
        <v>45888</v>
      </c>
      <c r="AA205" s="109"/>
    </row>
    <row r="206" spans="1:27" x14ac:dyDescent="0.15">
      <c r="A206" s="121" t="s">
        <v>186</v>
      </c>
      <c r="B206" s="15"/>
      <c r="C206" s="28"/>
      <c r="D206" s="16"/>
      <c r="E206" s="19">
        <v>3</v>
      </c>
      <c r="F206" s="42">
        <f t="shared" si="183"/>
        <v>3</v>
      </c>
      <c r="G206" s="15"/>
      <c r="H206" s="28"/>
      <c r="I206" s="16"/>
      <c r="J206" s="31"/>
      <c r="K206" s="79">
        <f t="shared" si="184"/>
        <v>0</v>
      </c>
      <c r="L206" s="94">
        <f t="shared" si="185"/>
        <v>3</v>
      </c>
      <c r="M206" s="104">
        <v>45856</v>
      </c>
      <c r="N206" s="135" t="s">
        <v>206</v>
      </c>
      <c r="O206" s="15"/>
      <c r="P206" s="28">
        <v>4</v>
      </c>
      <c r="Q206" s="16">
        <v>1</v>
      </c>
      <c r="R206" s="19">
        <v>3</v>
      </c>
      <c r="S206" s="42">
        <f t="shared" si="186"/>
        <v>8</v>
      </c>
      <c r="T206" s="15"/>
      <c r="U206" s="28"/>
      <c r="V206" s="16">
        <v>3</v>
      </c>
      <c r="W206" s="31">
        <v>3</v>
      </c>
      <c r="X206" s="9">
        <f>SUM(T206:W206)</f>
        <v>6</v>
      </c>
      <c r="Y206" s="94">
        <f t="shared" si="188"/>
        <v>14</v>
      </c>
      <c r="Z206" s="104">
        <v>45891</v>
      </c>
      <c r="AA206" s="109"/>
    </row>
    <row r="207" spans="1:27" x14ac:dyDescent="0.15">
      <c r="A207" s="44" t="s">
        <v>183</v>
      </c>
      <c r="B207" s="15"/>
      <c r="C207" s="28">
        <v>1</v>
      </c>
      <c r="D207" s="16"/>
      <c r="E207" s="19"/>
      <c r="F207" s="42">
        <f t="shared" si="183"/>
        <v>1</v>
      </c>
      <c r="G207" s="15"/>
      <c r="H207" s="28"/>
      <c r="I207" s="16"/>
      <c r="J207" s="31"/>
      <c r="K207" s="79">
        <f t="shared" si="184"/>
        <v>0</v>
      </c>
      <c r="L207" s="94">
        <f t="shared" si="185"/>
        <v>1</v>
      </c>
      <c r="M207" s="104">
        <v>45856</v>
      </c>
      <c r="N207" s="135" t="s">
        <v>207</v>
      </c>
      <c r="O207" s="15">
        <v>1</v>
      </c>
      <c r="P207" s="28">
        <v>6</v>
      </c>
      <c r="Q207" s="16">
        <v>5</v>
      </c>
      <c r="R207" s="19">
        <v>5</v>
      </c>
      <c r="S207" s="42">
        <f t="shared" si="186"/>
        <v>17</v>
      </c>
      <c r="T207" s="15">
        <v>1</v>
      </c>
      <c r="U207" s="28">
        <v>1</v>
      </c>
      <c r="V207" s="16">
        <v>2</v>
      </c>
      <c r="W207" s="31">
        <v>4</v>
      </c>
      <c r="X207" s="9">
        <f t="shared" ref="X207:X211" si="191">SUM(T207:W207)</f>
        <v>8</v>
      </c>
      <c r="Y207" s="94">
        <f t="shared" si="188"/>
        <v>25</v>
      </c>
      <c r="Z207" s="104">
        <v>45898</v>
      </c>
      <c r="AA207" s="109"/>
    </row>
    <row r="208" spans="1:27" x14ac:dyDescent="0.15">
      <c r="A208" s="44" t="s">
        <v>27</v>
      </c>
      <c r="B208" s="15"/>
      <c r="C208" s="28"/>
      <c r="D208" s="16"/>
      <c r="E208" s="19"/>
      <c r="F208" s="42">
        <f t="shared" si="183"/>
        <v>0</v>
      </c>
      <c r="G208" s="15"/>
      <c r="H208" s="28"/>
      <c r="I208" s="16"/>
      <c r="J208" s="31">
        <v>1</v>
      </c>
      <c r="K208" s="79">
        <f t="shared" si="184"/>
        <v>1</v>
      </c>
      <c r="L208" s="94">
        <f t="shared" si="185"/>
        <v>1</v>
      </c>
      <c r="M208" s="104">
        <v>45855</v>
      </c>
      <c r="N208" s="44" t="s">
        <v>26</v>
      </c>
      <c r="O208" s="15"/>
      <c r="P208" s="28"/>
      <c r="Q208" s="16"/>
      <c r="R208" s="19">
        <v>3</v>
      </c>
      <c r="S208" s="42">
        <f t="shared" si="186"/>
        <v>3</v>
      </c>
      <c r="T208" s="15"/>
      <c r="U208" s="28">
        <v>5</v>
      </c>
      <c r="V208" s="16"/>
      <c r="W208" s="31">
        <v>3</v>
      </c>
      <c r="X208" s="9">
        <f t="shared" si="191"/>
        <v>8</v>
      </c>
      <c r="Y208" s="94">
        <f t="shared" si="188"/>
        <v>11</v>
      </c>
      <c r="Z208" s="104">
        <v>45899</v>
      </c>
      <c r="AA208" s="109"/>
    </row>
    <row r="209" spans="1:27" x14ac:dyDescent="0.15">
      <c r="A209" s="44" t="s">
        <v>187</v>
      </c>
      <c r="B209" s="15">
        <v>1</v>
      </c>
      <c r="C209" s="28"/>
      <c r="D209" s="16">
        <v>1</v>
      </c>
      <c r="E209" s="19"/>
      <c r="F209" s="42">
        <f t="shared" si="183"/>
        <v>2</v>
      </c>
      <c r="G209" s="15"/>
      <c r="H209" s="28"/>
      <c r="I209" s="16">
        <v>1</v>
      </c>
      <c r="J209" s="31"/>
      <c r="K209" s="79">
        <f t="shared" si="184"/>
        <v>1</v>
      </c>
      <c r="L209" s="94">
        <f t="shared" si="185"/>
        <v>3</v>
      </c>
      <c r="M209" s="104">
        <v>45860</v>
      </c>
      <c r="N209" s="32"/>
      <c r="O209" s="15"/>
      <c r="P209" s="28"/>
      <c r="Q209" s="16"/>
      <c r="R209" s="19"/>
      <c r="S209" s="42">
        <f t="shared" si="186"/>
        <v>0</v>
      </c>
      <c r="T209" s="15"/>
      <c r="U209" s="28"/>
      <c r="V209" s="16"/>
      <c r="W209" s="31"/>
      <c r="X209" s="9">
        <f t="shared" si="191"/>
        <v>0</v>
      </c>
      <c r="Y209" s="94">
        <f t="shared" si="188"/>
        <v>0</v>
      </c>
      <c r="Z209" s="133"/>
      <c r="AA209" s="109"/>
    </row>
    <row r="210" spans="1:27" x14ac:dyDescent="0.15">
      <c r="A210" s="44" t="s">
        <v>190</v>
      </c>
      <c r="B210" s="15"/>
      <c r="C210" s="28"/>
      <c r="D210" s="16">
        <v>2</v>
      </c>
      <c r="E210" s="19"/>
      <c r="F210" s="42">
        <f t="shared" ref="F210:F211" si="192">SUM(B210:E210)</f>
        <v>2</v>
      </c>
      <c r="G210" s="15"/>
      <c r="H210" s="28"/>
      <c r="I210" s="16">
        <v>1</v>
      </c>
      <c r="J210" s="31"/>
      <c r="K210" s="79">
        <f t="shared" ref="K210" si="193">SUM(G210:J210)</f>
        <v>1</v>
      </c>
      <c r="L210" s="94">
        <f t="shared" ref="L210:L211" si="194">F210+K210</f>
        <v>3</v>
      </c>
      <c r="M210" s="104">
        <v>45862</v>
      </c>
      <c r="N210" s="44"/>
      <c r="O210" s="15"/>
      <c r="P210" s="28"/>
      <c r="Q210" s="16"/>
      <c r="R210" s="19"/>
      <c r="S210" s="42">
        <f t="shared" si="186"/>
        <v>0</v>
      </c>
      <c r="T210" s="15"/>
      <c r="U210" s="28"/>
      <c r="V210" s="16"/>
      <c r="W210" s="31"/>
      <c r="X210" s="9">
        <f t="shared" si="191"/>
        <v>0</v>
      </c>
      <c r="Y210" s="94">
        <f t="shared" si="188"/>
        <v>0</v>
      </c>
      <c r="Z210" s="133"/>
      <c r="AA210" s="109"/>
    </row>
    <row r="211" spans="1:27" x14ac:dyDescent="0.15">
      <c r="A211" s="44" t="s">
        <v>27</v>
      </c>
      <c r="B211" s="15"/>
      <c r="C211" s="28">
        <v>1</v>
      </c>
      <c r="D211" s="16"/>
      <c r="E211" s="19">
        <v>1</v>
      </c>
      <c r="F211" s="42">
        <f t="shared" si="192"/>
        <v>2</v>
      </c>
      <c r="G211" s="15"/>
      <c r="H211" s="28">
        <v>2</v>
      </c>
      <c r="I211" s="16"/>
      <c r="J211" s="31"/>
      <c r="K211" s="79">
        <f>SUM(G211:J211)</f>
        <v>2</v>
      </c>
      <c r="L211" s="94">
        <f t="shared" si="194"/>
        <v>4</v>
      </c>
      <c r="M211" s="104">
        <v>45860</v>
      </c>
      <c r="N211" s="44"/>
      <c r="O211" s="15"/>
      <c r="P211" s="28"/>
      <c r="Q211" s="16"/>
      <c r="R211" s="19"/>
      <c r="S211" s="42">
        <f t="shared" si="186"/>
        <v>0</v>
      </c>
      <c r="T211" s="15"/>
      <c r="U211" s="28"/>
      <c r="V211" s="16"/>
      <c r="W211" s="31"/>
      <c r="X211" s="9">
        <f t="shared" si="191"/>
        <v>0</v>
      </c>
      <c r="Y211" s="94">
        <f t="shared" si="188"/>
        <v>0</v>
      </c>
      <c r="Z211" s="133"/>
      <c r="AA211" s="109"/>
    </row>
    <row r="212" spans="1:27" x14ac:dyDescent="0.15">
      <c r="A212" s="44" t="s">
        <v>192</v>
      </c>
      <c r="B212" s="15"/>
      <c r="C212" s="28"/>
      <c r="D212" s="16">
        <v>1</v>
      </c>
      <c r="E212" s="19"/>
      <c r="F212" s="42">
        <f t="shared" si="183"/>
        <v>1</v>
      </c>
      <c r="G212" s="15"/>
      <c r="H212" s="28"/>
      <c r="I212" s="16">
        <v>1</v>
      </c>
      <c r="J212" s="31"/>
      <c r="K212" s="79">
        <f>SUM(G212:J212)</f>
        <v>1</v>
      </c>
      <c r="L212" s="94">
        <f t="shared" si="185"/>
        <v>2</v>
      </c>
      <c r="M212" s="104">
        <v>45863</v>
      </c>
      <c r="N212" s="44"/>
      <c r="O212" s="15"/>
      <c r="P212" s="28"/>
      <c r="Q212" s="16"/>
      <c r="R212" s="19"/>
      <c r="S212" s="42">
        <f t="shared" si="186"/>
        <v>0</v>
      </c>
      <c r="T212" s="15"/>
      <c r="U212" s="28"/>
      <c r="V212" s="16"/>
      <c r="W212" s="31"/>
      <c r="X212" s="9">
        <f>SUM(T212:W212)</f>
        <v>0</v>
      </c>
      <c r="Y212" s="94">
        <f t="shared" si="188"/>
        <v>0</v>
      </c>
    </row>
    <row r="213" spans="1:27" x14ac:dyDescent="0.15">
      <c r="A213" s="44" t="s">
        <v>27</v>
      </c>
      <c r="B213" s="15"/>
      <c r="C213" s="28"/>
      <c r="D213" s="16"/>
      <c r="E213" s="19">
        <v>1</v>
      </c>
      <c r="F213" s="42">
        <f t="shared" si="183"/>
        <v>1</v>
      </c>
      <c r="G213" s="15"/>
      <c r="H213" s="28"/>
      <c r="I213" s="16"/>
      <c r="J213" s="31">
        <v>1</v>
      </c>
      <c r="K213" s="79">
        <f>SUM(G213:J213)</f>
        <v>1</v>
      </c>
      <c r="L213" s="94">
        <f t="shared" si="185"/>
        <v>2</v>
      </c>
      <c r="M213" s="104">
        <v>45861</v>
      </c>
      <c r="N213" s="44"/>
      <c r="O213" s="15"/>
      <c r="P213" s="28"/>
      <c r="Q213" s="16"/>
      <c r="R213" s="19"/>
      <c r="S213" s="42">
        <f t="shared" si="186"/>
        <v>0</v>
      </c>
      <c r="T213" s="15"/>
      <c r="U213" s="28"/>
      <c r="V213" s="16"/>
      <c r="W213" s="31"/>
      <c r="X213" s="9">
        <f>SUM(T213:W213)</f>
        <v>0</v>
      </c>
      <c r="Y213" s="94">
        <f t="shared" si="188"/>
        <v>0</v>
      </c>
    </row>
    <row r="214" spans="1:27" x14ac:dyDescent="0.15">
      <c r="A214" s="121" t="s">
        <v>185</v>
      </c>
      <c r="B214" s="15"/>
      <c r="C214" s="28">
        <v>3</v>
      </c>
      <c r="D214" s="16"/>
      <c r="E214" s="19"/>
      <c r="F214" s="42">
        <f t="shared" si="183"/>
        <v>3</v>
      </c>
      <c r="G214" s="15"/>
      <c r="H214" s="28"/>
      <c r="I214" s="16"/>
      <c r="J214" s="31"/>
      <c r="K214" s="79">
        <f t="shared" ref="K214:K217" si="195">SUM(G214:J214)</f>
        <v>0</v>
      </c>
      <c r="L214" s="94">
        <f t="shared" si="185"/>
        <v>3</v>
      </c>
      <c r="M214" s="104">
        <v>45866</v>
      </c>
      <c r="N214" s="32"/>
      <c r="O214" s="15"/>
      <c r="P214" s="28"/>
      <c r="Q214" s="16"/>
      <c r="R214" s="19"/>
      <c r="S214" s="42">
        <f t="shared" si="186"/>
        <v>0</v>
      </c>
      <c r="T214" s="15"/>
      <c r="U214" s="28"/>
      <c r="V214" s="16"/>
      <c r="W214" s="31"/>
      <c r="X214" s="9">
        <f t="shared" ref="X214:X217" si="196">SUM(T214:W214)</f>
        <v>0</v>
      </c>
      <c r="Y214" s="94">
        <f t="shared" si="188"/>
        <v>0</v>
      </c>
    </row>
    <row r="215" spans="1:27" x14ac:dyDescent="0.15">
      <c r="A215" s="44" t="s">
        <v>27</v>
      </c>
      <c r="B215" s="15"/>
      <c r="C215" s="28"/>
      <c r="D215" s="16"/>
      <c r="E215" s="19">
        <v>1</v>
      </c>
      <c r="F215" s="42">
        <f t="shared" si="183"/>
        <v>1</v>
      </c>
      <c r="G215" s="15"/>
      <c r="H215" s="28"/>
      <c r="I215" s="16"/>
      <c r="J215" s="31"/>
      <c r="K215" s="79">
        <f t="shared" si="195"/>
        <v>0</v>
      </c>
      <c r="L215" s="94">
        <f t="shared" si="185"/>
        <v>1</v>
      </c>
      <c r="M215" s="104">
        <v>45863</v>
      </c>
      <c r="N215" s="44"/>
      <c r="O215" s="15"/>
      <c r="P215" s="28"/>
      <c r="Q215" s="16"/>
      <c r="R215" s="19"/>
      <c r="S215" s="42">
        <f t="shared" si="186"/>
        <v>0</v>
      </c>
      <c r="T215" s="15"/>
      <c r="U215" s="28"/>
      <c r="V215" s="16"/>
      <c r="W215" s="31"/>
      <c r="X215" s="9">
        <f t="shared" si="196"/>
        <v>0</v>
      </c>
      <c r="Y215" s="94">
        <f t="shared" si="188"/>
        <v>0</v>
      </c>
    </row>
    <row r="216" spans="1:27" x14ac:dyDescent="0.15">
      <c r="A216" s="44" t="s">
        <v>27</v>
      </c>
      <c r="B216" s="15"/>
      <c r="C216" s="28"/>
      <c r="D216" s="16">
        <v>1</v>
      </c>
      <c r="E216" s="19">
        <v>1</v>
      </c>
      <c r="F216" s="42">
        <f t="shared" si="183"/>
        <v>2</v>
      </c>
      <c r="G216" s="15">
        <v>1</v>
      </c>
      <c r="H216" s="28"/>
      <c r="I216" s="16"/>
      <c r="J216" s="31">
        <v>1</v>
      </c>
      <c r="K216" s="79">
        <f t="shared" si="195"/>
        <v>2</v>
      </c>
      <c r="L216" s="94">
        <f t="shared" si="185"/>
        <v>4</v>
      </c>
      <c r="M216" s="105">
        <v>45866</v>
      </c>
      <c r="N216" s="44"/>
      <c r="O216" s="15"/>
      <c r="P216" s="28"/>
      <c r="Q216" s="16"/>
      <c r="R216" s="19"/>
      <c r="S216" s="42">
        <f t="shared" si="186"/>
        <v>0</v>
      </c>
      <c r="T216" s="15"/>
      <c r="U216" s="28"/>
      <c r="V216" s="16"/>
      <c r="W216" s="31"/>
      <c r="X216" s="9">
        <f t="shared" si="196"/>
        <v>0</v>
      </c>
      <c r="Y216" s="94">
        <f t="shared" si="188"/>
        <v>0</v>
      </c>
    </row>
    <row r="217" spans="1:27" x14ac:dyDescent="0.15">
      <c r="A217" s="44" t="s">
        <v>195</v>
      </c>
      <c r="B217" s="15"/>
      <c r="C217" s="28">
        <v>-1</v>
      </c>
      <c r="D217" s="16"/>
      <c r="E217" s="19"/>
      <c r="F217" s="42">
        <f t="shared" si="183"/>
        <v>-1</v>
      </c>
      <c r="G217" s="38"/>
      <c r="H217" s="39"/>
      <c r="I217" s="40"/>
      <c r="J217" s="52"/>
      <c r="K217" s="83">
        <f t="shared" si="195"/>
        <v>0</v>
      </c>
      <c r="L217" s="94">
        <f t="shared" si="185"/>
        <v>-1</v>
      </c>
      <c r="M217" s="105">
        <v>45861</v>
      </c>
      <c r="N217" s="44"/>
      <c r="O217" s="15"/>
      <c r="P217" s="28"/>
      <c r="Q217" s="16"/>
      <c r="R217" s="19"/>
      <c r="S217" s="42">
        <f t="shared" si="186"/>
        <v>0</v>
      </c>
      <c r="T217" s="38"/>
      <c r="U217" s="39"/>
      <c r="V217" s="40"/>
      <c r="W217" s="52"/>
      <c r="X217" s="54">
        <f t="shared" si="196"/>
        <v>0</v>
      </c>
      <c r="Y217" s="94">
        <f t="shared" si="188"/>
        <v>0</v>
      </c>
    </row>
    <row r="218" spans="1:27" x14ac:dyDescent="0.15">
      <c r="A218" s="44" t="s">
        <v>27</v>
      </c>
      <c r="B218" s="15"/>
      <c r="C218" s="28"/>
      <c r="D218" s="16">
        <v>1</v>
      </c>
      <c r="E218" s="19"/>
      <c r="F218" s="42">
        <f t="shared" si="183"/>
        <v>1</v>
      </c>
      <c r="G218" s="15"/>
      <c r="H218" s="28"/>
      <c r="I218" s="16"/>
      <c r="J218" s="31">
        <v>1</v>
      </c>
      <c r="K218" s="79">
        <f>SUM(G218:J218)</f>
        <v>1</v>
      </c>
      <c r="L218" s="94">
        <f t="shared" si="185"/>
        <v>2</v>
      </c>
      <c r="M218" s="105">
        <v>45868</v>
      </c>
      <c r="N218" s="44"/>
      <c r="O218" s="15"/>
      <c r="P218" s="28"/>
      <c r="Q218" s="16"/>
      <c r="R218" s="19"/>
      <c r="S218" s="42">
        <f t="shared" si="186"/>
        <v>0</v>
      </c>
      <c r="T218" s="15"/>
      <c r="U218" s="28"/>
      <c r="V218" s="16"/>
      <c r="W218" s="31"/>
      <c r="X218" s="9">
        <f>SUM(T218:W218)</f>
        <v>0</v>
      </c>
      <c r="Y218" s="94">
        <f t="shared" si="188"/>
        <v>0</v>
      </c>
    </row>
    <row r="219" spans="1:27" x14ac:dyDescent="0.15">
      <c r="A219" s="44" t="s">
        <v>27</v>
      </c>
      <c r="B219" s="15"/>
      <c r="C219" s="28"/>
      <c r="D219" s="16"/>
      <c r="E219" s="19"/>
      <c r="F219" s="42">
        <f t="shared" si="183"/>
        <v>0</v>
      </c>
      <c r="G219" s="15">
        <v>1</v>
      </c>
      <c r="H219" s="16"/>
      <c r="I219" s="28"/>
      <c r="J219" s="53"/>
      <c r="K219" s="79">
        <f t="shared" ref="K219:K225" si="197">SUM(G219:J219)</f>
        <v>1</v>
      </c>
      <c r="L219" s="94">
        <f t="shared" si="185"/>
        <v>1</v>
      </c>
      <c r="M219" s="104">
        <v>45869</v>
      </c>
      <c r="N219" s="44"/>
      <c r="O219" s="15"/>
      <c r="P219" s="28"/>
      <c r="Q219" s="16"/>
      <c r="R219" s="19"/>
      <c r="S219" s="42">
        <f t="shared" ref="S219:S221" si="198">SUM(O219:R219)</f>
        <v>0</v>
      </c>
      <c r="T219" s="15"/>
      <c r="U219" s="28"/>
      <c r="V219" s="16"/>
      <c r="W219" s="31"/>
      <c r="X219" s="9">
        <f t="shared" ref="X219:X221" si="199">SUM(T219:W219)</f>
        <v>0</v>
      </c>
      <c r="Y219" s="94">
        <f t="shared" ref="Y219:Y221" si="200">S219+X219</f>
        <v>0</v>
      </c>
    </row>
    <row r="220" spans="1:27" x14ac:dyDescent="0.15">
      <c r="A220" s="44" t="s">
        <v>199</v>
      </c>
      <c r="B220" s="15"/>
      <c r="C220" s="28"/>
      <c r="D220" s="16"/>
      <c r="E220" s="19"/>
      <c r="F220" s="42">
        <f t="shared" si="183"/>
        <v>0</v>
      </c>
      <c r="G220" s="15"/>
      <c r="H220" s="28"/>
      <c r="I220" s="16">
        <v>1</v>
      </c>
      <c r="J220" s="31"/>
      <c r="K220" s="79">
        <f t="shared" si="197"/>
        <v>1</v>
      </c>
      <c r="L220" s="94">
        <f t="shared" si="185"/>
        <v>1</v>
      </c>
      <c r="M220" s="104">
        <v>45873</v>
      </c>
      <c r="N220" s="44"/>
      <c r="O220" s="15"/>
      <c r="P220" s="28"/>
      <c r="Q220" s="16"/>
      <c r="R220" s="19"/>
      <c r="S220" s="42">
        <f t="shared" si="198"/>
        <v>0</v>
      </c>
      <c r="T220" s="15"/>
      <c r="U220" s="28"/>
      <c r="V220" s="16"/>
      <c r="W220" s="31"/>
      <c r="X220" s="9">
        <f t="shared" si="199"/>
        <v>0</v>
      </c>
      <c r="Y220" s="94">
        <f t="shared" si="200"/>
        <v>0</v>
      </c>
    </row>
    <row r="221" spans="1:27" x14ac:dyDescent="0.15">
      <c r="A221" s="44" t="s">
        <v>27</v>
      </c>
      <c r="B221" s="15"/>
      <c r="C221" s="28"/>
      <c r="D221" s="16"/>
      <c r="E221" s="19"/>
      <c r="F221" s="42">
        <f t="shared" si="183"/>
        <v>0</v>
      </c>
      <c r="G221" s="38"/>
      <c r="H221" s="39">
        <v>1</v>
      </c>
      <c r="I221" s="40"/>
      <c r="J221" s="52"/>
      <c r="K221" s="83">
        <f t="shared" si="197"/>
        <v>1</v>
      </c>
      <c r="L221" s="94">
        <f t="shared" si="185"/>
        <v>1</v>
      </c>
      <c r="M221" s="104">
        <v>45870</v>
      </c>
      <c r="N221" s="44"/>
      <c r="O221" s="15"/>
      <c r="P221" s="28"/>
      <c r="Q221" s="16"/>
      <c r="R221" s="19"/>
      <c r="S221" s="42">
        <f t="shared" si="198"/>
        <v>0</v>
      </c>
      <c r="T221" s="15"/>
      <c r="U221" s="28"/>
      <c r="V221" s="16"/>
      <c r="W221" s="31"/>
      <c r="X221" s="9">
        <f t="shared" si="199"/>
        <v>0</v>
      </c>
      <c r="Y221" s="94">
        <f t="shared" si="200"/>
        <v>0</v>
      </c>
    </row>
    <row r="222" spans="1:27" x14ac:dyDescent="0.15">
      <c r="A222" s="44" t="s">
        <v>200</v>
      </c>
      <c r="B222" s="15"/>
      <c r="C222" s="28"/>
      <c r="D222" s="16"/>
      <c r="E222" s="19"/>
      <c r="F222" s="42">
        <f t="shared" si="183"/>
        <v>0</v>
      </c>
      <c r="G222" s="15">
        <v>-3</v>
      </c>
      <c r="H222" s="28">
        <v>-3</v>
      </c>
      <c r="I222" s="16">
        <v>-3</v>
      </c>
      <c r="J222" s="31">
        <v>-3</v>
      </c>
      <c r="K222" s="79">
        <f t="shared" si="197"/>
        <v>-12</v>
      </c>
      <c r="L222" s="94">
        <f t="shared" si="185"/>
        <v>-12</v>
      </c>
      <c r="M222" s="104">
        <v>45871</v>
      </c>
      <c r="N222" s="44"/>
      <c r="O222" s="15"/>
      <c r="P222" s="28"/>
      <c r="Q222" s="16"/>
      <c r="R222" s="19"/>
      <c r="S222" s="42">
        <f t="shared" ref="S222" si="201">SUM(O222:R222)</f>
        <v>0</v>
      </c>
      <c r="T222" s="15"/>
      <c r="U222" s="28"/>
      <c r="V222" s="16"/>
      <c r="W222" s="31"/>
      <c r="X222" s="9">
        <f t="shared" ref="X222" si="202">SUM(T222:W222)</f>
        <v>0</v>
      </c>
      <c r="Y222" s="94">
        <f t="shared" ref="Y222" si="203">S222+X222</f>
        <v>0</v>
      </c>
    </row>
    <row r="223" spans="1:27" x14ac:dyDescent="0.15">
      <c r="A223" s="44" t="s">
        <v>27</v>
      </c>
      <c r="B223" s="15"/>
      <c r="C223" s="28"/>
      <c r="D223" s="16"/>
      <c r="E223" s="19"/>
      <c r="F223" s="42">
        <f t="shared" si="183"/>
        <v>0</v>
      </c>
      <c r="G223" s="15"/>
      <c r="H223" s="28"/>
      <c r="I223" s="16">
        <v>1</v>
      </c>
      <c r="J223" s="31"/>
      <c r="K223" s="79">
        <f t="shared" si="197"/>
        <v>1</v>
      </c>
      <c r="L223" s="94">
        <f t="shared" si="185"/>
        <v>1</v>
      </c>
      <c r="M223" s="105">
        <v>45870</v>
      </c>
      <c r="N223" s="44" t="s">
        <v>154</v>
      </c>
      <c r="O223" s="15"/>
      <c r="P223" s="28"/>
      <c r="Q223" s="16"/>
      <c r="R223" s="19"/>
      <c r="S223" s="42">
        <f t="shared" ref="S223:S224" si="204">SUM(O223:R223)</f>
        <v>0</v>
      </c>
      <c r="T223" s="15"/>
      <c r="U223" s="28"/>
      <c r="V223" s="16"/>
      <c r="W223" s="31"/>
      <c r="X223" s="9">
        <f t="shared" ref="X223:X225" si="205">SUM(T223:W223)</f>
        <v>0</v>
      </c>
      <c r="Y223" s="94">
        <f t="shared" si="188"/>
        <v>0</v>
      </c>
      <c r="Z223" s="133" t="s">
        <v>153</v>
      </c>
    </row>
    <row r="224" spans="1:27" ht="14.25" thickBot="1" x14ac:dyDescent="0.2">
      <c r="A224" s="44" t="s">
        <v>202</v>
      </c>
      <c r="B224" s="34"/>
      <c r="C224" s="35"/>
      <c r="D224" s="36">
        <v>1</v>
      </c>
      <c r="E224" s="37"/>
      <c r="F224" s="42">
        <f t="shared" si="183"/>
        <v>1</v>
      </c>
      <c r="G224" s="34"/>
      <c r="H224" s="36"/>
      <c r="I224" s="35"/>
      <c r="J224" s="64"/>
      <c r="K224" s="80">
        <f t="shared" si="197"/>
        <v>0</v>
      </c>
      <c r="L224" s="106">
        <f t="shared" si="185"/>
        <v>1</v>
      </c>
      <c r="M224" s="104">
        <v>45875</v>
      </c>
      <c r="N224" s="146" t="s">
        <v>138</v>
      </c>
      <c r="O224" s="34"/>
      <c r="P224" s="35"/>
      <c r="Q224" s="36"/>
      <c r="R224" s="37"/>
      <c r="S224" s="43">
        <f t="shared" si="204"/>
        <v>0</v>
      </c>
      <c r="T224" s="34"/>
      <c r="U224" s="35"/>
      <c r="V224" s="36"/>
      <c r="W224" s="63"/>
      <c r="X224" s="10">
        <f t="shared" si="205"/>
        <v>0</v>
      </c>
      <c r="Y224" s="142">
        <f t="shared" si="188"/>
        <v>0</v>
      </c>
      <c r="Z224" s="133" t="s">
        <v>139</v>
      </c>
    </row>
    <row r="225" spans="1:26" ht="14.25" thickBot="1" x14ac:dyDescent="0.2">
      <c r="A225" s="12" t="s">
        <v>8</v>
      </c>
      <c r="B225" s="21">
        <f>SUM(B200:B224)</f>
        <v>1</v>
      </c>
      <c r="C225" s="29">
        <f>SUM(C200:C224)</f>
        <v>4</v>
      </c>
      <c r="D225" s="22">
        <f>SUM(D200:D224)</f>
        <v>9</v>
      </c>
      <c r="E225" s="23">
        <f>SUM(E200:E224)</f>
        <v>8</v>
      </c>
      <c r="F225" s="20">
        <f>SUM(B225:E225)</f>
        <v>22</v>
      </c>
      <c r="G225" s="21">
        <f>SUM(G200:G224)</f>
        <v>3</v>
      </c>
      <c r="H225" s="29">
        <f>SUM(H200:H224)</f>
        <v>0</v>
      </c>
      <c r="I225" s="22">
        <f>SUM(I200:I224)</f>
        <v>5</v>
      </c>
      <c r="J225" s="23">
        <f>SUM(J200:J224)</f>
        <v>4</v>
      </c>
      <c r="K225" s="81">
        <f t="shared" si="197"/>
        <v>12</v>
      </c>
      <c r="L225" s="107">
        <f t="shared" si="185"/>
        <v>34</v>
      </c>
      <c r="N225" s="110" t="s">
        <v>8</v>
      </c>
      <c r="O225" s="21">
        <f>SUM(O200:O224)</f>
        <v>3</v>
      </c>
      <c r="P225" s="29">
        <f>SUM(P200:P224)</f>
        <v>17</v>
      </c>
      <c r="Q225" s="22">
        <f>SUM(Q200:Q224)</f>
        <v>14</v>
      </c>
      <c r="R225" s="23">
        <f>SUM(R200:R224)</f>
        <v>15</v>
      </c>
      <c r="S225" s="45">
        <f>SUM(O225:R225)</f>
        <v>49</v>
      </c>
      <c r="T225" s="21">
        <f>SUM(T200:T224)</f>
        <v>5</v>
      </c>
      <c r="U225" s="29">
        <f>SUM(U200:U224)</f>
        <v>19</v>
      </c>
      <c r="V225" s="22">
        <f>SUM(V200:V224)</f>
        <v>13</v>
      </c>
      <c r="W225" s="23">
        <f>SUM(W200:W224)</f>
        <v>22</v>
      </c>
      <c r="X225" s="45">
        <f t="shared" si="205"/>
        <v>59</v>
      </c>
      <c r="Y225" s="111">
        <f t="shared" si="188"/>
        <v>108</v>
      </c>
    </row>
    <row r="226" spans="1:26" ht="14.25" thickBot="1" x14ac:dyDescent="0.2">
      <c r="A226" s="13" t="s">
        <v>9</v>
      </c>
      <c r="B226" s="24">
        <f t="shared" ref="B226:K226" si="206">B199-B225</f>
        <v>6</v>
      </c>
      <c r="C226" s="30">
        <f t="shared" si="206"/>
        <v>4</v>
      </c>
      <c r="D226" s="25">
        <f t="shared" si="206"/>
        <v>3</v>
      </c>
      <c r="E226" s="26">
        <f t="shared" si="206"/>
        <v>4</v>
      </c>
      <c r="F226" s="71">
        <f t="shared" si="206"/>
        <v>17</v>
      </c>
      <c r="G226" s="24">
        <f t="shared" si="206"/>
        <v>5</v>
      </c>
      <c r="H226" s="30">
        <f t="shared" si="206"/>
        <v>6</v>
      </c>
      <c r="I226" s="25">
        <f t="shared" si="206"/>
        <v>5</v>
      </c>
      <c r="J226" s="26">
        <f t="shared" si="206"/>
        <v>9</v>
      </c>
      <c r="K226" s="82">
        <f t="shared" si="206"/>
        <v>25</v>
      </c>
      <c r="L226" s="86">
        <f t="shared" si="185"/>
        <v>42</v>
      </c>
      <c r="N226" s="13" t="s">
        <v>9</v>
      </c>
      <c r="O226" s="24">
        <f t="shared" ref="O226:X226" si="207">O199-O225</f>
        <v>52</v>
      </c>
      <c r="P226" s="30">
        <f t="shared" si="207"/>
        <v>53</v>
      </c>
      <c r="Q226" s="25">
        <f t="shared" si="207"/>
        <v>60</v>
      </c>
      <c r="R226" s="26">
        <f t="shared" si="207"/>
        <v>21</v>
      </c>
      <c r="S226" s="71">
        <f t="shared" si="207"/>
        <v>186</v>
      </c>
      <c r="T226" s="24">
        <f t="shared" si="207"/>
        <v>63</v>
      </c>
      <c r="U226" s="30">
        <f t="shared" si="207"/>
        <v>31</v>
      </c>
      <c r="V226" s="25">
        <f t="shared" si="207"/>
        <v>64</v>
      </c>
      <c r="W226" s="26">
        <f t="shared" si="207"/>
        <v>0</v>
      </c>
      <c r="X226" s="33">
        <f t="shared" si="207"/>
        <v>158</v>
      </c>
      <c r="Y226" s="86">
        <f t="shared" si="188"/>
        <v>344</v>
      </c>
    </row>
    <row r="227" spans="1:26" x14ac:dyDescent="0.15">
      <c r="N227" s="15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</row>
    <row r="228" spans="1:26" x14ac:dyDescent="0.15">
      <c r="N228" s="154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</row>
    <row r="229" spans="1:26" ht="19.5" thickBot="1" x14ac:dyDescent="0.25">
      <c r="A229" s="2" t="s">
        <v>15</v>
      </c>
      <c r="B229" s="2"/>
      <c r="C229" s="1"/>
      <c r="D229" s="1"/>
      <c r="E229" s="1"/>
      <c r="G229" s="72"/>
      <c r="H229" s="1"/>
      <c r="I229" s="1"/>
      <c r="J229" s="1"/>
      <c r="K229" s="72" t="s">
        <v>12</v>
      </c>
      <c r="N229" s="2" t="s">
        <v>16</v>
      </c>
      <c r="O229" s="2"/>
      <c r="P229" s="1"/>
      <c r="Q229" s="1"/>
      <c r="R229" s="1"/>
      <c r="T229" s="72" t="s">
        <v>257</v>
      </c>
      <c r="U229" s="1"/>
      <c r="V229" s="1"/>
      <c r="W229" s="1"/>
      <c r="X229" s="72" t="s">
        <v>12</v>
      </c>
    </row>
    <row r="230" spans="1:26" ht="14.25" thickBot="1" x14ac:dyDescent="0.2">
      <c r="A230" s="5" t="s">
        <v>0</v>
      </c>
      <c r="B230" s="245" t="s">
        <v>34</v>
      </c>
      <c r="C230" s="246"/>
      <c r="D230" s="246"/>
      <c r="E230" s="246"/>
      <c r="F230" s="247"/>
      <c r="G230" s="248" t="s">
        <v>35</v>
      </c>
      <c r="H230" s="249"/>
      <c r="I230" s="249"/>
      <c r="J230" s="249"/>
      <c r="K230" s="249"/>
      <c r="L230" s="243" t="s">
        <v>14</v>
      </c>
      <c r="N230" s="5" t="s">
        <v>0</v>
      </c>
      <c r="O230" s="245" t="s">
        <v>58</v>
      </c>
      <c r="P230" s="246"/>
      <c r="Q230" s="246"/>
      <c r="R230" s="246"/>
      <c r="S230" s="247"/>
      <c r="T230" s="248" t="s">
        <v>59</v>
      </c>
      <c r="U230" s="249"/>
      <c r="V230" s="249"/>
      <c r="W230" s="249"/>
      <c r="X230" s="249"/>
      <c r="Y230" s="243" t="s">
        <v>14</v>
      </c>
    </row>
    <row r="231" spans="1:26" ht="14.25" thickBot="1" x14ac:dyDescent="0.2">
      <c r="A231" s="5" t="s">
        <v>1</v>
      </c>
      <c r="B231" s="3" t="s">
        <v>17</v>
      </c>
      <c r="C231" s="27" t="s">
        <v>18</v>
      </c>
      <c r="D231" s="4" t="s">
        <v>19</v>
      </c>
      <c r="E231" s="14" t="s">
        <v>20</v>
      </c>
      <c r="F231" s="18" t="s">
        <v>2</v>
      </c>
      <c r="G231" s="3" t="s">
        <v>17</v>
      </c>
      <c r="H231" s="27" t="s">
        <v>18</v>
      </c>
      <c r="I231" s="4" t="s">
        <v>19</v>
      </c>
      <c r="J231" s="14" t="s">
        <v>20</v>
      </c>
      <c r="K231" s="73" t="s">
        <v>2</v>
      </c>
      <c r="L231" s="244"/>
      <c r="N231" s="5" t="s">
        <v>1</v>
      </c>
      <c r="O231" s="3" t="s">
        <v>17</v>
      </c>
      <c r="P231" s="27" t="s">
        <v>18</v>
      </c>
      <c r="Q231" s="4" t="s">
        <v>19</v>
      </c>
      <c r="R231" s="14" t="s">
        <v>20</v>
      </c>
      <c r="S231" s="18" t="s">
        <v>2</v>
      </c>
      <c r="T231" s="3" t="s">
        <v>17</v>
      </c>
      <c r="U231" s="27" t="s">
        <v>18</v>
      </c>
      <c r="V231" s="4" t="s">
        <v>19</v>
      </c>
      <c r="W231" s="14" t="s">
        <v>20</v>
      </c>
      <c r="X231" s="18" t="s">
        <v>2</v>
      </c>
      <c r="Y231" s="244"/>
    </row>
    <row r="232" spans="1:26" x14ac:dyDescent="0.15">
      <c r="A232" s="66" t="s">
        <v>10</v>
      </c>
      <c r="B232" s="67">
        <f>B226</f>
        <v>6</v>
      </c>
      <c r="C232" s="68">
        <f>C226</f>
        <v>4</v>
      </c>
      <c r="D232" s="68">
        <f>D226</f>
        <v>3</v>
      </c>
      <c r="E232" s="69">
        <f>E226</f>
        <v>4</v>
      </c>
      <c r="F232" s="70">
        <f>SUM(B232:E232)</f>
        <v>17</v>
      </c>
      <c r="G232" s="67">
        <f>G226</f>
        <v>5</v>
      </c>
      <c r="H232" s="68">
        <f>H226</f>
        <v>6</v>
      </c>
      <c r="I232" s="68">
        <f>I226</f>
        <v>5</v>
      </c>
      <c r="J232" s="69">
        <f>J226</f>
        <v>9</v>
      </c>
      <c r="K232" s="74">
        <f>SUM(G232:J232)</f>
        <v>25</v>
      </c>
      <c r="L232" s="84">
        <f>F232+K232</f>
        <v>42</v>
      </c>
      <c r="N232" s="66" t="s">
        <v>10</v>
      </c>
      <c r="O232" s="67">
        <f>O226</f>
        <v>52</v>
      </c>
      <c r="P232" s="68">
        <f>P226</f>
        <v>53</v>
      </c>
      <c r="Q232" s="68">
        <f>Q226</f>
        <v>60</v>
      </c>
      <c r="R232" s="69">
        <f>R226</f>
        <v>21</v>
      </c>
      <c r="S232" s="70">
        <f>SUM(O232:R232)</f>
        <v>186</v>
      </c>
      <c r="T232" s="67">
        <f>T226</f>
        <v>63</v>
      </c>
      <c r="U232" s="68">
        <f>U226</f>
        <v>31</v>
      </c>
      <c r="V232" s="68">
        <f>V226</f>
        <v>64</v>
      </c>
      <c r="W232" s="87">
        <f>W226</f>
        <v>0</v>
      </c>
      <c r="X232" s="88">
        <f>SUM(T232:W232)</f>
        <v>158</v>
      </c>
      <c r="Y232" s="84">
        <f>S232+X232</f>
        <v>344</v>
      </c>
    </row>
    <row r="233" spans="1:26" x14ac:dyDescent="0.15">
      <c r="A233" s="44" t="s">
        <v>3</v>
      </c>
      <c r="B233" s="47"/>
      <c r="C233" s="48"/>
      <c r="D233" s="49">
        <v>3</v>
      </c>
      <c r="E233" s="50"/>
      <c r="F233" s="54">
        <f>SUM(B233:E233)</f>
        <v>3</v>
      </c>
      <c r="G233" s="38"/>
      <c r="H233" s="39"/>
      <c r="I233" s="40"/>
      <c r="J233" s="41">
        <v>3</v>
      </c>
      <c r="K233" s="75">
        <f>SUM(G233:J233)</f>
        <v>3</v>
      </c>
      <c r="L233" s="94">
        <f t="shared" ref="L233:L236" si="208">F233+K233</f>
        <v>6</v>
      </c>
      <c r="M233" s="104">
        <v>45874</v>
      </c>
      <c r="N233" s="11" t="s">
        <v>4</v>
      </c>
      <c r="O233" s="15"/>
      <c r="P233" s="28"/>
      <c r="Q233" s="16"/>
      <c r="R233" s="31"/>
      <c r="S233" s="9">
        <f>SUM(O233:R233)</f>
        <v>0</v>
      </c>
      <c r="T233" s="15"/>
      <c r="U233" s="28"/>
      <c r="V233" s="16"/>
      <c r="W233" s="31"/>
      <c r="X233" s="9">
        <f>SUM(T233:W233)</f>
        <v>0</v>
      </c>
      <c r="Y233" s="126">
        <f t="shared" ref="Y233:Y236" si="209">S233+X233</f>
        <v>0</v>
      </c>
      <c r="Z233" s="132"/>
    </row>
    <row r="234" spans="1:26" x14ac:dyDescent="0.15">
      <c r="A234" s="44" t="s">
        <v>64</v>
      </c>
      <c r="B234" s="47">
        <v>0</v>
      </c>
      <c r="C234" s="48">
        <v>1</v>
      </c>
      <c r="D234" s="49">
        <v>-1</v>
      </c>
      <c r="E234" s="50">
        <v>0</v>
      </c>
      <c r="F234" s="54">
        <f t="shared" ref="F234:F235" si="210">SUM(B234:E234)</f>
        <v>0</v>
      </c>
      <c r="G234" s="38">
        <v>0</v>
      </c>
      <c r="H234" s="39">
        <v>0</v>
      </c>
      <c r="I234" s="40">
        <v>0</v>
      </c>
      <c r="J234" s="41">
        <v>0</v>
      </c>
      <c r="K234" s="75">
        <f t="shared" ref="K234:K235" si="211">SUM(G234:J234)</f>
        <v>0</v>
      </c>
      <c r="L234" s="94">
        <f t="shared" si="208"/>
        <v>0</v>
      </c>
      <c r="M234" s="104">
        <v>45878</v>
      </c>
      <c r="N234" s="11" t="s">
        <v>24</v>
      </c>
      <c r="O234" s="15">
        <v>15</v>
      </c>
      <c r="P234" s="28">
        <v>30</v>
      </c>
      <c r="Q234" s="16">
        <v>50</v>
      </c>
      <c r="R234" s="31">
        <v>35</v>
      </c>
      <c r="S234" s="9">
        <f>SUM(O234:R234)</f>
        <v>130</v>
      </c>
      <c r="T234" s="15">
        <v>20</v>
      </c>
      <c r="U234" s="28">
        <v>35</v>
      </c>
      <c r="V234" s="16">
        <v>60</v>
      </c>
      <c r="W234" s="31">
        <v>55</v>
      </c>
      <c r="X234" s="9">
        <f>SUM(T234:W234)</f>
        <v>170</v>
      </c>
      <c r="Y234" s="94">
        <f t="shared" si="209"/>
        <v>300</v>
      </c>
      <c r="Z234" s="104" t="s">
        <v>212</v>
      </c>
    </row>
    <row r="235" spans="1:26" x14ac:dyDescent="0.15">
      <c r="A235" s="44" t="s">
        <v>5</v>
      </c>
      <c r="B235" s="47"/>
      <c r="C235" s="48"/>
      <c r="D235" s="49"/>
      <c r="E235" s="50"/>
      <c r="F235" s="54">
        <f t="shared" si="210"/>
        <v>0</v>
      </c>
      <c r="G235" s="38"/>
      <c r="H235" s="39"/>
      <c r="I235" s="40">
        <v>5</v>
      </c>
      <c r="J235" s="41">
        <v>3</v>
      </c>
      <c r="K235" s="75">
        <f t="shared" si="211"/>
        <v>8</v>
      </c>
      <c r="L235" s="94">
        <f t="shared" si="208"/>
        <v>8</v>
      </c>
      <c r="M235" s="104">
        <v>45888</v>
      </c>
      <c r="N235" s="11" t="s">
        <v>49</v>
      </c>
      <c r="O235" s="15">
        <v>9</v>
      </c>
      <c r="P235" s="28">
        <v>9</v>
      </c>
      <c r="Q235" s="16">
        <v>7</v>
      </c>
      <c r="R235" s="31">
        <v>7</v>
      </c>
      <c r="S235" s="9">
        <f>SUM(O235:R235)</f>
        <v>32</v>
      </c>
      <c r="T235" s="15">
        <v>8</v>
      </c>
      <c r="U235" s="28">
        <v>8</v>
      </c>
      <c r="V235" s="16">
        <v>9</v>
      </c>
      <c r="W235" s="31">
        <v>8</v>
      </c>
      <c r="X235" s="9">
        <f>SUM(T235:W235)</f>
        <v>33</v>
      </c>
      <c r="Y235" s="126">
        <f t="shared" si="209"/>
        <v>65</v>
      </c>
      <c r="Z235" s="104">
        <v>45919</v>
      </c>
    </row>
    <row r="236" spans="1:26" ht="14.25" thickBot="1" x14ac:dyDescent="0.2">
      <c r="A236" s="11" t="s">
        <v>152</v>
      </c>
      <c r="B236" s="6"/>
      <c r="C236" s="17"/>
      <c r="D236" s="7"/>
      <c r="E236" s="8"/>
      <c r="F236" s="10">
        <f>SUM(B236:E236)</f>
        <v>0</v>
      </c>
      <c r="G236" s="34"/>
      <c r="H236" s="35"/>
      <c r="I236" s="36">
        <v>1</v>
      </c>
      <c r="J236" s="37"/>
      <c r="K236" s="77">
        <f>SUM(G236:J236)</f>
        <v>1</v>
      </c>
      <c r="L236" s="94">
        <f t="shared" si="208"/>
        <v>1</v>
      </c>
      <c r="M236" s="105">
        <v>45885</v>
      </c>
      <c r="N236" s="11" t="s">
        <v>6</v>
      </c>
      <c r="O236" s="15"/>
      <c r="P236" s="28"/>
      <c r="Q236" s="16"/>
      <c r="R236" s="31"/>
      <c r="S236" s="10">
        <f>SUM(O236:R236)</f>
        <v>0</v>
      </c>
      <c r="T236" s="34"/>
      <c r="U236" s="35"/>
      <c r="V236" s="36"/>
      <c r="W236" s="63"/>
      <c r="X236" s="10">
        <f>SUM(T236:W236)</f>
        <v>0</v>
      </c>
      <c r="Y236" s="94">
        <f t="shared" si="209"/>
        <v>0</v>
      </c>
    </row>
    <row r="237" spans="1:26" ht="14.25" thickBot="1" x14ac:dyDescent="0.2">
      <c r="A237" s="13" t="s">
        <v>7</v>
      </c>
      <c r="B237" s="55">
        <f t="shared" ref="B237:K237" si="212">SUM(B232:B236)</f>
        <v>6</v>
      </c>
      <c r="C237" s="56">
        <f t="shared" si="212"/>
        <v>5</v>
      </c>
      <c r="D237" s="57">
        <f t="shared" si="212"/>
        <v>5</v>
      </c>
      <c r="E237" s="58">
        <f t="shared" si="212"/>
        <v>4</v>
      </c>
      <c r="F237" s="59">
        <f t="shared" si="212"/>
        <v>20</v>
      </c>
      <c r="G237" s="24">
        <f t="shared" si="212"/>
        <v>5</v>
      </c>
      <c r="H237" s="30">
        <f t="shared" si="212"/>
        <v>6</v>
      </c>
      <c r="I237" s="25">
        <f t="shared" si="212"/>
        <v>11</v>
      </c>
      <c r="J237" s="60">
        <f t="shared" si="212"/>
        <v>15</v>
      </c>
      <c r="K237" s="78">
        <f t="shared" si="212"/>
        <v>37</v>
      </c>
      <c r="L237" s="85">
        <f>F237+K237</f>
        <v>57</v>
      </c>
      <c r="N237" s="13" t="s">
        <v>7</v>
      </c>
      <c r="O237" s="55">
        <f t="shared" ref="O237:X237" si="213">SUM(O232:O236)</f>
        <v>76</v>
      </c>
      <c r="P237" s="56">
        <f t="shared" si="213"/>
        <v>92</v>
      </c>
      <c r="Q237" s="57">
        <f t="shared" si="213"/>
        <v>117</v>
      </c>
      <c r="R237" s="58">
        <f t="shared" si="213"/>
        <v>63</v>
      </c>
      <c r="S237" s="59">
        <f t="shared" si="213"/>
        <v>348</v>
      </c>
      <c r="T237" s="24">
        <f t="shared" si="213"/>
        <v>91</v>
      </c>
      <c r="U237" s="30">
        <f t="shared" si="213"/>
        <v>74</v>
      </c>
      <c r="V237" s="25">
        <f t="shared" si="213"/>
        <v>133</v>
      </c>
      <c r="W237" s="60">
        <f t="shared" si="213"/>
        <v>63</v>
      </c>
      <c r="X237" s="61">
        <f t="shared" si="213"/>
        <v>361</v>
      </c>
      <c r="Y237" s="85">
        <f>S237+X237</f>
        <v>709</v>
      </c>
    </row>
    <row r="238" spans="1:26" x14ac:dyDescent="0.15">
      <c r="A238" s="44" t="s">
        <v>27</v>
      </c>
      <c r="B238" s="15"/>
      <c r="C238" s="28"/>
      <c r="D238" s="16">
        <v>1</v>
      </c>
      <c r="E238" s="19"/>
      <c r="F238" s="42">
        <f t="shared" ref="F238:F255" si="214">SUM(B238:E238)</f>
        <v>1</v>
      </c>
      <c r="G238" s="15"/>
      <c r="H238" s="28"/>
      <c r="I238" s="16"/>
      <c r="J238" s="31">
        <f>1+3</f>
        <v>4</v>
      </c>
      <c r="K238" s="79">
        <f t="shared" ref="K238:K255" si="215">SUM(G238:J238)</f>
        <v>4</v>
      </c>
      <c r="L238" s="94">
        <f t="shared" ref="L238:L255" si="216">F238+K238</f>
        <v>5</v>
      </c>
      <c r="M238" s="105">
        <v>45873</v>
      </c>
      <c r="N238" s="121" t="s">
        <v>213</v>
      </c>
      <c r="O238" s="15"/>
      <c r="P238" s="28"/>
      <c r="Q238" s="16"/>
      <c r="R238" s="19"/>
      <c r="S238" s="42">
        <f t="shared" ref="S238" si="217">SUM(O238:R238)</f>
        <v>0</v>
      </c>
      <c r="T238" s="15"/>
      <c r="U238" s="28"/>
      <c r="V238" s="16"/>
      <c r="W238" s="31">
        <v>3</v>
      </c>
      <c r="X238" s="9">
        <f t="shared" ref="X238" si="218">SUM(T238:W238)</f>
        <v>3</v>
      </c>
      <c r="Y238" s="94">
        <f>S238+X238</f>
        <v>3</v>
      </c>
      <c r="Z238" s="104">
        <v>45902</v>
      </c>
    </row>
    <row r="239" spans="1:26" x14ac:dyDescent="0.15">
      <c r="A239" s="44" t="s">
        <v>204</v>
      </c>
      <c r="B239" s="15"/>
      <c r="C239" s="28"/>
      <c r="D239" s="16"/>
      <c r="E239" s="19"/>
      <c r="F239" s="42">
        <f t="shared" si="214"/>
        <v>0</v>
      </c>
      <c r="G239" s="15"/>
      <c r="H239" s="28"/>
      <c r="I239" s="16"/>
      <c r="J239" s="31">
        <v>1</v>
      </c>
      <c r="K239" s="79">
        <f t="shared" si="215"/>
        <v>1</v>
      </c>
      <c r="L239" s="94">
        <f t="shared" si="216"/>
        <v>1</v>
      </c>
      <c r="M239" s="104">
        <v>45876</v>
      </c>
      <c r="N239" s="135" t="s">
        <v>215</v>
      </c>
      <c r="O239" s="15"/>
      <c r="P239" s="28"/>
      <c r="Q239" s="16">
        <v>3</v>
      </c>
      <c r="R239" s="19"/>
      <c r="S239" s="42">
        <f t="shared" ref="S239:S262" si="219">SUM(O239:R239)</f>
        <v>3</v>
      </c>
      <c r="T239" s="15"/>
      <c r="U239" s="28"/>
      <c r="V239" s="16"/>
      <c r="W239" s="31"/>
      <c r="X239" s="9">
        <f t="shared" ref="X239:X243" si="220">SUM(T239:W239)</f>
        <v>0</v>
      </c>
      <c r="Y239" s="94">
        <f>S239+X239</f>
        <v>3</v>
      </c>
      <c r="Z239" s="104">
        <v>45908</v>
      </c>
    </row>
    <row r="240" spans="1:26" x14ac:dyDescent="0.15">
      <c r="A240" s="44" t="s">
        <v>27</v>
      </c>
      <c r="B240" s="15"/>
      <c r="C240" s="28"/>
      <c r="D240" s="16"/>
      <c r="E240" s="19"/>
      <c r="F240" s="42">
        <f t="shared" si="214"/>
        <v>0</v>
      </c>
      <c r="G240" s="15"/>
      <c r="H240" s="28"/>
      <c r="I240" s="16"/>
      <c r="J240" s="31">
        <v>4</v>
      </c>
      <c r="K240" s="79">
        <f t="shared" si="215"/>
        <v>4</v>
      </c>
      <c r="L240" s="94">
        <f t="shared" si="216"/>
        <v>4</v>
      </c>
      <c r="M240" s="104">
        <v>45877</v>
      </c>
      <c r="N240" s="44" t="s">
        <v>26</v>
      </c>
      <c r="O240" s="15"/>
      <c r="P240" s="28">
        <v>3</v>
      </c>
      <c r="Q240" s="16">
        <v>3</v>
      </c>
      <c r="R240" s="19"/>
      <c r="S240" s="42">
        <f>SUM(O240:R240)</f>
        <v>6</v>
      </c>
      <c r="T240" s="15">
        <v>3</v>
      </c>
      <c r="U240" s="28"/>
      <c r="V240" s="16">
        <v>3</v>
      </c>
      <c r="W240" s="31">
        <v>3</v>
      </c>
      <c r="X240" s="9">
        <f>SUM(T240:W240)</f>
        <v>9</v>
      </c>
      <c r="Y240" s="94">
        <f t="shared" ref="Y240" si="221">S240+X240</f>
        <v>15</v>
      </c>
      <c r="Z240" s="104">
        <v>45911</v>
      </c>
    </row>
    <row r="241" spans="1:26" x14ac:dyDescent="0.15">
      <c r="A241" s="44" t="s">
        <v>205</v>
      </c>
      <c r="B241" s="15"/>
      <c r="C241" s="28">
        <v>1</v>
      </c>
      <c r="D241" s="16"/>
      <c r="E241" s="19"/>
      <c r="F241" s="42">
        <f t="shared" si="214"/>
        <v>1</v>
      </c>
      <c r="G241" s="15"/>
      <c r="H241" s="28"/>
      <c r="I241" s="16">
        <v>1</v>
      </c>
      <c r="J241" s="31"/>
      <c r="K241" s="79">
        <f t="shared" si="215"/>
        <v>1</v>
      </c>
      <c r="L241" s="94">
        <f t="shared" si="216"/>
        <v>2</v>
      </c>
      <c r="M241" s="104">
        <v>45889</v>
      </c>
      <c r="N241" s="135" t="s">
        <v>223</v>
      </c>
      <c r="O241" s="15">
        <v>1</v>
      </c>
      <c r="P241" s="28"/>
      <c r="Q241" s="16"/>
      <c r="R241" s="19">
        <v>1</v>
      </c>
      <c r="S241" s="42">
        <f t="shared" si="219"/>
        <v>2</v>
      </c>
      <c r="T241" s="15"/>
      <c r="U241" s="28"/>
      <c r="V241" s="16">
        <v>3</v>
      </c>
      <c r="W241" s="31">
        <v>1</v>
      </c>
      <c r="X241" s="9">
        <f t="shared" si="220"/>
        <v>4</v>
      </c>
      <c r="Y241" s="94">
        <f t="shared" ref="Y241:Y264" si="222">S241+X241</f>
        <v>6</v>
      </c>
      <c r="Z241" s="104">
        <v>45922</v>
      </c>
    </row>
    <row r="242" spans="1:26" x14ac:dyDescent="0.15">
      <c r="A242" s="44" t="s">
        <v>27</v>
      </c>
      <c r="B242" s="15"/>
      <c r="C242" s="28"/>
      <c r="D242" s="16"/>
      <c r="E242" s="19"/>
      <c r="F242" s="42">
        <f t="shared" si="214"/>
        <v>0</v>
      </c>
      <c r="G242" s="15">
        <v>1</v>
      </c>
      <c r="H242" s="28">
        <v>1</v>
      </c>
      <c r="I242" s="16">
        <v>3</v>
      </c>
      <c r="J242" s="31"/>
      <c r="K242" s="79">
        <f t="shared" si="215"/>
        <v>5</v>
      </c>
      <c r="L242" s="94">
        <f t="shared" si="216"/>
        <v>5</v>
      </c>
      <c r="M242" s="104">
        <v>45887</v>
      </c>
      <c r="N242" s="44"/>
      <c r="O242" s="15"/>
      <c r="P242" s="28"/>
      <c r="Q242" s="16"/>
      <c r="R242" s="19"/>
      <c r="S242" s="42">
        <f t="shared" si="219"/>
        <v>0</v>
      </c>
      <c r="T242" s="15"/>
      <c r="U242" s="28"/>
      <c r="V242" s="16"/>
      <c r="W242" s="31"/>
      <c r="X242" s="9">
        <f t="shared" si="220"/>
        <v>0</v>
      </c>
      <c r="Y242" s="94">
        <f t="shared" si="222"/>
        <v>0</v>
      </c>
      <c r="Z242" s="133"/>
    </row>
    <row r="243" spans="1:26" x14ac:dyDescent="0.15">
      <c r="A243" s="44" t="s">
        <v>27</v>
      </c>
      <c r="B243" s="15"/>
      <c r="C243" s="28"/>
      <c r="D243" s="16"/>
      <c r="E243" s="19"/>
      <c r="F243" s="42">
        <f t="shared" si="214"/>
        <v>0</v>
      </c>
      <c r="G243" s="15"/>
      <c r="H243" s="28"/>
      <c r="I243" s="16"/>
      <c r="J243" s="31">
        <v>1</v>
      </c>
      <c r="K243" s="79">
        <f t="shared" si="215"/>
        <v>1</v>
      </c>
      <c r="L243" s="94">
        <f t="shared" si="216"/>
        <v>1</v>
      </c>
      <c r="M243" s="105">
        <v>45888</v>
      </c>
      <c r="N243" s="44"/>
      <c r="O243" s="15"/>
      <c r="P243" s="28"/>
      <c r="Q243" s="16"/>
      <c r="R243" s="19"/>
      <c r="S243" s="42">
        <f t="shared" si="219"/>
        <v>0</v>
      </c>
      <c r="T243" s="15"/>
      <c r="U243" s="28"/>
      <c r="V243" s="16"/>
      <c r="W243" s="31"/>
      <c r="X243" s="9">
        <f t="shared" si="220"/>
        <v>0</v>
      </c>
      <c r="Y243" s="94">
        <f t="shared" si="222"/>
        <v>0</v>
      </c>
      <c r="Z243" s="133"/>
    </row>
    <row r="244" spans="1:26" x14ac:dyDescent="0.15">
      <c r="A244" s="44" t="s">
        <v>27</v>
      </c>
      <c r="B244" s="15"/>
      <c r="C244" s="28">
        <v>1</v>
      </c>
      <c r="D244" s="16"/>
      <c r="E244" s="19"/>
      <c r="F244" s="42">
        <f t="shared" si="214"/>
        <v>1</v>
      </c>
      <c r="G244" s="15"/>
      <c r="H244" s="28"/>
      <c r="I244" s="16"/>
      <c r="J244" s="31"/>
      <c r="K244" s="79">
        <f t="shared" si="215"/>
        <v>0</v>
      </c>
      <c r="L244" s="94">
        <f t="shared" si="216"/>
        <v>1</v>
      </c>
      <c r="M244" s="105">
        <v>45890</v>
      </c>
      <c r="N244" s="44"/>
      <c r="O244" s="15"/>
      <c r="P244" s="28"/>
      <c r="Q244" s="16"/>
      <c r="R244" s="19"/>
      <c r="S244" s="42">
        <f t="shared" si="219"/>
        <v>0</v>
      </c>
      <c r="T244" s="15"/>
      <c r="U244" s="28"/>
      <c r="V244" s="16"/>
      <c r="W244" s="31"/>
      <c r="X244" s="9">
        <f>SUM(T244:W244)</f>
        <v>0</v>
      </c>
      <c r="Y244" s="94">
        <f t="shared" si="222"/>
        <v>0</v>
      </c>
    </row>
    <row r="245" spans="1:26" x14ac:dyDescent="0.15">
      <c r="A245" s="44" t="s">
        <v>27</v>
      </c>
      <c r="B245" s="15"/>
      <c r="C245" s="28"/>
      <c r="D245" s="16"/>
      <c r="E245" s="19"/>
      <c r="F245" s="42">
        <f t="shared" si="214"/>
        <v>0</v>
      </c>
      <c r="G245" s="15"/>
      <c r="H245" s="28">
        <v>1</v>
      </c>
      <c r="I245" s="16"/>
      <c r="J245" s="31">
        <v>1</v>
      </c>
      <c r="K245" s="79">
        <f t="shared" si="215"/>
        <v>2</v>
      </c>
      <c r="L245" s="94">
        <f t="shared" si="216"/>
        <v>2</v>
      </c>
      <c r="M245" s="105">
        <v>45894</v>
      </c>
      <c r="N245" s="44"/>
      <c r="O245" s="15"/>
      <c r="P245" s="28"/>
      <c r="Q245" s="16"/>
      <c r="R245" s="19"/>
      <c r="S245" s="42">
        <f t="shared" si="219"/>
        <v>0</v>
      </c>
      <c r="T245" s="15"/>
      <c r="U245" s="28"/>
      <c r="V245" s="16"/>
      <c r="W245" s="31"/>
      <c r="X245" s="9">
        <f t="shared" ref="X245:X249" si="223">SUM(T245:W245)</f>
        <v>0</v>
      </c>
      <c r="Y245" s="94">
        <f t="shared" si="222"/>
        <v>0</v>
      </c>
    </row>
    <row r="246" spans="1:26" x14ac:dyDescent="0.15">
      <c r="A246" s="44" t="s">
        <v>208</v>
      </c>
      <c r="B246" s="15"/>
      <c r="C246" s="28">
        <v>-1</v>
      </c>
      <c r="D246" s="16"/>
      <c r="E246" s="19"/>
      <c r="F246" s="42">
        <f t="shared" si="214"/>
        <v>-1</v>
      </c>
      <c r="G246" s="15"/>
      <c r="H246" s="28"/>
      <c r="I246" s="16"/>
      <c r="J246" s="31"/>
      <c r="K246" s="79">
        <f t="shared" si="215"/>
        <v>0</v>
      </c>
      <c r="L246" s="94">
        <f t="shared" si="216"/>
        <v>-1</v>
      </c>
      <c r="M246" s="104">
        <v>45894</v>
      </c>
      <c r="N246" s="44"/>
      <c r="O246" s="15"/>
      <c r="P246" s="28"/>
      <c r="Q246" s="16"/>
      <c r="R246" s="19"/>
      <c r="S246" s="42">
        <f t="shared" si="219"/>
        <v>0</v>
      </c>
      <c r="T246" s="15"/>
      <c r="U246" s="28"/>
      <c r="V246" s="16"/>
      <c r="W246" s="31"/>
      <c r="X246" s="9">
        <f t="shared" si="223"/>
        <v>0</v>
      </c>
      <c r="Y246" s="94">
        <f t="shared" si="222"/>
        <v>0</v>
      </c>
    </row>
    <row r="247" spans="1:26" x14ac:dyDescent="0.15">
      <c r="A247" s="44" t="s">
        <v>27</v>
      </c>
      <c r="B247" s="15"/>
      <c r="C247" s="28"/>
      <c r="D247" s="16"/>
      <c r="E247" s="19">
        <v>1</v>
      </c>
      <c r="F247" s="42">
        <f t="shared" si="214"/>
        <v>1</v>
      </c>
      <c r="G247" s="15"/>
      <c r="H247" s="28">
        <v>1</v>
      </c>
      <c r="I247" s="16"/>
      <c r="J247" s="31"/>
      <c r="K247" s="79">
        <f t="shared" si="215"/>
        <v>1</v>
      </c>
      <c r="L247" s="94">
        <f t="shared" si="216"/>
        <v>2</v>
      </c>
      <c r="M247" s="104">
        <v>45896</v>
      </c>
      <c r="N247" s="32"/>
      <c r="O247" s="15"/>
      <c r="P247" s="28"/>
      <c r="Q247" s="16"/>
      <c r="R247" s="19"/>
      <c r="S247" s="42">
        <f t="shared" si="219"/>
        <v>0</v>
      </c>
      <c r="T247" s="15"/>
      <c r="U247" s="28"/>
      <c r="V247" s="16"/>
      <c r="W247" s="31"/>
      <c r="X247" s="9">
        <f t="shared" si="223"/>
        <v>0</v>
      </c>
      <c r="Y247" s="94">
        <f t="shared" si="222"/>
        <v>0</v>
      </c>
    </row>
    <row r="248" spans="1:26" x14ac:dyDescent="0.15">
      <c r="A248" s="44" t="s">
        <v>209</v>
      </c>
      <c r="B248" s="15"/>
      <c r="C248" s="28"/>
      <c r="D248" s="16"/>
      <c r="E248" s="19"/>
      <c r="F248" s="42">
        <f t="shared" si="214"/>
        <v>0</v>
      </c>
      <c r="G248" s="15"/>
      <c r="H248" s="28">
        <v>1</v>
      </c>
      <c r="I248" s="16"/>
      <c r="J248" s="31"/>
      <c r="K248" s="79">
        <f t="shared" si="215"/>
        <v>1</v>
      </c>
      <c r="L248" s="94">
        <f t="shared" si="216"/>
        <v>1</v>
      </c>
      <c r="M248" s="104">
        <v>45898</v>
      </c>
      <c r="N248" s="44"/>
      <c r="O248" s="15"/>
      <c r="P248" s="28"/>
      <c r="Q248" s="16"/>
      <c r="R248" s="19"/>
      <c r="S248" s="42">
        <f t="shared" si="219"/>
        <v>0</v>
      </c>
      <c r="T248" s="15"/>
      <c r="U248" s="28"/>
      <c r="V248" s="16"/>
      <c r="W248" s="31"/>
      <c r="X248" s="9">
        <f t="shared" si="223"/>
        <v>0</v>
      </c>
      <c r="Y248" s="94">
        <f t="shared" si="222"/>
        <v>0</v>
      </c>
    </row>
    <row r="249" spans="1:26" x14ac:dyDescent="0.15">
      <c r="A249" s="44" t="s">
        <v>33</v>
      </c>
      <c r="B249" s="15"/>
      <c r="C249" s="28"/>
      <c r="D249" s="16"/>
      <c r="E249" s="19"/>
      <c r="F249" s="42">
        <f t="shared" si="214"/>
        <v>0</v>
      </c>
      <c r="G249" s="15"/>
      <c r="H249" s="28">
        <v>1</v>
      </c>
      <c r="I249" s="16"/>
      <c r="J249" s="31"/>
      <c r="K249" s="79">
        <f t="shared" si="215"/>
        <v>1</v>
      </c>
      <c r="L249" s="94">
        <f t="shared" si="216"/>
        <v>1</v>
      </c>
      <c r="M249" s="104">
        <v>45899</v>
      </c>
      <c r="N249" s="44"/>
      <c r="O249" s="15"/>
      <c r="P249" s="28"/>
      <c r="Q249" s="16"/>
      <c r="R249" s="19"/>
      <c r="S249" s="42">
        <f t="shared" si="219"/>
        <v>0</v>
      </c>
      <c r="T249" s="15"/>
      <c r="U249" s="28"/>
      <c r="V249" s="16"/>
      <c r="W249" s="31"/>
      <c r="X249" s="9">
        <f t="shared" si="223"/>
        <v>0</v>
      </c>
      <c r="Y249" s="94">
        <f t="shared" si="222"/>
        <v>0</v>
      </c>
    </row>
    <row r="250" spans="1:26" x14ac:dyDescent="0.15">
      <c r="A250" s="44" t="s">
        <v>27</v>
      </c>
      <c r="B250" s="15"/>
      <c r="C250" s="28"/>
      <c r="D250" s="16"/>
      <c r="E250" s="19"/>
      <c r="F250" s="42">
        <f t="shared" si="214"/>
        <v>0</v>
      </c>
      <c r="G250" s="15"/>
      <c r="H250" s="28"/>
      <c r="I250" s="16"/>
      <c r="J250" s="31">
        <v>1</v>
      </c>
      <c r="K250" s="79">
        <f t="shared" si="215"/>
        <v>1</v>
      </c>
      <c r="L250" s="94">
        <f t="shared" si="216"/>
        <v>1</v>
      </c>
      <c r="M250" s="104">
        <v>45898</v>
      </c>
      <c r="N250" s="44"/>
      <c r="O250" s="15"/>
      <c r="P250" s="28"/>
      <c r="Q250" s="16"/>
      <c r="R250" s="19"/>
      <c r="S250" s="42">
        <f t="shared" si="219"/>
        <v>0</v>
      </c>
      <c r="T250" s="15"/>
      <c r="U250" s="28"/>
      <c r="V250" s="16"/>
      <c r="W250" s="31"/>
      <c r="X250" s="9">
        <f>SUM(T250:W250)</f>
        <v>0</v>
      </c>
      <c r="Y250" s="94">
        <f t="shared" si="222"/>
        <v>0</v>
      </c>
    </row>
    <row r="251" spans="1:26" x14ac:dyDescent="0.15">
      <c r="A251" s="44" t="s">
        <v>210</v>
      </c>
      <c r="B251" s="15"/>
      <c r="C251" s="28"/>
      <c r="D251" s="16"/>
      <c r="E251" s="19">
        <v>-3</v>
      </c>
      <c r="F251" s="42">
        <f t="shared" si="214"/>
        <v>-3</v>
      </c>
      <c r="G251" s="15"/>
      <c r="H251" s="28">
        <v>-5</v>
      </c>
      <c r="I251" s="16"/>
      <c r="J251" s="31">
        <v>-3</v>
      </c>
      <c r="K251" s="79">
        <f t="shared" si="215"/>
        <v>-8</v>
      </c>
      <c r="L251" s="94">
        <f t="shared" si="216"/>
        <v>-11</v>
      </c>
      <c r="M251" s="104">
        <v>45899</v>
      </c>
      <c r="N251" s="44"/>
      <c r="O251" s="15"/>
      <c r="P251" s="28"/>
      <c r="Q251" s="16"/>
      <c r="R251" s="19"/>
      <c r="S251" s="42">
        <f t="shared" si="219"/>
        <v>0</v>
      </c>
      <c r="T251" s="15"/>
      <c r="U251" s="28"/>
      <c r="V251" s="16"/>
      <c r="W251" s="31"/>
      <c r="X251" s="9">
        <f>SUM(T251:W251)</f>
        <v>0</v>
      </c>
      <c r="Y251" s="94">
        <f t="shared" si="222"/>
        <v>0</v>
      </c>
    </row>
    <row r="252" spans="1:26" x14ac:dyDescent="0.15">
      <c r="A252" s="44" t="s">
        <v>211</v>
      </c>
      <c r="B252" s="15"/>
      <c r="C252" s="28">
        <v>1</v>
      </c>
      <c r="D252" s="16"/>
      <c r="E252" s="19"/>
      <c r="F252" s="42">
        <f t="shared" si="214"/>
        <v>1</v>
      </c>
      <c r="G252" s="15"/>
      <c r="H252" s="28"/>
      <c r="I252" s="16"/>
      <c r="J252" s="31"/>
      <c r="K252" s="79">
        <f t="shared" si="215"/>
        <v>0</v>
      </c>
      <c r="L252" s="94">
        <f t="shared" si="216"/>
        <v>1</v>
      </c>
      <c r="M252" s="104">
        <v>45903</v>
      </c>
      <c r="N252" s="32"/>
      <c r="O252" s="15"/>
      <c r="P252" s="28"/>
      <c r="Q252" s="16"/>
      <c r="R252" s="19"/>
      <c r="S252" s="42">
        <f t="shared" si="219"/>
        <v>0</v>
      </c>
      <c r="T252" s="15"/>
      <c r="U252" s="28"/>
      <c r="V252" s="16"/>
      <c r="W252" s="31"/>
      <c r="X252" s="9">
        <f t="shared" ref="X252:X255" si="224">SUM(T252:W252)</f>
        <v>0</v>
      </c>
      <c r="Y252" s="94">
        <f t="shared" si="222"/>
        <v>0</v>
      </c>
    </row>
    <row r="253" spans="1:26" x14ac:dyDescent="0.15">
      <c r="A253" s="44" t="s">
        <v>27</v>
      </c>
      <c r="B253" s="15"/>
      <c r="C253" s="28"/>
      <c r="D253" s="16"/>
      <c r="E253" s="19"/>
      <c r="F253" s="42">
        <f t="shared" si="214"/>
        <v>0</v>
      </c>
      <c r="G253" s="15">
        <v>1</v>
      </c>
      <c r="H253" s="28"/>
      <c r="I253" s="16"/>
      <c r="J253" s="31"/>
      <c r="K253" s="79">
        <f t="shared" si="215"/>
        <v>1</v>
      </c>
      <c r="L253" s="94">
        <f t="shared" si="216"/>
        <v>1</v>
      </c>
      <c r="M253" s="104">
        <v>45901</v>
      </c>
      <c r="N253" s="44"/>
      <c r="O253" s="15"/>
      <c r="P253" s="28"/>
      <c r="Q253" s="16"/>
      <c r="R253" s="19"/>
      <c r="S253" s="42">
        <f t="shared" si="219"/>
        <v>0</v>
      </c>
      <c r="T253" s="15"/>
      <c r="U253" s="28"/>
      <c r="V253" s="16"/>
      <c r="W253" s="31"/>
      <c r="X253" s="9">
        <f t="shared" si="224"/>
        <v>0</v>
      </c>
      <c r="Y253" s="94">
        <f t="shared" si="222"/>
        <v>0</v>
      </c>
    </row>
    <row r="254" spans="1:26" x14ac:dyDescent="0.15">
      <c r="A254" s="44" t="s">
        <v>27</v>
      </c>
      <c r="B254" s="15"/>
      <c r="C254" s="28"/>
      <c r="D254" s="16"/>
      <c r="E254" s="19"/>
      <c r="F254" s="42">
        <f t="shared" si="214"/>
        <v>0</v>
      </c>
      <c r="G254" s="15"/>
      <c r="H254" s="28"/>
      <c r="I254" s="16">
        <v>1</v>
      </c>
      <c r="J254" s="31"/>
      <c r="K254" s="79">
        <f t="shared" si="215"/>
        <v>1</v>
      </c>
      <c r="L254" s="94">
        <f t="shared" si="216"/>
        <v>1</v>
      </c>
      <c r="M254" s="104">
        <v>45903</v>
      </c>
      <c r="N254" s="44"/>
      <c r="O254" s="15"/>
      <c r="P254" s="28"/>
      <c r="Q254" s="16"/>
      <c r="R254" s="19"/>
      <c r="S254" s="42">
        <f t="shared" si="219"/>
        <v>0</v>
      </c>
      <c r="T254" s="15"/>
      <c r="U254" s="28"/>
      <c r="V254" s="16"/>
      <c r="W254" s="31"/>
      <c r="X254" s="9">
        <f t="shared" si="224"/>
        <v>0</v>
      </c>
      <c r="Y254" s="94">
        <f t="shared" si="222"/>
        <v>0</v>
      </c>
    </row>
    <row r="255" spans="1:26" x14ac:dyDescent="0.15">
      <c r="A255" s="44" t="s">
        <v>214</v>
      </c>
      <c r="B255" s="15">
        <v>-1</v>
      </c>
      <c r="C255" s="28"/>
      <c r="D255" s="16"/>
      <c r="E255" s="19"/>
      <c r="F255" s="42">
        <f t="shared" si="214"/>
        <v>-1</v>
      </c>
      <c r="G255" s="15"/>
      <c r="H255" s="28"/>
      <c r="I255" s="16"/>
      <c r="J255" s="31"/>
      <c r="K255" s="79">
        <f t="shared" si="215"/>
        <v>0</v>
      </c>
      <c r="L255" s="94">
        <f t="shared" si="216"/>
        <v>-1</v>
      </c>
      <c r="M255" s="105">
        <v>45902</v>
      </c>
      <c r="N255" s="44"/>
      <c r="O255" s="15"/>
      <c r="P255" s="28"/>
      <c r="Q255" s="16"/>
      <c r="R255" s="19"/>
      <c r="S255" s="42">
        <f t="shared" si="219"/>
        <v>0</v>
      </c>
      <c r="T255" s="38"/>
      <c r="U255" s="39"/>
      <c r="V255" s="40"/>
      <c r="W255" s="52"/>
      <c r="X255" s="54">
        <f t="shared" si="224"/>
        <v>0</v>
      </c>
      <c r="Y255" s="94">
        <f t="shared" si="222"/>
        <v>0</v>
      </c>
    </row>
    <row r="256" spans="1:26" x14ac:dyDescent="0.15">
      <c r="A256" s="44" t="s">
        <v>216</v>
      </c>
      <c r="B256" s="15"/>
      <c r="C256" s="28">
        <v>1</v>
      </c>
      <c r="D256" s="16"/>
      <c r="E256" s="19"/>
      <c r="F256" s="42">
        <f t="shared" ref="F256:F262" si="225">SUM(B256:E256)</f>
        <v>1</v>
      </c>
      <c r="G256" s="15">
        <v>1</v>
      </c>
      <c r="H256" s="28"/>
      <c r="I256" s="16"/>
      <c r="J256" s="31"/>
      <c r="K256" s="79">
        <f>SUM(G256:J256)</f>
        <v>1</v>
      </c>
      <c r="L256" s="94">
        <f t="shared" ref="L256:L264" si="226">F256+K256</f>
        <v>2</v>
      </c>
      <c r="M256" s="104">
        <v>45908</v>
      </c>
      <c r="N256" s="44"/>
      <c r="O256" s="15"/>
      <c r="P256" s="28"/>
      <c r="Q256" s="16"/>
      <c r="R256" s="19"/>
      <c r="S256" s="42">
        <f t="shared" si="219"/>
        <v>0</v>
      </c>
      <c r="T256" s="15"/>
      <c r="U256" s="28"/>
      <c r="V256" s="16"/>
      <c r="W256" s="31"/>
      <c r="X256" s="9">
        <f>SUM(T256:W256)</f>
        <v>0</v>
      </c>
      <c r="Y256" s="94">
        <f t="shared" si="222"/>
        <v>0</v>
      </c>
    </row>
    <row r="257" spans="1:26" x14ac:dyDescent="0.15">
      <c r="A257" s="44" t="s">
        <v>27</v>
      </c>
      <c r="B257" s="15"/>
      <c r="C257" s="28"/>
      <c r="D257" s="16"/>
      <c r="E257" s="19"/>
      <c r="F257" s="42">
        <f t="shared" si="225"/>
        <v>0</v>
      </c>
      <c r="G257" s="15"/>
      <c r="H257" s="16"/>
      <c r="I257" s="28"/>
      <c r="J257" s="53">
        <v>1</v>
      </c>
      <c r="K257" s="79">
        <f t="shared" ref="K257:K263" si="227">SUM(G257:J257)</f>
        <v>1</v>
      </c>
      <c r="L257" s="94">
        <f t="shared" si="226"/>
        <v>1</v>
      </c>
      <c r="M257" s="105">
        <v>45905</v>
      </c>
      <c r="N257" s="44"/>
      <c r="O257" s="15"/>
      <c r="P257" s="28"/>
      <c r="Q257" s="16"/>
      <c r="R257" s="19"/>
      <c r="S257" s="42">
        <f t="shared" si="219"/>
        <v>0</v>
      </c>
      <c r="T257" s="15"/>
      <c r="U257" s="28"/>
      <c r="V257" s="16"/>
      <c r="W257" s="31"/>
      <c r="X257" s="9">
        <f t="shared" ref="X257:X263" si="228">SUM(T257:W257)</f>
        <v>0</v>
      </c>
      <c r="Y257" s="94">
        <f t="shared" si="222"/>
        <v>0</v>
      </c>
    </row>
    <row r="258" spans="1:26" x14ac:dyDescent="0.15">
      <c r="A258" s="44" t="s">
        <v>217</v>
      </c>
      <c r="B258" s="15">
        <v>1</v>
      </c>
      <c r="C258" s="28"/>
      <c r="D258" s="16"/>
      <c r="E258" s="19"/>
      <c r="F258" s="42">
        <f t="shared" si="225"/>
        <v>1</v>
      </c>
      <c r="G258" s="15">
        <v>1</v>
      </c>
      <c r="H258" s="28"/>
      <c r="I258" s="16"/>
      <c r="J258" s="31"/>
      <c r="K258" s="79">
        <f t="shared" si="227"/>
        <v>1</v>
      </c>
      <c r="L258" s="94">
        <f t="shared" si="226"/>
        <v>2</v>
      </c>
      <c r="M258" s="105">
        <v>45908</v>
      </c>
      <c r="N258" s="44"/>
      <c r="O258" s="15"/>
      <c r="P258" s="28"/>
      <c r="Q258" s="16"/>
      <c r="R258" s="19"/>
      <c r="S258" s="42">
        <f t="shared" si="219"/>
        <v>0</v>
      </c>
      <c r="T258" s="15"/>
      <c r="U258" s="28"/>
      <c r="V258" s="16"/>
      <c r="W258" s="31"/>
      <c r="X258" s="9">
        <f t="shared" si="228"/>
        <v>0</v>
      </c>
      <c r="Y258" s="94">
        <f t="shared" si="222"/>
        <v>0</v>
      </c>
    </row>
    <row r="259" spans="1:26" x14ac:dyDescent="0.15">
      <c r="A259" s="44" t="s">
        <v>27</v>
      </c>
      <c r="B259" s="15"/>
      <c r="C259" s="28"/>
      <c r="D259" s="16"/>
      <c r="E259" s="19"/>
      <c r="F259" s="42">
        <f t="shared" si="225"/>
        <v>0</v>
      </c>
      <c r="G259" s="38"/>
      <c r="H259" s="39"/>
      <c r="I259" s="40"/>
      <c r="J259" s="52">
        <v>1</v>
      </c>
      <c r="K259" s="83">
        <f t="shared" si="227"/>
        <v>1</v>
      </c>
      <c r="L259" s="94">
        <f t="shared" si="226"/>
        <v>1</v>
      </c>
      <c r="M259" s="105">
        <v>45906</v>
      </c>
      <c r="N259" s="44"/>
      <c r="O259" s="15"/>
      <c r="P259" s="28"/>
      <c r="Q259" s="16"/>
      <c r="R259" s="19"/>
      <c r="S259" s="42">
        <f t="shared" si="219"/>
        <v>0</v>
      </c>
      <c r="T259" s="15"/>
      <c r="U259" s="28"/>
      <c r="V259" s="16"/>
      <c r="W259" s="31"/>
      <c r="X259" s="9">
        <f t="shared" si="228"/>
        <v>0</v>
      </c>
      <c r="Y259" s="94">
        <f t="shared" si="222"/>
        <v>0</v>
      </c>
    </row>
    <row r="260" spans="1:26" x14ac:dyDescent="0.15">
      <c r="A260" s="44" t="s">
        <v>27</v>
      </c>
      <c r="B260" s="15"/>
      <c r="C260" s="28"/>
      <c r="D260" s="16"/>
      <c r="E260" s="19"/>
      <c r="F260" s="42">
        <f t="shared" si="225"/>
        <v>0</v>
      </c>
      <c r="G260" s="15">
        <v>-1</v>
      </c>
      <c r="H260" s="28"/>
      <c r="I260" s="16">
        <v>1</v>
      </c>
      <c r="J260" s="31"/>
      <c r="K260" s="79">
        <f t="shared" si="227"/>
        <v>0</v>
      </c>
      <c r="L260" s="94">
        <f t="shared" si="226"/>
        <v>0</v>
      </c>
      <c r="M260" s="105">
        <v>45908</v>
      </c>
      <c r="N260" s="44"/>
      <c r="O260" s="15"/>
      <c r="P260" s="28"/>
      <c r="Q260" s="16"/>
      <c r="R260" s="19"/>
      <c r="S260" s="42">
        <f t="shared" ref="S260:S261" si="229">SUM(O260:R260)</f>
        <v>0</v>
      </c>
      <c r="T260" s="15"/>
      <c r="U260" s="28"/>
      <c r="V260" s="16"/>
      <c r="W260" s="31"/>
      <c r="X260" s="9">
        <f t="shared" ref="X260:X261" si="230">SUM(T260:W260)</f>
        <v>0</v>
      </c>
      <c r="Y260" s="94">
        <f t="shared" ref="Y260:Y261" si="231">S260+X260</f>
        <v>0</v>
      </c>
    </row>
    <row r="261" spans="1:26" x14ac:dyDescent="0.15">
      <c r="A261" s="44" t="s">
        <v>27</v>
      </c>
      <c r="B261" s="15"/>
      <c r="C261" s="28"/>
      <c r="D261" s="16"/>
      <c r="E261" s="19"/>
      <c r="F261" s="42">
        <f t="shared" si="225"/>
        <v>0</v>
      </c>
      <c r="G261" s="15"/>
      <c r="H261" s="28"/>
      <c r="I261" s="16">
        <v>1</v>
      </c>
      <c r="J261" s="31">
        <v>1</v>
      </c>
      <c r="K261" s="79">
        <f t="shared" si="227"/>
        <v>2</v>
      </c>
      <c r="L261" s="94">
        <f t="shared" si="226"/>
        <v>2</v>
      </c>
      <c r="M261" s="104">
        <v>45909</v>
      </c>
      <c r="N261" s="44"/>
      <c r="O261" s="15"/>
      <c r="P261" s="28"/>
      <c r="Q261" s="16"/>
      <c r="R261" s="19"/>
      <c r="S261" s="42">
        <f t="shared" si="229"/>
        <v>0</v>
      </c>
      <c r="T261" s="15"/>
      <c r="U261" s="28"/>
      <c r="V261" s="16"/>
      <c r="W261" s="31"/>
      <c r="X261" s="9">
        <f t="shared" si="230"/>
        <v>0</v>
      </c>
      <c r="Y261" s="94">
        <f t="shared" si="231"/>
        <v>0</v>
      </c>
    </row>
    <row r="262" spans="1:26" ht="14.25" thickBot="1" x14ac:dyDescent="0.2">
      <c r="A262" s="44" t="s">
        <v>221</v>
      </c>
      <c r="B262" s="34"/>
      <c r="C262" s="35"/>
      <c r="D262" s="36">
        <v>1</v>
      </c>
      <c r="E262" s="37"/>
      <c r="F262" s="42">
        <f t="shared" si="225"/>
        <v>1</v>
      </c>
      <c r="G262" s="34"/>
      <c r="H262" s="36"/>
      <c r="I262" s="35"/>
      <c r="J262" s="64"/>
      <c r="K262" s="80">
        <f t="shared" si="227"/>
        <v>0</v>
      </c>
      <c r="L262" s="106">
        <f t="shared" si="226"/>
        <v>1</v>
      </c>
      <c r="M262" s="104">
        <v>45912</v>
      </c>
      <c r="N262" s="166" t="s">
        <v>193</v>
      </c>
      <c r="O262" s="122"/>
      <c r="P262" s="123"/>
      <c r="Q262" s="124"/>
      <c r="R262" s="136"/>
      <c r="S262" s="167">
        <f t="shared" si="219"/>
        <v>0</v>
      </c>
      <c r="T262" s="122"/>
      <c r="U262" s="123"/>
      <c r="V262" s="124"/>
      <c r="W262" s="125"/>
      <c r="X262" s="45">
        <f t="shared" si="228"/>
        <v>0</v>
      </c>
      <c r="Y262" s="111">
        <f t="shared" si="222"/>
        <v>0</v>
      </c>
      <c r="Z262" s="133" t="s">
        <v>194</v>
      </c>
    </row>
    <row r="263" spans="1:26" ht="14.25" thickBot="1" x14ac:dyDescent="0.2">
      <c r="A263" s="12" t="s">
        <v>8</v>
      </c>
      <c r="B263" s="21">
        <f>SUM(B238:B262)</f>
        <v>0</v>
      </c>
      <c r="C263" s="29">
        <f>SUM(C238:C262)</f>
        <v>3</v>
      </c>
      <c r="D263" s="22">
        <f>SUM(D238:D262)</f>
        <v>2</v>
      </c>
      <c r="E263" s="23">
        <f>SUM(E238:E262)</f>
        <v>-2</v>
      </c>
      <c r="F263" s="20">
        <f>SUM(B263:E263)</f>
        <v>3</v>
      </c>
      <c r="G263" s="21">
        <f>SUM(G238:G262)</f>
        <v>3</v>
      </c>
      <c r="H263" s="29">
        <f>SUM(H238:H262)</f>
        <v>0</v>
      </c>
      <c r="I263" s="22">
        <f>SUM(I238:I262)</f>
        <v>7</v>
      </c>
      <c r="J263" s="23">
        <f>SUM(J238:J262)</f>
        <v>12</v>
      </c>
      <c r="K263" s="81">
        <f t="shared" si="227"/>
        <v>22</v>
      </c>
      <c r="L263" s="107">
        <f t="shared" si="226"/>
        <v>25</v>
      </c>
      <c r="N263" s="110" t="s">
        <v>8</v>
      </c>
      <c r="O263" s="21">
        <f>SUM(O238:O262)</f>
        <v>1</v>
      </c>
      <c r="P263" s="29">
        <f>SUM(P238:P262)</f>
        <v>3</v>
      </c>
      <c r="Q263" s="22">
        <f>SUM(Q238:Q262)</f>
        <v>6</v>
      </c>
      <c r="R263" s="23">
        <f>SUM(R238:R262)</f>
        <v>1</v>
      </c>
      <c r="S263" s="45">
        <f>SUM(O263:R263)</f>
        <v>11</v>
      </c>
      <c r="T263" s="21">
        <f>SUM(T238:T262)</f>
        <v>3</v>
      </c>
      <c r="U263" s="29">
        <f>SUM(U238:U262)</f>
        <v>0</v>
      </c>
      <c r="V263" s="22">
        <f>SUM(V238:V262)</f>
        <v>6</v>
      </c>
      <c r="W263" s="23">
        <f>SUM(W238:W262)</f>
        <v>7</v>
      </c>
      <c r="X263" s="45">
        <f t="shared" si="228"/>
        <v>16</v>
      </c>
      <c r="Y263" s="111">
        <f t="shared" si="222"/>
        <v>27</v>
      </c>
    </row>
    <row r="264" spans="1:26" ht="14.25" thickBot="1" x14ac:dyDescent="0.2">
      <c r="A264" s="13" t="s">
        <v>9</v>
      </c>
      <c r="B264" s="24">
        <f t="shared" ref="B264:K264" si="232">B237-B263</f>
        <v>6</v>
      </c>
      <c r="C264" s="30">
        <f t="shared" si="232"/>
        <v>2</v>
      </c>
      <c r="D264" s="25">
        <f t="shared" si="232"/>
        <v>3</v>
      </c>
      <c r="E264" s="26">
        <f t="shared" si="232"/>
        <v>6</v>
      </c>
      <c r="F264" s="71">
        <f t="shared" si="232"/>
        <v>17</v>
      </c>
      <c r="G264" s="24">
        <f t="shared" si="232"/>
        <v>2</v>
      </c>
      <c r="H264" s="30">
        <f t="shared" si="232"/>
        <v>6</v>
      </c>
      <c r="I264" s="25">
        <f t="shared" si="232"/>
        <v>4</v>
      </c>
      <c r="J264" s="26">
        <f t="shared" si="232"/>
        <v>3</v>
      </c>
      <c r="K264" s="82">
        <f t="shared" si="232"/>
        <v>15</v>
      </c>
      <c r="L264" s="86">
        <f t="shared" si="226"/>
        <v>32</v>
      </c>
      <c r="N264" s="13" t="s">
        <v>9</v>
      </c>
      <c r="O264" s="24">
        <f t="shared" ref="O264:X264" si="233">O237-O263</f>
        <v>75</v>
      </c>
      <c r="P264" s="30">
        <f t="shared" si="233"/>
        <v>89</v>
      </c>
      <c r="Q264" s="25">
        <f t="shared" si="233"/>
        <v>111</v>
      </c>
      <c r="R264" s="26">
        <f t="shared" si="233"/>
        <v>62</v>
      </c>
      <c r="S264" s="71">
        <f t="shared" si="233"/>
        <v>337</v>
      </c>
      <c r="T264" s="24">
        <f t="shared" si="233"/>
        <v>88</v>
      </c>
      <c r="U264" s="30">
        <f t="shared" si="233"/>
        <v>74</v>
      </c>
      <c r="V264" s="25">
        <f t="shared" si="233"/>
        <v>127</v>
      </c>
      <c r="W264" s="26">
        <f t="shared" si="233"/>
        <v>56</v>
      </c>
      <c r="X264" s="33">
        <f t="shared" si="233"/>
        <v>345</v>
      </c>
      <c r="Y264" s="86">
        <f t="shared" si="222"/>
        <v>682</v>
      </c>
    </row>
    <row r="267" spans="1:26" ht="19.5" thickBot="1" x14ac:dyDescent="0.25">
      <c r="A267" s="2" t="s">
        <v>15</v>
      </c>
      <c r="B267" s="2"/>
      <c r="C267" s="1"/>
      <c r="D267" s="1"/>
      <c r="E267" s="1"/>
      <c r="G267" s="72"/>
      <c r="H267" s="1"/>
      <c r="I267" s="1"/>
      <c r="J267" s="1"/>
      <c r="K267" s="72" t="s">
        <v>12</v>
      </c>
      <c r="N267" s="2" t="s">
        <v>16</v>
      </c>
      <c r="O267" s="2"/>
      <c r="P267" s="1"/>
      <c r="Q267" s="1"/>
      <c r="R267" s="1"/>
      <c r="T267" s="72" t="s">
        <v>257</v>
      </c>
      <c r="U267" s="1"/>
      <c r="V267" s="1"/>
      <c r="W267" s="1"/>
      <c r="X267" s="72"/>
    </row>
    <row r="268" spans="1:26" ht="14.25" thickBot="1" x14ac:dyDescent="0.2">
      <c r="A268" s="5" t="s">
        <v>0</v>
      </c>
      <c r="B268" s="245" t="s">
        <v>34</v>
      </c>
      <c r="C268" s="246"/>
      <c r="D268" s="246"/>
      <c r="E268" s="246"/>
      <c r="F268" s="247"/>
      <c r="G268" s="248" t="s">
        <v>35</v>
      </c>
      <c r="H268" s="249"/>
      <c r="I268" s="249"/>
      <c r="J268" s="249"/>
      <c r="K268" s="249"/>
      <c r="L268" s="243" t="s">
        <v>14</v>
      </c>
      <c r="N268" s="5" t="s">
        <v>0</v>
      </c>
      <c r="O268" s="245" t="s">
        <v>58</v>
      </c>
      <c r="P268" s="246"/>
      <c r="Q268" s="246"/>
      <c r="R268" s="246"/>
      <c r="S268" s="247"/>
      <c r="T268" s="248" t="s">
        <v>59</v>
      </c>
      <c r="U268" s="249"/>
      <c r="V268" s="249"/>
      <c r="W268" s="249"/>
      <c r="X268" s="249"/>
      <c r="Y268" s="243" t="s">
        <v>14</v>
      </c>
    </row>
    <row r="269" spans="1:26" ht="14.25" thickBot="1" x14ac:dyDescent="0.2">
      <c r="A269" s="5" t="s">
        <v>1</v>
      </c>
      <c r="B269" s="3" t="s">
        <v>17</v>
      </c>
      <c r="C269" s="27" t="s">
        <v>18</v>
      </c>
      <c r="D269" s="4" t="s">
        <v>19</v>
      </c>
      <c r="E269" s="14" t="s">
        <v>20</v>
      </c>
      <c r="F269" s="18" t="s">
        <v>2</v>
      </c>
      <c r="G269" s="3" t="s">
        <v>17</v>
      </c>
      <c r="H269" s="27" t="s">
        <v>18</v>
      </c>
      <c r="I269" s="4" t="s">
        <v>19</v>
      </c>
      <c r="J269" s="14" t="s">
        <v>20</v>
      </c>
      <c r="K269" s="73" t="s">
        <v>2</v>
      </c>
      <c r="L269" s="244"/>
      <c r="N269" s="5" t="s">
        <v>1</v>
      </c>
      <c r="O269" s="3" t="s">
        <v>17</v>
      </c>
      <c r="P269" s="27" t="s">
        <v>18</v>
      </c>
      <c r="Q269" s="4" t="s">
        <v>19</v>
      </c>
      <c r="R269" s="14" t="s">
        <v>20</v>
      </c>
      <c r="S269" s="18" t="s">
        <v>2</v>
      </c>
      <c r="T269" s="3" t="s">
        <v>17</v>
      </c>
      <c r="U269" s="27" t="s">
        <v>18</v>
      </c>
      <c r="V269" s="4" t="s">
        <v>19</v>
      </c>
      <c r="W269" s="14" t="s">
        <v>20</v>
      </c>
      <c r="X269" s="18" t="s">
        <v>2</v>
      </c>
      <c r="Y269" s="244"/>
    </row>
    <row r="270" spans="1:26" x14ac:dyDescent="0.15">
      <c r="A270" s="66" t="s">
        <v>10</v>
      </c>
      <c r="B270" s="67">
        <f>B264</f>
        <v>6</v>
      </c>
      <c r="C270" s="68">
        <f>C264</f>
        <v>2</v>
      </c>
      <c r="D270" s="68">
        <f>D264</f>
        <v>3</v>
      </c>
      <c r="E270" s="69">
        <f>E264</f>
        <v>6</v>
      </c>
      <c r="F270" s="70">
        <f>SUM(B270:E270)</f>
        <v>17</v>
      </c>
      <c r="G270" s="67">
        <f>G264</f>
        <v>2</v>
      </c>
      <c r="H270" s="68">
        <f>H264</f>
        <v>6</v>
      </c>
      <c r="I270" s="68">
        <f>I264</f>
        <v>4</v>
      </c>
      <c r="J270" s="69">
        <f>J264</f>
        <v>3</v>
      </c>
      <c r="K270" s="74">
        <f>SUM(G270:J270)</f>
        <v>15</v>
      </c>
      <c r="L270" s="84">
        <f>F270+K270</f>
        <v>32</v>
      </c>
      <c r="N270" s="66" t="s">
        <v>10</v>
      </c>
      <c r="O270" s="67">
        <f>O264</f>
        <v>75</v>
      </c>
      <c r="P270" s="68">
        <f>P264</f>
        <v>89</v>
      </c>
      <c r="Q270" s="68">
        <f>Q264</f>
        <v>111</v>
      </c>
      <c r="R270" s="69">
        <f>R264</f>
        <v>62</v>
      </c>
      <c r="S270" s="70">
        <f>SUM(O270:R270)</f>
        <v>337</v>
      </c>
      <c r="T270" s="67">
        <f>T264</f>
        <v>88</v>
      </c>
      <c r="U270" s="68">
        <f>U264</f>
        <v>74</v>
      </c>
      <c r="V270" s="68">
        <f>V264</f>
        <v>127</v>
      </c>
      <c r="W270" s="87">
        <f>W264</f>
        <v>56</v>
      </c>
      <c r="X270" s="88">
        <f>SUM(T270:W270)</f>
        <v>345</v>
      </c>
      <c r="Y270" s="84">
        <f>S270+X270</f>
        <v>682</v>
      </c>
    </row>
    <row r="271" spans="1:26" x14ac:dyDescent="0.15">
      <c r="A271" s="44" t="s">
        <v>3</v>
      </c>
      <c r="B271" s="47"/>
      <c r="C271" s="48">
        <v>3</v>
      </c>
      <c r="D271" s="49">
        <v>3</v>
      </c>
      <c r="E271" s="50"/>
      <c r="F271" s="54">
        <f>SUM(B271:E271)</f>
        <v>6</v>
      </c>
      <c r="G271" s="38">
        <v>3</v>
      </c>
      <c r="H271" s="39"/>
      <c r="I271" s="40">
        <v>3</v>
      </c>
      <c r="J271" s="41">
        <v>3</v>
      </c>
      <c r="K271" s="75">
        <f>SUM(G271:J271)</f>
        <v>9</v>
      </c>
      <c r="L271" s="94">
        <f t="shared" ref="L271:L274" si="234">F271+K271</f>
        <v>15</v>
      </c>
      <c r="M271" s="104">
        <v>45911</v>
      </c>
      <c r="N271" s="11" t="s">
        <v>3</v>
      </c>
      <c r="O271" s="38"/>
      <c r="P271" s="39"/>
      <c r="Q271" s="40"/>
      <c r="R271" s="52"/>
      <c r="S271" s="9">
        <f t="shared" ref="S271" si="235">SUM(O271:R271)</f>
        <v>0</v>
      </c>
      <c r="T271" s="15"/>
      <c r="U271" s="28"/>
      <c r="V271" s="16"/>
      <c r="W271" s="31"/>
      <c r="X271" s="9">
        <f t="shared" ref="X271" si="236">SUM(T271:W271)</f>
        <v>0</v>
      </c>
      <c r="Y271" s="94">
        <f t="shared" ref="Y271" si="237">S271+X271</f>
        <v>0</v>
      </c>
    </row>
    <row r="272" spans="1:26" x14ac:dyDescent="0.15">
      <c r="A272" s="44" t="s">
        <v>222</v>
      </c>
      <c r="B272" s="47"/>
      <c r="C272" s="48"/>
      <c r="D272" s="49"/>
      <c r="E272" s="50">
        <v>1</v>
      </c>
      <c r="F272" s="54">
        <f t="shared" ref="F272:F273" si="238">SUM(B272:E272)</f>
        <v>1</v>
      </c>
      <c r="G272" s="38"/>
      <c r="H272" s="39"/>
      <c r="I272" s="40"/>
      <c r="J272" s="41"/>
      <c r="K272" s="75">
        <f t="shared" ref="K272:K273" si="239">SUM(G272:J272)</f>
        <v>0</v>
      </c>
      <c r="L272" s="94">
        <f t="shared" si="234"/>
        <v>1</v>
      </c>
      <c r="M272" s="105">
        <v>45909</v>
      </c>
      <c r="N272" s="11" t="s">
        <v>228</v>
      </c>
      <c r="O272" s="38">
        <v>1</v>
      </c>
      <c r="P272" s="39"/>
      <c r="Q272" s="40"/>
      <c r="R272" s="52"/>
      <c r="S272" s="9">
        <f t="shared" ref="S272" si="240">SUM(O272:R272)</f>
        <v>1</v>
      </c>
      <c r="T272" s="15"/>
      <c r="U272" s="28"/>
      <c r="V272" s="16"/>
      <c r="W272" s="31"/>
      <c r="X272" s="9">
        <f t="shared" ref="X272" si="241">SUM(T272:W272)</f>
        <v>0</v>
      </c>
      <c r="Y272" s="94">
        <f t="shared" ref="Y272:Y273" si="242">S272+X272</f>
        <v>1</v>
      </c>
      <c r="Z272" s="104">
        <v>45947</v>
      </c>
    </row>
    <row r="273" spans="1:27" x14ac:dyDescent="0.15">
      <c r="A273" s="44" t="s">
        <v>119</v>
      </c>
      <c r="B273" s="47"/>
      <c r="C273" s="48"/>
      <c r="D273" s="49"/>
      <c r="E273" s="50"/>
      <c r="F273" s="54">
        <f t="shared" si="238"/>
        <v>0</v>
      </c>
      <c r="G273" s="38"/>
      <c r="H273" s="39"/>
      <c r="I273" s="40"/>
      <c r="J273" s="41">
        <v>2</v>
      </c>
      <c r="K273" s="75">
        <f t="shared" si="239"/>
        <v>2</v>
      </c>
      <c r="L273" s="94">
        <f t="shared" si="234"/>
        <v>2</v>
      </c>
      <c r="M273" s="105">
        <v>45918</v>
      </c>
      <c r="N273" s="11" t="s">
        <v>49</v>
      </c>
      <c r="O273" s="15">
        <v>23</v>
      </c>
      <c r="P273" s="28">
        <v>19</v>
      </c>
      <c r="Q273" s="16">
        <v>22</v>
      </c>
      <c r="R273" s="31">
        <v>24</v>
      </c>
      <c r="S273" s="9">
        <f>SUM(O273:R273)</f>
        <v>88</v>
      </c>
      <c r="T273" s="15">
        <v>15</v>
      </c>
      <c r="U273" s="28">
        <v>24</v>
      </c>
      <c r="V273" s="16">
        <v>16</v>
      </c>
      <c r="W273" s="31">
        <v>22</v>
      </c>
      <c r="X273" s="9">
        <f>SUM(T273:W273)</f>
        <v>77</v>
      </c>
      <c r="Y273" s="126">
        <f t="shared" si="242"/>
        <v>165</v>
      </c>
      <c r="Z273" s="104">
        <v>45947</v>
      </c>
      <c r="AA273" s="109"/>
    </row>
    <row r="274" spans="1:27" ht="14.25" thickBot="1" x14ac:dyDescent="0.2">
      <c r="A274" s="168" t="s">
        <v>6</v>
      </c>
      <c r="B274" s="169"/>
      <c r="C274" s="170">
        <v>3</v>
      </c>
      <c r="D274" s="171"/>
      <c r="E274" s="172"/>
      <c r="F274" s="173">
        <f>SUM(B274:E274)</f>
        <v>3</v>
      </c>
      <c r="G274" s="174"/>
      <c r="H274" s="175"/>
      <c r="I274" s="176"/>
      <c r="J274" s="177">
        <v>5</v>
      </c>
      <c r="K274" s="178">
        <f>SUM(G274:J274)</f>
        <v>5</v>
      </c>
      <c r="L274" s="179">
        <f t="shared" si="234"/>
        <v>8</v>
      </c>
      <c r="M274" s="180">
        <v>45932</v>
      </c>
      <c r="N274" s="11" t="s">
        <v>6</v>
      </c>
      <c r="O274" s="38"/>
      <c r="P274" s="39"/>
      <c r="Q274" s="40"/>
      <c r="R274" s="52"/>
      <c r="S274" s="45">
        <f>SUM(O274:R274)</f>
        <v>0</v>
      </c>
      <c r="T274" s="122"/>
      <c r="U274" s="123"/>
      <c r="V274" s="124"/>
      <c r="W274" s="125"/>
      <c r="X274" s="45">
        <f>SUM(T274:W274)</f>
        <v>0</v>
      </c>
      <c r="Y274" s="94">
        <f t="shared" ref="Y274" si="243">S274+X274</f>
        <v>0</v>
      </c>
    </row>
    <row r="275" spans="1:27" ht="14.25" thickBot="1" x14ac:dyDescent="0.2">
      <c r="A275" s="13" t="s">
        <v>7</v>
      </c>
      <c r="B275" s="55">
        <f t="shared" ref="B275:K275" si="244">SUM(B270:B274)</f>
        <v>6</v>
      </c>
      <c r="C275" s="56">
        <f t="shared" si="244"/>
        <v>8</v>
      </c>
      <c r="D275" s="57">
        <f t="shared" si="244"/>
        <v>6</v>
      </c>
      <c r="E275" s="58">
        <f t="shared" si="244"/>
        <v>7</v>
      </c>
      <c r="F275" s="59">
        <f t="shared" si="244"/>
        <v>27</v>
      </c>
      <c r="G275" s="24">
        <f t="shared" si="244"/>
        <v>5</v>
      </c>
      <c r="H275" s="30">
        <f t="shared" si="244"/>
        <v>6</v>
      </c>
      <c r="I275" s="25">
        <f t="shared" si="244"/>
        <v>7</v>
      </c>
      <c r="J275" s="60">
        <f t="shared" si="244"/>
        <v>13</v>
      </c>
      <c r="K275" s="78">
        <f t="shared" si="244"/>
        <v>31</v>
      </c>
      <c r="L275" s="85">
        <f>F275+K275</f>
        <v>58</v>
      </c>
      <c r="N275" s="13" t="s">
        <v>7</v>
      </c>
      <c r="O275" s="55">
        <f t="shared" ref="O275:X275" si="245">SUM(O270:O274)</f>
        <v>99</v>
      </c>
      <c r="P275" s="56">
        <f t="shared" si="245"/>
        <v>108</v>
      </c>
      <c r="Q275" s="57">
        <f t="shared" si="245"/>
        <v>133</v>
      </c>
      <c r="R275" s="58">
        <f t="shared" si="245"/>
        <v>86</v>
      </c>
      <c r="S275" s="59">
        <f t="shared" si="245"/>
        <v>426</v>
      </c>
      <c r="T275" s="24">
        <f t="shared" si="245"/>
        <v>103</v>
      </c>
      <c r="U275" s="30">
        <f t="shared" si="245"/>
        <v>98</v>
      </c>
      <c r="V275" s="25">
        <f t="shared" si="245"/>
        <v>143</v>
      </c>
      <c r="W275" s="60">
        <f t="shared" si="245"/>
        <v>78</v>
      </c>
      <c r="X275" s="61">
        <f t="shared" si="245"/>
        <v>422</v>
      </c>
      <c r="Y275" s="85">
        <f>S275+X275</f>
        <v>848</v>
      </c>
    </row>
    <row r="276" spans="1:27" x14ac:dyDescent="0.15">
      <c r="A276" s="44" t="s">
        <v>27</v>
      </c>
      <c r="B276" s="15"/>
      <c r="C276" s="28"/>
      <c r="D276" s="16"/>
      <c r="E276" s="19"/>
      <c r="F276" s="42">
        <f t="shared" ref="F276:F300" si="246">SUM(B276:E276)</f>
        <v>0</v>
      </c>
      <c r="G276" s="15"/>
      <c r="H276" s="28"/>
      <c r="I276" s="16">
        <v>1</v>
      </c>
      <c r="J276" s="31"/>
      <c r="K276" s="79">
        <f t="shared" ref="K276:K293" si="247">SUM(G276:J276)</f>
        <v>1</v>
      </c>
      <c r="L276" s="94">
        <f t="shared" ref="L276:L302" si="248">F276+K276</f>
        <v>1</v>
      </c>
      <c r="M276" s="105">
        <v>45910</v>
      </c>
      <c r="N276" s="121" t="s">
        <v>226</v>
      </c>
      <c r="O276" s="15"/>
      <c r="P276" s="28"/>
      <c r="Q276" s="16"/>
      <c r="R276" s="19"/>
      <c r="S276" s="42">
        <f t="shared" ref="S276:S297" si="249">SUM(O276:R276)</f>
        <v>0</v>
      </c>
      <c r="T276" s="15"/>
      <c r="U276" s="28"/>
      <c r="V276" s="16"/>
      <c r="W276" s="31">
        <v>3</v>
      </c>
      <c r="X276" s="9">
        <f t="shared" ref="X276:X281" si="250">SUM(T276:W276)</f>
        <v>3</v>
      </c>
      <c r="Y276" s="94">
        <f>S276+X276</f>
        <v>3</v>
      </c>
      <c r="Z276" s="104">
        <v>45930</v>
      </c>
    </row>
    <row r="277" spans="1:27" x14ac:dyDescent="0.15">
      <c r="A277" s="44" t="s">
        <v>27</v>
      </c>
      <c r="B277" s="15"/>
      <c r="C277" s="28"/>
      <c r="D277" s="16"/>
      <c r="E277" s="19"/>
      <c r="F277" s="42">
        <f t="shared" si="246"/>
        <v>0</v>
      </c>
      <c r="G277" s="15">
        <v>1</v>
      </c>
      <c r="H277" s="28"/>
      <c r="I277" s="16"/>
      <c r="J277" s="31"/>
      <c r="K277" s="79">
        <f t="shared" si="247"/>
        <v>1</v>
      </c>
      <c r="L277" s="94">
        <f t="shared" si="248"/>
        <v>1</v>
      </c>
      <c r="M277" s="105">
        <v>45911</v>
      </c>
      <c r="N277" s="121" t="s">
        <v>230</v>
      </c>
      <c r="O277" s="15"/>
      <c r="P277" s="28"/>
      <c r="Q277" s="16">
        <v>3</v>
      </c>
      <c r="R277" s="19"/>
      <c r="S277" s="42">
        <f t="shared" si="249"/>
        <v>3</v>
      </c>
      <c r="T277" s="15"/>
      <c r="U277" s="28"/>
      <c r="V277" s="16"/>
      <c r="W277" s="31"/>
      <c r="X277" s="9">
        <f t="shared" si="250"/>
        <v>0</v>
      </c>
      <c r="Y277" s="94">
        <f>S277+X277</f>
        <v>3</v>
      </c>
      <c r="Z277" s="104">
        <v>45932</v>
      </c>
    </row>
    <row r="278" spans="1:27" x14ac:dyDescent="0.15">
      <c r="A278" s="44" t="s">
        <v>27</v>
      </c>
      <c r="B278" s="15"/>
      <c r="C278" s="28"/>
      <c r="D278" s="16"/>
      <c r="E278" s="19"/>
      <c r="F278" s="42">
        <f t="shared" si="246"/>
        <v>0</v>
      </c>
      <c r="G278" s="15"/>
      <c r="H278" s="28"/>
      <c r="I278" s="16"/>
      <c r="J278" s="31">
        <v>1</v>
      </c>
      <c r="K278" s="79">
        <f t="shared" si="247"/>
        <v>1</v>
      </c>
      <c r="L278" s="94">
        <f t="shared" si="248"/>
        <v>1</v>
      </c>
      <c r="M278" s="105">
        <v>45912</v>
      </c>
      <c r="N278" s="121" t="s">
        <v>232</v>
      </c>
      <c r="O278" s="15"/>
      <c r="P278" s="28"/>
      <c r="Q278" s="16"/>
      <c r="R278" s="19"/>
      <c r="S278" s="42">
        <f t="shared" si="249"/>
        <v>0</v>
      </c>
      <c r="T278" s="15"/>
      <c r="U278" s="28"/>
      <c r="V278" s="16"/>
      <c r="W278" s="31">
        <v>3</v>
      </c>
      <c r="X278" s="9">
        <f t="shared" si="250"/>
        <v>3</v>
      </c>
      <c r="Y278" s="94">
        <f>S278+X278</f>
        <v>3</v>
      </c>
      <c r="Z278" s="104">
        <v>45937</v>
      </c>
    </row>
    <row r="279" spans="1:27" x14ac:dyDescent="0.15">
      <c r="A279" s="44" t="s">
        <v>27</v>
      </c>
      <c r="B279" s="15"/>
      <c r="C279" s="28"/>
      <c r="D279" s="16">
        <v>1</v>
      </c>
      <c r="E279" s="19"/>
      <c r="F279" s="42">
        <f t="shared" si="246"/>
        <v>1</v>
      </c>
      <c r="G279" s="15"/>
      <c r="H279" s="28"/>
      <c r="I279" s="16"/>
      <c r="J279" s="31">
        <v>1</v>
      </c>
      <c r="K279" s="79">
        <f t="shared" si="247"/>
        <v>1</v>
      </c>
      <c r="L279" s="94">
        <f t="shared" si="248"/>
        <v>2</v>
      </c>
      <c r="M279" s="105">
        <v>45916</v>
      </c>
      <c r="N279" s="44" t="s">
        <v>229</v>
      </c>
      <c r="O279" s="15"/>
      <c r="P279" s="28">
        <v>3</v>
      </c>
      <c r="Q279" s="16"/>
      <c r="R279" s="19"/>
      <c r="S279" s="42">
        <f t="shared" si="249"/>
        <v>3</v>
      </c>
      <c r="T279" s="15"/>
      <c r="U279" s="28"/>
      <c r="V279" s="16"/>
      <c r="W279" s="31">
        <v>5</v>
      </c>
      <c r="X279" s="9">
        <f t="shared" si="250"/>
        <v>5</v>
      </c>
      <c r="Y279" s="94">
        <f t="shared" ref="Y279:Y302" si="251">S279+X279</f>
        <v>8</v>
      </c>
      <c r="Z279" s="104">
        <v>45932</v>
      </c>
    </row>
    <row r="280" spans="1:27" x14ac:dyDescent="0.15">
      <c r="A280" s="44" t="s">
        <v>27</v>
      </c>
      <c r="B280" s="15"/>
      <c r="C280" s="28">
        <v>1</v>
      </c>
      <c r="D280" s="16"/>
      <c r="E280" s="19"/>
      <c r="F280" s="42">
        <f t="shared" si="246"/>
        <v>1</v>
      </c>
      <c r="G280" s="15"/>
      <c r="H280" s="28"/>
      <c r="I280" s="16"/>
      <c r="J280" s="31"/>
      <c r="K280" s="79">
        <f t="shared" si="247"/>
        <v>0</v>
      </c>
      <c r="L280" s="94">
        <f t="shared" si="248"/>
        <v>1</v>
      </c>
      <c r="M280" s="105">
        <v>45919</v>
      </c>
      <c r="N280" s="121" t="s">
        <v>233</v>
      </c>
      <c r="O280" s="15"/>
      <c r="P280" s="28"/>
      <c r="Q280" s="16"/>
      <c r="R280" s="19"/>
      <c r="S280" s="42">
        <f t="shared" si="249"/>
        <v>0</v>
      </c>
      <c r="T280" s="15"/>
      <c r="U280" s="28">
        <v>8</v>
      </c>
      <c r="V280" s="16"/>
      <c r="W280" s="31"/>
      <c r="X280" s="9">
        <f t="shared" si="250"/>
        <v>8</v>
      </c>
      <c r="Y280" s="94">
        <f t="shared" si="251"/>
        <v>8</v>
      </c>
      <c r="Z280" s="104">
        <v>45937</v>
      </c>
      <c r="AA280" s="109"/>
    </row>
    <row r="281" spans="1:27" x14ac:dyDescent="0.15">
      <c r="A281" s="44" t="s">
        <v>27</v>
      </c>
      <c r="B281" s="15"/>
      <c r="C281" s="28"/>
      <c r="D281" s="16"/>
      <c r="E281" s="19"/>
      <c r="F281" s="42">
        <f t="shared" si="246"/>
        <v>0</v>
      </c>
      <c r="G281" s="15"/>
      <c r="H281" s="28"/>
      <c r="I281" s="16">
        <v>1</v>
      </c>
      <c r="J281" s="31">
        <f>1+1</f>
        <v>2</v>
      </c>
      <c r="K281" s="79">
        <f t="shared" si="247"/>
        <v>3</v>
      </c>
      <c r="L281" s="94">
        <f t="shared" si="248"/>
        <v>3</v>
      </c>
      <c r="M281" s="105">
        <v>45922</v>
      </c>
      <c r="N281" s="44" t="s">
        <v>238</v>
      </c>
      <c r="O281" s="15"/>
      <c r="P281" s="28"/>
      <c r="Q281" s="16"/>
      <c r="R281" s="19"/>
      <c r="S281" s="42">
        <f t="shared" si="249"/>
        <v>0</v>
      </c>
      <c r="T281" s="15"/>
      <c r="U281" s="28"/>
      <c r="V281" s="16">
        <v>3</v>
      </c>
      <c r="W281" s="31"/>
      <c r="X281" s="9">
        <f t="shared" si="250"/>
        <v>3</v>
      </c>
      <c r="Y281" s="94">
        <f t="shared" si="251"/>
        <v>3</v>
      </c>
      <c r="Z281" s="104">
        <v>45938</v>
      </c>
      <c r="AA281" s="109"/>
    </row>
    <row r="282" spans="1:27" x14ac:dyDescent="0.15">
      <c r="A282" s="44" t="s">
        <v>27</v>
      </c>
      <c r="B282" s="15"/>
      <c r="C282" s="28"/>
      <c r="D282" s="16"/>
      <c r="E282" s="19"/>
      <c r="F282" s="42">
        <f t="shared" si="246"/>
        <v>0</v>
      </c>
      <c r="G282" s="15"/>
      <c r="H282" s="28"/>
      <c r="I282" s="16"/>
      <c r="J282" s="31">
        <f>1+1</f>
        <v>2</v>
      </c>
      <c r="K282" s="79">
        <f t="shared" si="247"/>
        <v>2</v>
      </c>
      <c r="L282" s="94">
        <f t="shared" si="248"/>
        <v>2</v>
      </c>
      <c r="M282" s="105">
        <v>45924</v>
      </c>
      <c r="N282" s="193" t="s">
        <v>26</v>
      </c>
      <c r="O282" s="194"/>
      <c r="P282" s="195"/>
      <c r="Q282" s="196"/>
      <c r="R282" s="197"/>
      <c r="S282" s="198">
        <f t="shared" si="249"/>
        <v>0</v>
      </c>
      <c r="T282" s="194">
        <v>3</v>
      </c>
      <c r="U282" s="195"/>
      <c r="V282" s="196"/>
      <c r="W282" s="201">
        <v>3</v>
      </c>
      <c r="X282" s="202">
        <f>SUM(T282:W282)</f>
        <v>6</v>
      </c>
      <c r="Y282" s="179">
        <f t="shared" si="251"/>
        <v>6</v>
      </c>
      <c r="Z282" s="180">
        <v>45939</v>
      </c>
    </row>
    <row r="283" spans="1:27" x14ac:dyDescent="0.15">
      <c r="A283" s="44" t="s">
        <v>224</v>
      </c>
      <c r="B283" s="15">
        <v>1</v>
      </c>
      <c r="C283" s="28"/>
      <c r="D283" s="16"/>
      <c r="E283" s="19"/>
      <c r="F283" s="42">
        <f t="shared" si="246"/>
        <v>1</v>
      </c>
      <c r="G283" s="15"/>
      <c r="H283" s="28"/>
      <c r="I283" s="16"/>
      <c r="J283" s="31"/>
      <c r="K283" s="79">
        <f t="shared" si="247"/>
        <v>0</v>
      </c>
      <c r="L283" s="94">
        <f t="shared" si="248"/>
        <v>1</v>
      </c>
      <c r="M283" s="104">
        <v>45926</v>
      </c>
      <c r="N283" s="121" t="s">
        <v>244</v>
      </c>
      <c r="O283" s="15"/>
      <c r="P283" s="28"/>
      <c r="Q283" s="16"/>
      <c r="R283" s="19"/>
      <c r="S283" s="42">
        <f t="shared" si="249"/>
        <v>0</v>
      </c>
      <c r="T283" s="15">
        <v>2</v>
      </c>
      <c r="U283" s="28"/>
      <c r="V283" s="16"/>
      <c r="W283" s="31"/>
      <c r="X283" s="9">
        <f t="shared" ref="X283:X287" si="252">SUM(T283:W283)</f>
        <v>2</v>
      </c>
      <c r="Y283" s="94">
        <f t="shared" si="251"/>
        <v>2</v>
      </c>
      <c r="Z283" s="104">
        <v>45944</v>
      </c>
    </row>
    <row r="284" spans="1:27" x14ac:dyDescent="0.15">
      <c r="A284" s="44" t="s">
        <v>27</v>
      </c>
      <c r="B284" s="15"/>
      <c r="C284" s="28"/>
      <c r="D284" s="16"/>
      <c r="E284" s="19"/>
      <c r="F284" s="42">
        <f t="shared" si="246"/>
        <v>0</v>
      </c>
      <c r="G284" s="15"/>
      <c r="H284" s="28"/>
      <c r="I284" s="16">
        <v>1</v>
      </c>
      <c r="J284" s="31"/>
      <c r="K284" s="79">
        <f t="shared" si="247"/>
        <v>1</v>
      </c>
      <c r="L284" s="94">
        <f t="shared" si="248"/>
        <v>1</v>
      </c>
      <c r="M284" s="105">
        <v>45925</v>
      </c>
      <c r="N284" s="135" t="s">
        <v>243</v>
      </c>
      <c r="O284" s="15">
        <v>1</v>
      </c>
      <c r="P284" s="28">
        <v>2</v>
      </c>
      <c r="Q284" s="16">
        <v>3</v>
      </c>
      <c r="R284" s="19">
        <v>2</v>
      </c>
      <c r="S284" s="42">
        <f t="shared" si="249"/>
        <v>8</v>
      </c>
      <c r="T284" s="15"/>
      <c r="U284" s="28">
        <v>1</v>
      </c>
      <c r="V284" s="16">
        <v>1</v>
      </c>
      <c r="W284" s="31">
        <v>2</v>
      </c>
      <c r="X284" s="9">
        <f t="shared" si="252"/>
        <v>4</v>
      </c>
      <c r="Y284" s="94">
        <f t="shared" si="251"/>
        <v>12</v>
      </c>
      <c r="Z284" s="104">
        <v>45944</v>
      </c>
    </row>
    <row r="285" spans="1:27" x14ac:dyDescent="0.15">
      <c r="A285" s="44" t="s">
        <v>225</v>
      </c>
      <c r="B285" s="15"/>
      <c r="C285" s="28">
        <v>1</v>
      </c>
      <c r="D285" s="16"/>
      <c r="E285" s="19"/>
      <c r="F285" s="42">
        <f t="shared" si="246"/>
        <v>1</v>
      </c>
      <c r="G285" s="15"/>
      <c r="H285" s="28">
        <v>-1</v>
      </c>
      <c r="I285" s="16"/>
      <c r="J285" s="31"/>
      <c r="K285" s="79">
        <f t="shared" si="247"/>
        <v>-1</v>
      </c>
      <c r="L285" s="94">
        <f t="shared" si="248"/>
        <v>0</v>
      </c>
      <c r="M285" s="105">
        <v>45924</v>
      </c>
      <c r="N285" s="32"/>
      <c r="O285" s="15"/>
      <c r="P285" s="28"/>
      <c r="Q285" s="16"/>
      <c r="R285" s="19"/>
      <c r="S285" s="42">
        <f t="shared" si="249"/>
        <v>0</v>
      </c>
      <c r="T285" s="15"/>
      <c r="U285" s="28"/>
      <c r="V285" s="16"/>
      <c r="W285" s="31"/>
      <c r="X285" s="9">
        <f t="shared" si="252"/>
        <v>0</v>
      </c>
      <c r="Y285" s="94">
        <f t="shared" si="251"/>
        <v>0</v>
      </c>
    </row>
    <row r="286" spans="1:27" x14ac:dyDescent="0.15">
      <c r="A286" s="44" t="s">
        <v>27</v>
      </c>
      <c r="B286" s="15"/>
      <c r="C286" s="28"/>
      <c r="D286" s="16"/>
      <c r="E286" s="19"/>
      <c r="F286" s="42">
        <f t="shared" si="246"/>
        <v>0</v>
      </c>
      <c r="G286" s="15"/>
      <c r="H286" s="28">
        <v>1</v>
      </c>
      <c r="I286" s="16"/>
      <c r="J286" s="31"/>
      <c r="K286" s="79">
        <f t="shared" si="247"/>
        <v>1</v>
      </c>
      <c r="L286" s="94">
        <f t="shared" si="248"/>
        <v>1</v>
      </c>
      <c r="M286" s="104">
        <v>45926</v>
      </c>
      <c r="N286" s="44"/>
      <c r="O286" s="15"/>
      <c r="P286" s="28"/>
      <c r="Q286" s="16"/>
      <c r="R286" s="19"/>
      <c r="S286" s="42">
        <f t="shared" si="249"/>
        <v>0</v>
      </c>
      <c r="T286" s="15"/>
      <c r="U286" s="28"/>
      <c r="V286" s="16"/>
      <c r="W286" s="31"/>
      <c r="X286" s="9">
        <f t="shared" si="252"/>
        <v>0</v>
      </c>
      <c r="Y286" s="94">
        <f t="shared" si="251"/>
        <v>0</v>
      </c>
    </row>
    <row r="287" spans="1:27" x14ac:dyDescent="0.15">
      <c r="A287" s="44" t="s">
        <v>227</v>
      </c>
      <c r="B287" s="15"/>
      <c r="C287" s="28">
        <v>1</v>
      </c>
      <c r="D287" s="16"/>
      <c r="E287" s="19"/>
      <c r="F287" s="42">
        <f t="shared" si="246"/>
        <v>1</v>
      </c>
      <c r="G287" s="15"/>
      <c r="H287" s="28"/>
      <c r="I287" s="16"/>
      <c r="J287" s="31"/>
      <c r="K287" s="79">
        <f t="shared" si="247"/>
        <v>0</v>
      </c>
      <c r="L287" s="94">
        <f t="shared" si="248"/>
        <v>1</v>
      </c>
      <c r="M287" s="104">
        <v>45931</v>
      </c>
      <c r="N287" s="44"/>
      <c r="O287" s="15"/>
      <c r="P287" s="28"/>
      <c r="Q287" s="16"/>
      <c r="R287" s="19"/>
      <c r="S287" s="42">
        <f t="shared" si="249"/>
        <v>0</v>
      </c>
      <c r="T287" s="15"/>
      <c r="U287" s="28"/>
      <c r="V287" s="16"/>
      <c r="W287" s="31"/>
      <c r="X287" s="9">
        <f t="shared" si="252"/>
        <v>0</v>
      </c>
      <c r="Y287" s="94">
        <f t="shared" si="251"/>
        <v>0</v>
      </c>
    </row>
    <row r="288" spans="1:27" x14ac:dyDescent="0.15">
      <c r="A288" s="44" t="s">
        <v>27</v>
      </c>
      <c r="B288" s="15"/>
      <c r="C288" s="28"/>
      <c r="D288" s="16"/>
      <c r="E288" s="19"/>
      <c r="F288" s="42">
        <f t="shared" si="246"/>
        <v>0</v>
      </c>
      <c r="G288" s="15"/>
      <c r="H288" s="28">
        <v>1</v>
      </c>
      <c r="I288" s="16">
        <v>1</v>
      </c>
      <c r="J288" s="31"/>
      <c r="K288" s="79">
        <f t="shared" si="247"/>
        <v>2</v>
      </c>
      <c r="L288" s="94">
        <f t="shared" si="248"/>
        <v>2</v>
      </c>
      <c r="M288" s="104">
        <v>45929</v>
      </c>
      <c r="N288" s="44"/>
      <c r="O288" s="15"/>
      <c r="P288" s="28"/>
      <c r="Q288" s="16"/>
      <c r="R288" s="19"/>
      <c r="S288" s="42">
        <f t="shared" si="249"/>
        <v>0</v>
      </c>
      <c r="T288" s="15"/>
      <c r="U288" s="28"/>
      <c r="V288" s="16"/>
      <c r="W288" s="31"/>
      <c r="X288" s="9">
        <f>SUM(T288:W288)</f>
        <v>0</v>
      </c>
      <c r="Y288" s="94">
        <f t="shared" si="251"/>
        <v>0</v>
      </c>
    </row>
    <row r="289" spans="1:25" x14ac:dyDescent="0.15">
      <c r="A289" s="44" t="s">
        <v>27</v>
      </c>
      <c r="B289" s="15"/>
      <c r="C289" s="28"/>
      <c r="D289" s="16"/>
      <c r="E289" s="19"/>
      <c r="F289" s="42">
        <f t="shared" si="246"/>
        <v>0</v>
      </c>
      <c r="G289" s="15"/>
      <c r="H289" s="28"/>
      <c r="I289" s="16"/>
      <c r="J289" s="31">
        <v>2</v>
      </c>
      <c r="K289" s="79">
        <f t="shared" si="247"/>
        <v>2</v>
      </c>
      <c r="L289" s="94">
        <f t="shared" si="248"/>
        <v>2</v>
      </c>
      <c r="M289" s="105">
        <v>45930</v>
      </c>
      <c r="N289" s="44"/>
      <c r="O289" s="15"/>
      <c r="P289" s="28"/>
      <c r="Q289" s="16"/>
      <c r="R289" s="19"/>
      <c r="S289" s="42">
        <f t="shared" si="249"/>
        <v>0</v>
      </c>
      <c r="T289" s="15"/>
      <c r="U289" s="28"/>
      <c r="V289" s="16"/>
      <c r="W289" s="31"/>
      <c r="X289" s="9">
        <f>SUM(T289:W289)</f>
        <v>0</v>
      </c>
      <c r="Y289" s="94">
        <f t="shared" si="251"/>
        <v>0</v>
      </c>
    </row>
    <row r="290" spans="1:25" x14ac:dyDescent="0.15">
      <c r="A290" s="44" t="s">
        <v>231</v>
      </c>
      <c r="B290" s="15">
        <v>1</v>
      </c>
      <c r="C290" s="28"/>
      <c r="D290" s="16"/>
      <c r="E290" s="19"/>
      <c r="F290" s="42">
        <f t="shared" si="246"/>
        <v>1</v>
      </c>
      <c r="G290" s="15">
        <v>1</v>
      </c>
      <c r="H290" s="28"/>
      <c r="I290" s="16"/>
      <c r="J290" s="31"/>
      <c r="K290" s="79">
        <f t="shared" si="247"/>
        <v>1</v>
      </c>
      <c r="L290" s="94">
        <f t="shared" si="248"/>
        <v>2</v>
      </c>
      <c r="M290" s="105">
        <v>45933</v>
      </c>
      <c r="N290" s="32"/>
      <c r="O290" s="15"/>
      <c r="P290" s="28"/>
      <c r="Q290" s="16"/>
      <c r="R290" s="19"/>
      <c r="S290" s="42">
        <f t="shared" si="249"/>
        <v>0</v>
      </c>
      <c r="T290" s="15"/>
      <c r="U290" s="28"/>
      <c r="V290" s="16"/>
      <c r="W290" s="31"/>
      <c r="X290" s="9">
        <f t="shared" ref="X290:X293" si="253">SUM(T290:W290)</f>
        <v>0</v>
      </c>
      <c r="Y290" s="94">
        <f t="shared" si="251"/>
        <v>0</v>
      </c>
    </row>
    <row r="291" spans="1:25" x14ac:dyDescent="0.15">
      <c r="A291" s="44" t="s">
        <v>27</v>
      </c>
      <c r="B291" s="15"/>
      <c r="C291" s="28"/>
      <c r="D291" s="16">
        <v>1</v>
      </c>
      <c r="E291" s="19"/>
      <c r="F291" s="42">
        <f t="shared" si="246"/>
        <v>1</v>
      </c>
      <c r="G291" s="15"/>
      <c r="H291" s="28"/>
      <c r="I291" s="16"/>
      <c r="J291" s="31"/>
      <c r="K291" s="79">
        <f t="shared" si="247"/>
        <v>0</v>
      </c>
      <c r="L291" s="94">
        <f t="shared" si="248"/>
        <v>1</v>
      </c>
      <c r="M291" s="105">
        <v>45932</v>
      </c>
      <c r="N291" s="44"/>
      <c r="O291" s="15"/>
      <c r="P291" s="28"/>
      <c r="Q291" s="16"/>
      <c r="R291" s="19"/>
      <c r="S291" s="42">
        <f t="shared" si="249"/>
        <v>0</v>
      </c>
      <c r="T291" s="15"/>
      <c r="U291" s="28"/>
      <c r="V291" s="16"/>
      <c r="W291" s="31"/>
      <c r="X291" s="9">
        <f t="shared" si="253"/>
        <v>0</v>
      </c>
      <c r="Y291" s="94">
        <f t="shared" si="251"/>
        <v>0</v>
      </c>
    </row>
    <row r="292" spans="1:25" x14ac:dyDescent="0.15">
      <c r="A292" s="44" t="s">
        <v>120</v>
      </c>
      <c r="B292" s="15">
        <v>-1</v>
      </c>
      <c r="C292" s="28"/>
      <c r="D292" s="16"/>
      <c r="E292" s="19"/>
      <c r="F292" s="42">
        <f t="shared" si="246"/>
        <v>-1</v>
      </c>
      <c r="G292" s="15"/>
      <c r="H292" s="28"/>
      <c r="I292" s="16">
        <v>1</v>
      </c>
      <c r="J292" s="31"/>
      <c r="K292" s="79">
        <f t="shared" si="247"/>
        <v>1</v>
      </c>
      <c r="L292" s="94">
        <f t="shared" si="248"/>
        <v>0</v>
      </c>
      <c r="M292" s="105">
        <v>45930</v>
      </c>
      <c r="N292" s="44"/>
      <c r="O292" s="15"/>
      <c r="P292" s="28"/>
      <c r="Q292" s="16"/>
      <c r="R292" s="19"/>
      <c r="S292" s="42">
        <f t="shared" si="249"/>
        <v>0</v>
      </c>
      <c r="T292" s="15"/>
      <c r="U292" s="28"/>
      <c r="V292" s="16"/>
      <c r="W292" s="31"/>
      <c r="X292" s="9">
        <f t="shared" si="253"/>
        <v>0</v>
      </c>
      <c r="Y292" s="94">
        <f t="shared" si="251"/>
        <v>0</v>
      </c>
    </row>
    <row r="293" spans="1:25" x14ac:dyDescent="0.15">
      <c r="A293" s="44" t="s">
        <v>27</v>
      </c>
      <c r="B293" s="15"/>
      <c r="C293" s="28"/>
      <c r="D293" s="16"/>
      <c r="E293" s="19"/>
      <c r="F293" s="42">
        <f t="shared" si="246"/>
        <v>0</v>
      </c>
      <c r="G293" s="15"/>
      <c r="H293" s="28"/>
      <c r="I293" s="16"/>
      <c r="J293" s="31">
        <v>1</v>
      </c>
      <c r="K293" s="79">
        <f t="shared" si="247"/>
        <v>1</v>
      </c>
      <c r="L293" s="94">
        <f t="shared" si="248"/>
        <v>1</v>
      </c>
      <c r="M293" s="105">
        <v>45933</v>
      </c>
      <c r="N293" s="44"/>
      <c r="O293" s="15"/>
      <c r="P293" s="28"/>
      <c r="Q293" s="16"/>
      <c r="R293" s="19"/>
      <c r="S293" s="42">
        <f t="shared" si="249"/>
        <v>0</v>
      </c>
      <c r="T293" s="38"/>
      <c r="U293" s="39"/>
      <c r="V293" s="40"/>
      <c r="W293" s="52"/>
      <c r="X293" s="54">
        <f t="shared" si="253"/>
        <v>0</v>
      </c>
      <c r="Y293" s="94">
        <f t="shared" si="251"/>
        <v>0</v>
      </c>
    </row>
    <row r="294" spans="1:25" x14ac:dyDescent="0.15">
      <c r="A294" s="44" t="s">
        <v>27</v>
      </c>
      <c r="B294" s="15"/>
      <c r="C294" s="28"/>
      <c r="D294" s="16"/>
      <c r="E294" s="19"/>
      <c r="F294" s="42">
        <f t="shared" si="246"/>
        <v>0</v>
      </c>
      <c r="G294" s="15"/>
      <c r="H294" s="28">
        <v>2</v>
      </c>
      <c r="I294" s="16"/>
      <c r="J294" s="31">
        <v>1</v>
      </c>
      <c r="K294" s="79">
        <f>SUM(G294:J294)</f>
        <v>3</v>
      </c>
      <c r="L294" s="94">
        <f t="shared" si="248"/>
        <v>3</v>
      </c>
      <c r="M294" s="105">
        <v>45936</v>
      </c>
      <c r="N294" s="44"/>
      <c r="O294" s="15"/>
      <c r="P294" s="28"/>
      <c r="Q294" s="16"/>
      <c r="R294" s="19"/>
      <c r="S294" s="42">
        <f t="shared" si="249"/>
        <v>0</v>
      </c>
      <c r="T294" s="15"/>
      <c r="U294" s="28"/>
      <c r="V294" s="16"/>
      <c r="W294" s="31"/>
      <c r="X294" s="9">
        <f>SUM(T294:W294)</f>
        <v>0</v>
      </c>
      <c r="Y294" s="94">
        <f t="shared" si="251"/>
        <v>0</v>
      </c>
    </row>
    <row r="295" spans="1:25" x14ac:dyDescent="0.15">
      <c r="A295" s="193" t="s">
        <v>237</v>
      </c>
      <c r="B295" s="194"/>
      <c r="C295" s="195"/>
      <c r="D295" s="196"/>
      <c r="E295" s="197"/>
      <c r="F295" s="198">
        <f t="shared" si="246"/>
        <v>0</v>
      </c>
      <c r="G295" s="194"/>
      <c r="H295" s="196"/>
      <c r="I295" s="195">
        <v>-3</v>
      </c>
      <c r="J295" s="199"/>
      <c r="K295" s="200">
        <f t="shared" ref="K295:K301" si="254">SUM(G295:J295)</f>
        <v>-3</v>
      </c>
      <c r="L295" s="179">
        <f t="shared" si="248"/>
        <v>-3</v>
      </c>
      <c r="M295" s="180">
        <v>45938</v>
      </c>
      <c r="N295" s="44"/>
      <c r="O295" s="15"/>
      <c r="P295" s="28"/>
      <c r="Q295" s="16"/>
      <c r="R295" s="19"/>
      <c r="S295" s="42">
        <f t="shared" si="249"/>
        <v>0</v>
      </c>
      <c r="T295" s="15"/>
      <c r="U295" s="28"/>
      <c r="V295" s="16"/>
      <c r="W295" s="31"/>
      <c r="X295" s="9">
        <f t="shared" ref="X295:X301" si="255">SUM(T295:W295)</f>
        <v>0</v>
      </c>
      <c r="Y295" s="94">
        <f t="shared" si="251"/>
        <v>0</v>
      </c>
    </row>
    <row r="296" spans="1:25" x14ac:dyDescent="0.15">
      <c r="A296" s="44" t="s">
        <v>239</v>
      </c>
      <c r="B296" s="15">
        <v>1</v>
      </c>
      <c r="C296" s="28"/>
      <c r="D296" s="16"/>
      <c r="E296" s="19"/>
      <c r="F296" s="42">
        <f t="shared" si="246"/>
        <v>1</v>
      </c>
      <c r="G296" s="15">
        <v>1</v>
      </c>
      <c r="H296" s="28"/>
      <c r="I296" s="16"/>
      <c r="J296" s="31"/>
      <c r="K296" s="79">
        <f t="shared" si="254"/>
        <v>1</v>
      </c>
      <c r="L296" s="94">
        <f t="shared" si="248"/>
        <v>2</v>
      </c>
      <c r="M296" s="105">
        <v>45938</v>
      </c>
      <c r="N296" s="44"/>
      <c r="O296" s="15"/>
      <c r="P296" s="28"/>
      <c r="Q296" s="16"/>
      <c r="R296" s="19"/>
      <c r="S296" s="42">
        <f t="shared" si="249"/>
        <v>0</v>
      </c>
      <c r="T296" s="15"/>
      <c r="U296" s="28"/>
      <c r="V296" s="16"/>
      <c r="W296" s="31"/>
      <c r="X296" s="9">
        <f t="shared" si="255"/>
        <v>0</v>
      </c>
      <c r="Y296" s="94">
        <f t="shared" si="251"/>
        <v>0</v>
      </c>
    </row>
    <row r="297" spans="1:25" x14ac:dyDescent="0.15">
      <c r="A297" s="44" t="s">
        <v>120</v>
      </c>
      <c r="B297" s="15"/>
      <c r="C297" s="28">
        <v>2</v>
      </c>
      <c r="D297" s="16"/>
      <c r="E297" s="19"/>
      <c r="F297" s="42">
        <f t="shared" si="246"/>
        <v>2</v>
      </c>
      <c r="G297" s="38"/>
      <c r="H297" s="39">
        <v>-1</v>
      </c>
      <c r="I297" s="40">
        <v>-1</v>
      </c>
      <c r="J297" s="52"/>
      <c r="K297" s="83">
        <f t="shared" si="254"/>
        <v>-2</v>
      </c>
      <c r="L297" s="94">
        <f t="shared" si="248"/>
        <v>0</v>
      </c>
      <c r="M297" s="105">
        <v>45937</v>
      </c>
      <c r="N297" s="44"/>
      <c r="O297" s="15"/>
      <c r="P297" s="28"/>
      <c r="Q297" s="16"/>
      <c r="R297" s="19"/>
      <c r="S297" s="42">
        <f t="shared" si="249"/>
        <v>0</v>
      </c>
      <c r="T297" s="15"/>
      <c r="U297" s="28"/>
      <c r="V297" s="16"/>
      <c r="W297" s="31"/>
      <c r="X297" s="9">
        <f t="shared" si="255"/>
        <v>0</v>
      </c>
      <c r="Y297" s="94">
        <f t="shared" si="251"/>
        <v>0</v>
      </c>
    </row>
    <row r="298" spans="1:25" x14ac:dyDescent="0.15">
      <c r="A298" s="44" t="s">
        <v>27</v>
      </c>
      <c r="B298" s="15"/>
      <c r="C298" s="28"/>
      <c r="D298" s="16"/>
      <c r="E298" s="19"/>
      <c r="F298" s="42">
        <f t="shared" si="246"/>
        <v>0</v>
      </c>
      <c r="G298" s="15"/>
      <c r="H298" s="28"/>
      <c r="I298" s="16"/>
      <c r="J298" s="31">
        <v>1</v>
      </c>
      <c r="K298" s="79">
        <f t="shared" si="254"/>
        <v>1</v>
      </c>
      <c r="L298" s="94">
        <f t="shared" si="248"/>
        <v>1</v>
      </c>
      <c r="M298" s="105">
        <v>45937</v>
      </c>
      <c r="N298" s="44"/>
      <c r="O298" s="15"/>
      <c r="P298" s="28"/>
      <c r="Q298" s="16"/>
      <c r="R298" s="19"/>
      <c r="S298" s="42">
        <f t="shared" ref="S298:S300" si="256">SUM(O298:R298)</f>
        <v>0</v>
      </c>
      <c r="T298" s="15"/>
      <c r="U298" s="28"/>
      <c r="V298" s="16"/>
      <c r="W298" s="31"/>
      <c r="X298" s="9">
        <f t="shared" ref="X298:X300" si="257">SUM(T298:W298)</f>
        <v>0</v>
      </c>
      <c r="Y298" s="94">
        <f t="shared" ref="Y298:Y300" si="258">S298+X298</f>
        <v>0</v>
      </c>
    </row>
    <row r="299" spans="1:25" x14ac:dyDescent="0.15">
      <c r="A299" s="193" t="s">
        <v>63</v>
      </c>
      <c r="B299" s="194"/>
      <c r="C299" s="195"/>
      <c r="D299" s="196"/>
      <c r="E299" s="197"/>
      <c r="F299" s="198">
        <f t="shared" si="246"/>
        <v>0</v>
      </c>
      <c r="G299" s="194">
        <v>-3</v>
      </c>
      <c r="H299" s="195"/>
      <c r="I299" s="196"/>
      <c r="J299" s="201">
        <v>-3</v>
      </c>
      <c r="K299" s="200">
        <f t="shared" si="254"/>
        <v>-6</v>
      </c>
      <c r="L299" s="179">
        <f t="shared" si="248"/>
        <v>-6</v>
      </c>
      <c r="M299" s="180">
        <v>45939</v>
      </c>
      <c r="N299" s="44"/>
      <c r="O299" s="15"/>
      <c r="P299" s="28"/>
      <c r="Q299" s="16"/>
      <c r="R299" s="19"/>
      <c r="S299" s="42">
        <f t="shared" si="256"/>
        <v>0</v>
      </c>
      <c r="T299" s="15"/>
      <c r="U299" s="28"/>
      <c r="V299" s="16"/>
      <c r="W299" s="31"/>
      <c r="X299" s="9">
        <f t="shared" si="257"/>
        <v>0</v>
      </c>
      <c r="Y299" s="94">
        <f t="shared" si="258"/>
        <v>0</v>
      </c>
    </row>
    <row r="300" spans="1:25" ht="14.25" thickBot="1" x14ac:dyDescent="0.2">
      <c r="A300" s="44" t="s">
        <v>27</v>
      </c>
      <c r="B300" s="34"/>
      <c r="C300" s="35"/>
      <c r="D300" s="36"/>
      <c r="E300" s="37">
        <v>1</v>
      </c>
      <c r="F300" s="42">
        <f t="shared" si="246"/>
        <v>1</v>
      </c>
      <c r="G300" s="34"/>
      <c r="H300" s="36">
        <v>3</v>
      </c>
      <c r="I300" s="35"/>
      <c r="J300" s="64"/>
      <c r="K300" s="80">
        <f t="shared" si="254"/>
        <v>3</v>
      </c>
      <c r="L300" s="106">
        <f t="shared" si="248"/>
        <v>4</v>
      </c>
      <c r="M300" s="105">
        <v>45938</v>
      </c>
      <c r="N300" s="146"/>
      <c r="O300" s="34"/>
      <c r="P300" s="35"/>
      <c r="Q300" s="36"/>
      <c r="R300" s="37"/>
      <c r="S300" s="43">
        <f t="shared" si="256"/>
        <v>0</v>
      </c>
      <c r="T300" s="34"/>
      <c r="U300" s="35"/>
      <c r="V300" s="36"/>
      <c r="W300" s="63"/>
      <c r="X300" s="10">
        <f t="shared" si="257"/>
        <v>0</v>
      </c>
      <c r="Y300" s="142">
        <f t="shared" si="258"/>
        <v>0</v>
      </c>
    </row>
    <row r="301" spans="1:25" ht="14.25" thickBot="1" x14ac:dyDescent="0.2">
      <c r="A301" s="12" t="s">
        <v>8</v>
      </c>
      <c r="B301" s="21">
        <f>SUM(B276:B300)</f>
        <v>2</v>
      </c>
      <c r="C301" s="29">
        <f>SUM(C276:C300)</f>
        <v>5</v>
      </c>
      <c r="D301" s="22">
        <f>SUM(D276:D300)</f>
        <v>2</v>
      </c>
      <c r="E301" s="23">
        <f>SUM(E276:E300)</f>
        <v>1</v>
      </c>
      <c r="F301" s="20">
        <f>SUM(B301:E301)</f>
        <v>10</v>
      </c>
      <c r="G301" s="21">
        <f>SUM(G276:G300)</f>
        <v>0</v>
      </c>
      <c r="H301" s="29">
        <f>SUM(H276:H300)</f>
        <v>5</v>
      </c>
      <c r="I301" s="22">
        <f>SUM(I276:I300)</f>
        <v>1</v>
      </c>
      <c r="J301" s="23">
        <f>SUM(J276:J300)</f>
        <v>8</v>
      </c>
      <c r="K301" s="81">
        <f t="shared" si="254"/>
        <v>14</v>
      </c>
      <c r="L301" s="107">
        <f t="shared" si="248"/>
        <v>24</v>
      </c>
      <c r="N301" s="110" t="s">
        <v>8</v>
      </c>
      <c r="O301" s="21">
        <f>SUM(O276:O300)</f>
        <v>1</v>
      </c>
      <c r="P301" s="29">
        <f>SUM(P276:P300)</f>
        <v>5</v>
      </c>
      <c r="Q301" s="22">
        <f>SUM(Q276:Q300)</f>
        <v>6</v>
      </c>
      <c r="R301" s="23">
        <f>SUM(R276:R300)</f>
        <v>2</v>
      </c>
      <c r="S301" s="45">
        <f>SUM(O301:R301)</f>
        <v>14</v>
      </c>
      <c r="T301" s="21">
        <f>SUM(T276:T300)</f>
        <v>5</v>
      </c>
      <c r="U301" s="29">
        <f>SUM(U276:U300)</f>
        <v>9</v>
      </c>
      <c r="V301" s="22">
        <f>SUM(V276:V300)</f>
        <v>4</v>
      </c>
      <c r="W301" s="23">
        <f>SUM(W276:W300)</f>
        <v>16</v>
      </c>
      <c r="X301" s="45">
        <f t="shared" si="255"/>
        <v>34</v>
      </c>
      <c r="Y301" s="111">
        <f t="shared" si="251"/>
        <v>48</v>
      </c>
    </row>
    <row r="302" spans="1:25" ht="14.25" thickBot="1" x14ac:dyDescent="0.2">
      <c r="A302" s="13" t="s">
        <v>9</v>
      </c>
      <c r="B302" s="24">
        <f t="shared" ref="B302:K302" si="259">B275-B301</f>
        <v>4</v>
      </c>
      <c r="C302" s="30">
        <f t="shared" si="259"/>
        <v>3</v>
      </c>
      <c r="D302" s="25">
        <f t="shared" si="259"/>
        <v>4</v>
      </c>
      <c r="E302" s="26">
        <f t="shared" si="259"/>
        <v>6</v>
      </c>
      <c r="F302" s="71">
        <f t="shared" si="259"/>
        <v>17</v>
      </c>
      <c r="G302" s="24">
        <f t="shared" si="259"/>
        <v>5</v>
      </c>
      <c r="H302" s="30">
        <f t="shared" si="259"/>
        <v>1</v>
      </c>
      <c r="I302" s="25">
        <f t="shared" si="259"/>
        <v>6</v>
      </c>
      <c r="J302" s="26">
        <f t="shared" si="259"/>
        <v>5</v>
      </c>
      <c r="K302" s="82">
        <f t="shared" si="259"/>
        <v>17</v>
      </c>
      <c r="L302" s="86">
        <f t="shared" si="248"/>
        <v>34</v>
      </c>
      <c r="N302" s="13" t="s">
        <v>9</v>
      </c>
      <c r="O302" s="24">
        <f t="shared" ref="O302:X302" si="260">O275-O301</f>
        <v>98</v>
      </c>
      <c r="P302" s="30">
        <f t="shared" si="260"/>
        <v>103</v>
      </c>
      <c r="Q302" s="25">
        <f t="shared" si="260"/>
        <v>127</v>
      </c>
      <c r="R302" s="26">
        <f t="shared" si="260"/>
        <v>84</v>
      </c>
      <c r="S302" s="71">
        <f t="shared" si="260"/>
        <v>412</v>
      </c>
      <c r="T302" s="24">
        <f t="shared" si="260"/>
        <v>98</v>
      </c>
      <c r="U302" s="30">
        <f t="shared" si="260"/>
        <v>89</v>
      </c>
      <c r="V302" s="25">
        <f t="shared" si="260"/>
        <v>139</v>
      </c>
      <c r="W302" s="26">
        <f t="shared" si="260"/>
        <v>62</v>
      </c>
      <c r="X302" s="33">
        <f t="shared" si="260"/>
        <v>388</v>
      </c>
      <c r="Y302" s="86">
        <f t="shared" si="251"/>
        <v>800</v>
      </c>
    </row>
    <row r="303" spans="1:25" x14ac:dyDescent="0.15">
      <c r="N303" s="143" t="s">
        <v>146</v>
      </c>
      <c r="O303" s="51">
        <f>O302/$S$302*100</f>
        <v>23.78640776699029</v>
      </c>
      <c r="P303" s="51">
        <f t="shared" ref="P303:S303" si="261">P302/$S$302*100</f>
        <v>25</v>
      </c>
      <c r="Q303" s="51">
        <f t="shared" si="261"/>
        <v>30.825242718446599</v>
      </c>
      <c r="R303" s="51">
        <f t="shared" si="261"/>
        <v>20.388349514563107</v>
      </c>
      <c r="S303" s="51">
        <f t="shared" si="261"/>
        <v>100</v>
      </c>
      <c r="T303" s="51">
        <f>T302/$X$302*100</f>
        <v>25.257731958762886</v>
      </c>
      <c r="U303" s="51">
        <f t="shared" ref="U303:X303" si="262">U302/$X$302*100</f>
        <v>22.938144329896907</v>
      </c>
      <c r="V303" s="51">
        <f t="shared" si="262"/>
        <v>35.824742268041234</v>
      </c>
      <c r="W303" s="51">
        <f t="shared" si="262"/>
        <v>15.979381443298967</v>
      </c>
      <c r="X303" s="51">
        <f t="shared" si="262"/>
        <v>100</v>
      </c>
    </row>
    <row r="304" spans="1:25" x14ac:dyDescent="0.15">
      <c r="N304" s="158" t="s">
        <v>145</v>
      </c>
      <c r="O304" s="155">
        <v>18.7</v>
      </c>
      <c r="P304" s="155">
        <v>26.6</v>
      </c>
      <c r="Q304" s="155">
        <v>27.9</v>
      </c>
      <c r="R304" s="155">
        <v>26.8</v>
      </c>
      <c r="S304" s="145">
        <v>100</v>
      </c>
      <c r="T304" s="145">
        <v>15.6</v>
      </c>
      <c r="U304" s="155">
        <v>27.9</v>
      </c>
      <c r="V304" s="145">
        <v>25</v>
      </c>
      <c r="W304" s="155">
        <v>31.5</v>
      </c>
      <c r="X304" s="145">
        <v>100</v>
      </c>
    </row>
    <row r="305" spans="1:26" ht="19.5" thickBot="1" x14ac:dyDescent="0.25">
      <c r="A305" s="2" t="s">
        <v>15</v>
      </c>
      <c r="B305" s="2"/>
      <c r="C305" s="1"/>
      <c r="D305" s="1"/>
      <c r="E305" s="1"/>
      <c r="G305" s="72"/>
      <c r="H305" s="1"/>
      <c r="I305" s="1"/>
      <c r="J305" s="1"/>
      <c r="K305" s="72" t="s">
        <v>12</v>
      </c>
      <c r="N305" s="2" t="s">
        <v>16</v>
      </c>
      <c r="O305" s="2"/>
      <c r="P305" s="1"/>
      <c r="Q305" s="1"/>
      <c r="R305" s="1"/>
      <c r="T305" s="72" t="s">
        <v>257</v>
      </c>
      <c r="U305" s="1"/>
      <c r="V305" s="1"/>
      <c r="W305" s="1"/>
      <c r="X305" s="72"/>
    </row>
    <row r="306" spans="1:26" ht="14.25" thickBot="1" x14ac:dyDescent="0.2">
      <c r="A306" s="5" t="s">
        <v>0</v>
      </c>
      <c r="B306" s="245" t="s">
        <v>34</v>
      </c>
      <c r="C306" s="246"/>
      <c r="D306" s="246"/>
      <c r="E306" s="246"/>
      <c r="F306" s="247"/>
      <c r="G306" s="248" t="s">
        <v>35</v>
      </c>
      <c r="H306" s="249"/>
      <c r="I306" s="249"/>
      <c r="J306" s="249"/>
      <c r="K306" s="249"/>
      <c r="L306" s="243" t="s">
        <v>14</v>
      </c>
      <c r="N306" s="5" t="s">
        <v>0</v>
      </c>
      <c r="O306" s="245" t="s">
        <v>58</v>
      </c>
      <c r="P306" s="246"/>
      <c r="Q306" s="246"/>
      <c r="R306" s="246"/>
      <c r="S306" s="247"/>
      <c r="T306" s="248" t="s">
        <v>59</v>
      </c>
      <c r="U306" s="249"/>
      <c r="V306" s="249"/>
      <c r="W306" s="249"/>
      <c r="X306" s="249"/>
      <c r="Y306" s="243" t="s">
        <v>14</v>
      </c>
    </row>
    <row r="307" spans="1:26" ht="14.25" thickBot="1" x14ac:dyDescent="0.2">
      <c r="A307" s="5" t="s">
        <v>1</v>
      </c>
      <c r="B307" s="3" t="s">
        <v>17</v>
      </c>
      <c r="C307" s="27" t="s">
        <v>18</v>
      </c>
      <c r="D307" s="4" t="s">
        <v>19</v>
      </c>
      <c r="E307" s="14" t="s">
        <v>20</v>
      </c>
      <c r="F307" s="18" t="s">
        <v>2</v>
      </c>
      <c r="G307" s="3" t="s">
        <v>17</v>
      </c>
      <c r="H307" s="27" t="s">
        <v>18</v>
      </c>
      <c r="I307" s="4" t="s">
        <v>19</v>
      </c>
      <c r="J307" s="14" t="s">
        <v>20</v>
      </c>
      <c r="K307" s="73" t="s">
        <v>2</v>
      </c>
      <c r="L307" s="244"/>
      <c r="N307" s="5" t="s">
        <v>1</v>
      </c>
      <c r="O307" s="3" t="s">
        <v>17</v>
      </c>
      <c r="P307" s="27" t="s">
        <v>18</v>
      </c>
      <c r="Q307" s="4" t="s">
        <v>19</v>
      </c>
      <c r="R307" s="14" t="s">
        <v>20</v>
      </c>
      <c r="S307" s="18" t="s">
        <v>2</v>
      </c>
      <c r="T307" s="3" t="s">
        <v>17</v>
      </c>
      <c r="U307" s="27" t="s">
        <v>18</v>
      </c>
      <c r="V307" s="4" t="s">
        <v>19</v>
      </c>
      <c r="W307" s="14" t="s">
        <v>20</v>
      </c>
      <c r="X307" s="18" t="s">
        <v>2</v>
      </c>
      <c r="Y307" s="244"/>
    </row>
    <row r="308" spans="1:26" x14ac:dyDescent="0.15">
      <c r="A308" s="66" t="s">
        <v>10</v>
      </c>
      <c r="B308" s="67">
        <f>B302</f>
        <v>4</v>
      </c>
      <c r="C308" s="68">
        <f>C302</f>
        <v>3</v>
      </c>
      <c r="D308" s="68">
        <f>D302</f>
        <v>4</v>
      </c>
      <c r="E308" s="69">
        <f>E302</f>
        <v>6</v>
      </c>
      <c r="F308" s="70">
        <f>SUM(B308:E308)</f>
        <v>17</v>
      </c>
      <c r="G308" s="67">
        <f>G302</f>
        <v>5</v>
      </c>
      <c r="H308" s="68">
        <f>H302</f>
        <v>1</v>
      </c>
      <c r="I308" s="68">
        <f>I302</f>
        <v>6</v>
      </c>
      <c r="J308" s="69">
        <f>J302</f>
        <v>5</v>
      </c>
      <c r="K308" s="74">
        <f>SUM(G308:J308)</f>
        <v>17</v>
      </c>
      <c r="L308" s="84">
        <f>F308+K308</f>
        <v>34</v>
      </c>
      <c r="N308" s="66" t="s">
        <v>10</v>
      </c>
      <c r="O308" s="67">
        <f>O302</f>
        <v>98</v>
      </c>
      <c r="P308" s="68">
        <f>P302</f>
        <v>103</v>
      </c>
      <c r="Q308" s="68">
        <f>Q302</f>
        <v>127</v>
      </c>
      <c r="R308" s="69">
        <f>R302</f>
        <v>84</v>
      </c>
      <c r="S308" s="70">
        <f>SUM(O308:R308)</f>
        <v>412</v>
      </c>
      <c r="T308" s="67">
        <f>T302</f>
        <v>98</v>
      </c>
      <c r="U308" s="68">
        <f>U302</f>
        <v>89</v>
      </c>
      <c r="V308" s="68">
        <f>V302</f>
        <v>139</v>
      </c>
      <c r="W308" s="87">
        <f>W302</f>
        <v>62</v>
      </c>
      <c r="X308" s="88">
        <f>SUM(T308:W308)</f>
        <v>388</v>
      </c>
      <c r="Y308" s="84">
        <f>S308+X308</f>
        <v>800</v>
      </c>
    </row>
    <row r="309" spans="1:26" x14ac:dyDescent="0.15">
      <c r="A309" s="44" t="s">
        <v>3</v>
      </c>
      <c r="B309" s="47"/>
      <c r="C309" s="48"/>
      <c r="D309" s="49"/>
      <c r="E309" s="50"/>
      <c r="F309" s="54">
        <f>SUM(B309:E309)</f>
        <v>0</v>
      </c>
      <c r="G309" s="38"/>
      <c r="H309" s="39">
        <v>3</v>
      </c>
      <c r="I309" s="40"/>
      <c r="J309" s="41"/>
      <c r="K309" s="75">
        <f>SUM(G309:J309)</f>
        <v>3</v>
      </c>
      <c r="L309" s="94">
        <f t="shared" ref="L309:L312" si="263">F309+K309</f>
        <v>3</v>
      </c>
      <c r="M309" s="104">
        <v>45940</v>
      </c>
      <c r="N309" s="44" t="s">
        <v>3</v>
      </c>
      <c r="O309" s="47"/>
      <c r="P309" s="48"/>
      <c r="Q309" s="49"/>
      <c r="R309" s="50"/>
      <c r="S309" s="54">
        <f>SUM(O309:R309)</f>
        <v>0</v>
      </c>
      <c r="T309" s="38"/>
      <c r="U309" s="39"/>
      <c r="V309" s="40"/>
      <c r="W309" s="41"/>
      <c r="X309" s="75">
        <f>SUM(T309:W309)</f>
        <v>0</v>
      </c>
      <c r="Y309" s="94">
        <f t="shared" ref="Y309:Y310" si="264">S309+X309</f>
        <v>0</v>
      </c>
      <c r="Z309" s="104"/>
    </row>
    <row r="310" spans="1:26" x14ac:dyDescent="0.15">
      <c r="A310" s="193" t="s">
        <v>4</v>
      </c>
      <c r="B310" s="209"/>
      <c r="C310" s="210">
        <v>3</v>
      </c>
      <c r="D310" s="211"/>
      <c r="E310" s="212"/>
      <c r="F310" s="213">
        <f t="shared" ref="F310:F311" si="265">SUM(B310:E310)</f>
        <v>3</v>
      </c>
      <c r="G310" s="214"/>
      <c r="H310" s="215"/>
      <c r="I310" s="216"/>
      <c r="J310" s="217"/>
      <c r="K310" s="218">
        <f t="shared" ref="K310:K311" si="266">SUM(G310:J310)</f>
        <v>0</v>
      </c>
      <c r="L310" s="179">
        <f t="shared" si="263"/>
        <v>3</v>
      </c>
      <c r="M310" s="180">
        <v>45944</v>
      </c>
      <c r="N310" s="11" t="s">
        <v>4</v>
      </c>
      <c r="O310" s="38"/>
      <c r="P310" s="39"/>
      <c r="Q310" s="40"/>
      <c r="R310" s="52"/>
      <c r="S310" s="9">
        <f>SUM(O310:R310)</f>
        <v>0</v>
      </c>
      <c r="T310" s="15"/>
      <c r="U310" s="28"/>
      <c r="V310" s="16"/>
      <c r="W310" s="31"/>
      <c r="X310" s="9">
        <f>SUM(T310:W310)</f>
        <v>0</v>
      </c>
      <c r="Y310" s="94">
        <f t="shared" si="264"/>
        <v>0</v>
      </c>
    </row>
    <row r="311" spans="1:26" x14ac:dyDescent="0.15">
      <c r="A311" s="44" t="s">
        <v>49</v>
      </c>
      <c r="B311" s="47">
        <v>3</v>
      </c>
      <c r="C311" s="48"/>
      <c r="D311" s="49"/>
      <c r="E311" s="50"/>
      <c r="F311" s="54">
        <f t="shared" si="265"/>
        <v>3</v>
      </c>
      <c r="G311" s="38">
        <v>1</v>
      </c>
      <c r="H311" s="39">
        <v>2</v>
      </c>
      <c r="I311" s="40"/>
      <c r="J311" s="41"/>
      <c r="K311" s="75">
        <f t="shared" si="266"/>
        <v>3</v>
      </c>
      <c r="L311" s="94">
        <f t="shared" si="263"/>
        <v>6</v>
      </c>
      <c r="M311" s="105">
        <v>45945</v>
      </c>
      <c r="N311" s="11" t="s">
        <v>5</v>
      </c>
      <c r="O311" s="38"/>
      <c r="P311" s="39"/>
      <c r="Q311" s="40"/>
      <c r="R311" s="52"/>
      <c r="S311" s="54">
        <f>SUM(O311:R311)</f>
        <v>0</v>
      </c>
      <c r="T311" s="38"/>
      <c r="U311" s="39"/>
      <c r="V311" s="40"/>
      <c r="W311" s="52"/>
      <c r="X311" s="54">
        <f>SUM(T311:W311)</f>
        <v>0</v>
      </c>
      <c r="Y311" s="94">
        <f t="shared" ref="Y311" si="267">S311+X311</f>
        <v>0</v>
      </c>
    </row>
    <row r="312" spans="1:26" ht="14.25" thickBot="1" x14ac:dyDescent="0.2">
      <c r="A312" s="168" t="s">
        <v>6</v>
      </c>
      <c r="B312" s="169"/>
      <c r="C312" s="170"/>
      <c r="D312" s="171"/>
      <c r="E312" s="172"/>
      <c r="F312" s="173">
        <f>SUM(B312:E312)</f>
        <v>0</v>
      </c>
      <c r="G312" s="174"/>
      <c r="H312" s="175"/>
      <c r="I312" s="176">
        <v>3</v>
      </c>
      <c r="J312" s="177">
        <v>5</v>
      </c>
      <c r="K312" s="178">
        <f>SUM(G312:J312)</f>
        <v>8</v>
      </c>
      <c r="L312" s="179">
        <f t="shared" si="263"/>
        <v>8</v>
      </c>
      <c r="M312" s="180">
        <v>45951</v>
      </c>
      <c r="N312" s="11" t="s">
        <v>6</v>
      </c>
      <c r="O312" s="38"/>
      <c r="P312" s="39"/>
      <c r="Q312" s="40"/>
      <c r="R312" s="52"/>
      <c r="S312" s="45">
        <f>SUM(O312:R312)</f>
        <v>0</v>
      </c>
      <c r="T312" s="122"/>
      <c r="U312" s="123"/>
      <c r="V312" s="124"/>
      <c r="W312" s="125"/>
      <c r="X312" s="45">
        <f>SUM(T312:W312)</f>
        <v>0</v>
      </c>
      <c r="Y312" s="94">
        <f t="shared" ref="Y312" si="268">S312+X312</f>
        <v>0</v>
      </c>
    </row>
    <row r="313" spans="1:26" ht="14.25" thickBot="1" x14ac:dyDescent="0.2">
      <c r="A313" s="13" t="s">
        <v>7</v>
      </c>
      <c r="B313" s="55">
        <f t="shared" ref="B313:K313" si="269">SUM(B308:B312)</f>
        <v>7</v>
      </c>
      <c r="C313" s="56">
        <f t="shared" si="269"/>
        <v>6</v>
      </c>
      <c r="D313" s="57">
        <f t="shared" si="269"/>
        <v>4</v>
      </c>
      <c r="E313" s="58">
        <f t="shared" si="269"/>
        <v>6</v>
      </c>
      <c r="F313" s="59">
        <f t="shared" si="269"/>
        <v>23</v>
      </c>
      <c r="G313" s="24">
        <f t="shared" si="269"/>
        <v>6</v>
      </c>
      <c r="H313" s="30">
        <f t="shared" si="269"/>
        <v>6</v>
      </c>
      <c r="I313" s="25">
        <f t="shared" si="269"/>
        <v>9</v>
      </c>
      <c r="J313" s="60">
        <f t="shared" si="269"/>
        <v>10</v>
      </c>
      <c r="K313" s="78">
        <f t="shared" si="269"/>
        <v>31</v>
      </c>
      <c r="L313" s="85">
        <f>F313+K313</f>
        <v>54</v>
      </c>
      <c r="N313" s="13" t="s">
        <v>7</v>
      </c>
      <c r="O313" s="55">
        <f t="shared" ref="O313:X313" si="270">SUM(O308:O312)</f>
        <v>98</v>
      </c>
      <c r="P313" s="56">
        <f t="shared" si="270"/>
        <v>103</v>
      </c>
      <c r="Q313" s="57">
        <f t="shared" si="270"/>
        <v>127</v>
      </c>
      <c r="R313" s="58">
        <f t="shared" si="270"/>
        <v>84</v>
      </c>
      <c r="S313" s="59">
        <f t="shared" si="270"/>
        <v>412</v>
      </c>
      <c r="T313" s="24">
        <f t="shared" si="270"/>
        <v>98</v>
      </c>
      <c r="U313" s="30">
        <f t="shared" si="270"/>
        <v>89</v>
      </c>
      <c r="V313" s="25">
        <f t="shared" si="270"/>
        <v>139</v>
      </c>
      <c r="W313" s="60">
        <f t="shared" si="270"/>
        <v>62</v>
      </c>
      <c r="X313" s="61">
        <f t="shared" si="270"/>
        <v>388</v>
      </c>
      <c r="Y313" s="85">
        <f>S313+X313</f>
        <v>800</v>
      </c>
    </row>
    <row r="314" spans="1:26" x14ac:dyDescent="0.15">
      <c r="A314" s="44" t="s">
        <v>120</v>
      </c>
      <c r="B314" s="15"/>
      <c r="C314" s="28">
        <v>1</v>
      </c>
      <c r="D314" s="16"/>
      <c r="E314" s="19">
        <v>1</v>
      </c>
      <c r="F314" s="42">
        <f t="shared" ref="F314:F338" si="271">SUM(B314:E314)</f>
        <v>2</v>
      </c>
      <c r="G314" s="15"/>
      <c r="H314" s="28">
        <v>-1</v>
      </c>
      <c r="I314" s="16"/>
      <c r="J314" s="31">
        <v>-1</v>
      </c>
      <c r="K314" s="79">
        <f t="shared" ref="K314:K331" si="272">SUM(G314:J314)</f>
        <v>-2</v>
      </c>
      <c r="L314" s="94">
        <f t="shared" ref="L314:L340" si="273">F314+K314</f>
        <v>0</v>
      </c>
      <c r="M314" s="105">
        <v>45937</v>
      </c>
      <c r="N314" s="44" t="s">
        <v>242</v>
      </c>
      <c r="O314" s="15"/>
      <c r="P314" s="28"/>
      <c r="Q314" s="16"/>
      <c r="R314" s="19"/>
      <c r="S314" s="42">
        <f t="shared" ref="S314:S329" si="274">SUM(O314:R314)</f>
        <v>0</v>
      </c>
      <c r="T314" s="15"/>
      <c r="U314" s="28">
        <v>3</v>
      </c>
      <c r="V314" s="16"/>
      <c r="W314" s="31"/>
      <c r="X314" s="9">
        <f t="shared" ref="X314:X319" si="275">SUM(T314:W314)</f>
        <v>3</v>
      </c>
      <c r="Y314" s="94">
        <f>S314+X314</f>
        <v>3</v>
      </c>
      <c r="Z314" s="104">
        <v>45940</v>
      </c>
    </row>
    <row r="315" spans="1:26" x14ac:dyDescent="0.15">
      <c r="A315" s="44" t="s">
        <v>27</v>
      </c>
      <c r="B315" s="15"/>
      <c r="C315" s="28"/>
      <c r="D315" s="16"/>
      <c r="E315" s="19"/>
      <c r="F315" s="42">
        <f t="shared" si="271"/>
        <v>0</v>
      </c>
      <c r="G315" s="15"/>
      <c r="H315" s="28"/>
      <c r="I315" s="16">
        <v>1</v>
      </c>
      <c r="J315" s="31">
        <v>1</v>
      </c>
      <c r="K315" s="79">
        <f t="shared" si="272"/>
        <v>2</v>
      </c>
      <c r="L315" s="94">
        <f t="shared" si="273"/>
        <v>2</v>
      </c>
      <c r="M315" s="105">
        <v>45940</v>
      </c>
      <c r="N315" s="193" t="s">
        <v>26</v>
      </c>
      <c r="O315" s="194"/>
      <c r="P315" s="195">
        <v>3</v>
      </c>
      <c r="Q315" s="196"/>
      <c r="R315" s="197"/>
      <c r="S315" s="198">
        <f t="shared" si="274"/>
        <v>3</v>
      </c>
      <c r="T315" s="194"/>
      <c r="U315" s="195"/>
      <c r="V315" s="196"/>
      <c r="W315" s="201"/>
      <c r="X315" s="202">
        <f t="shared" si="275"/>
        <v>0</v>
      </c>
      <c r="Y315" s="179">
        <f>S315+X315</f>
        <v>3</v>
      </c>
      <c r="Z315" s="180">
        <v>45944</v>
      </c>
    </row>
    <row r="316" spans="1:26" x14ac:dyDescent="0.15">
      <c r="A316" s="44" t="s">
        <v>27</v>
      </c>
      <c r="B316" s="15"/>
      <c r="C316" s="28"/>
      <c r="D316" s="16"/>
      <c r="E316" s="19"/>
      <c r="F316" s="42">
        <f t="shared" si="271"/>
        <v>0</v>
      </c>
      <c r="G316" s="15"/>
      <c r="H316" s="28"/>
      <c r="I316" s="16"/>
      <c r="J316" s="31">
        <v>1</v>
      </c>
      <c r="K316" s="79">
        <f t="shared" si="272"/>
        <v>1</v>
      </c>
      <c r="L316" s="94">
        <f t="shared" si="273"/>
        <v>1</v>
      </c>
      <c r="M316" s="105">
        <v>45944</v>
      </c>
      <c r="N316" s="135" t="s">
        <v>245</v>
      </c>
      <c r="O316" s="15"/>
      <c r="P316" s="28"/>
      <c r="Q316" s="16"/>
      <c r="R316" s="19"/>
      <c r="S316" s="42">
        <f t="shared" si="274"/>
        <v>0</v>
      </c>
      <c r="T316" s="15"/>
      <c r="U316" s="28">
        <v>1</v>
      </c>
      <c r="V316" s="16"/>
      <c r="W316" s="31"/>
      <c r="X316" s="9">
        <f t="shared" si="275"/>
        <v>1</v>
      </c>
      <c r="Y316" s="94">
        <f>S316+X316</f>
        <v>1</v>
      </c>
      <c r="Z316" s="104">
        <v>45947</v>
      </c>
    </row>
    <row r="317" spans="1:26" x14ac:dyDescent="0.15">
      <c r="A317" s="44" t="s">
        <v>27</v>
      </c>
      <c r="B317" s="15"/>
      <c r="C317" s="28"/>
      <c r="D317" s="16"/>
      <c r="E317" s="19"/>
      <c r="F317" s="42">
        <f t="shared" si="271"/>
        <v>0</v>
      </c>
      <c r="G317" s="15">
        <v>1</v>
      </c>
      <c r="H317" s="28"/>
      <c r="I317" s="16"/>
      <c r="J317" s="31"/>
      <c r="K317" s="79">
        <f t="shared" si="272"/>
        <v>1</v>
      </c>
      <c r="L317" s="94">
        <f t="shared" si="273"/>
        <v>1</v>
      </c>
      <c r="M317" s="105">
        <v>45946</v>
      </c>
      <c r="N317" s="193" t="s">
        <v>26</v>
      </c>
      <c r="O317" s="194"/>
      <c r="P317" s="195"/>
      <c r="Q317" s="196"/>
      <c r="R317" s="197"/>
      <c r="S317" s="198">
        <f t="shared" si="274"/>
        <v>0</v>
      </c>
      <c r="T317" s="194"/>
      <c r="U317" s="195"/>
      <c r="V317" s="196">
        <v>3</v>
      </c>
      <c r="W317" s="201">
        <v>5</v>
      </c>
      <c r="X317" s="202">
        <f t="shared" si="275"/>
        <v>8</v>
      </c>
      <c r="Y317" s="179">
        <f t="shared" ref="Y317:Y340" si="276">S317+X317</f>
        <v>8</v>
      </c>
      <c r="Z317" s="180">
        <v>45951</v>
      </c>
    </row>
    <row r="318" spans="1:26" x14ac:dyDescent="0.15">
      <c r="A318" s="44" t="s">
        <v>27</v>
      </c>
      <c r="B318" s="15"/>
      <c r="C318" s="28"/>
      <c r="D318" s="16"/>
      <c r="E318" s="19"/>
      <c r="F318" s="42">
        <f t="shared" si="271"/>
        <v>0</v>
      </c>
      <c r="G318" s="15"/>
      <c r="H318" s="28"/>
      <c r="I318" s="16">
        <v>1</v>
      </c>
      <c r="J318" s="31"/>
      <c r="K318" s="79">
        <f t="shared" si="272"/>
        <v>1</v>
      </c>
      <c r="L318" s="94">
        <f t="shared" si="273"/>
        <v>1</v>
      </c>
      <c r="M318" s="105">
        <v>45947</v>
      </c>
      <c r="N318" s="121" t="s">
        <v>247</v>
      </c>
      <c r="O318" s="15"/>
      <c r="P318" s="28"/>
      <c r="Q318" s="16"/>
      <c r="R318" s="19">
        <v>1</v>
      </c>
      <c r="S318" s="42">
        <f t="shared" si="274"/>
        <v>1</v>
      </c>
      <c r="T318" s="15"/>
      <c r="U318" s="28"/>
      <c r="V318" s="16">
        <v>1</v>
      </c>
      <c r="W318" s="31"/>
      <c r="X318" s="9">
        <f t="shared" si="275"/>
        <v>1</v>
      </c>
      <c r="Y318" s="94">
        <f t="shared" si="276"/>
        <v>2</v>
      </c>
      <c r="Z318" s="104">
        <v>45954</v>
      </c>
    </row>
    <row r="319" spans="1:26" x14ac:dyDescent="0.15">
      <c r="A319" s="44" t="s">
        <v>27</v>
      </c>
      <c r="B319" s="15"/>
      <c r="C319" s="28"/>
      <c r="D319" s="16"/>
      <c r="E319" s="19"/>
      <c r="F319" s="42">
        <f t="shared" si="271"/>
        <v>0</v>
      </c>
      <c r="G319" s="15"/>
      <c r="H319" s="28"/>
      <c r="I319" s="16"/>
      <c r="J319" s="31">
        <v>1</v>
      </c>
      <c r="K319" s="79">
        <f t="shared" si="272"/>
        <v>1</v>
      </c>
      <c r="L319" s="94">
        <f t="shared" si="273"/>
        <v>1</v>
      </c>
      <c r="M319" s="105">
        <v>45948</v>
      </c>
      <c r="N319" s="135" t="s">
        <v>248</v>
      </c>
      <c r="O319" s="15"/>
      <c r="P319" s="28">
        <v>5</v>
      </c>
      <c r="Q319" s="16">
        <v>3</v>
      </c>
      <c r="R319" s="19">
        <v>3</v>
      </c>
      <c r="S319" s="42">
        <f t="shared" si="274"/>
        <v>11</v>
      </c>
      <c r="T319" s="15"/>
      <c r="U319" s="28">
        <v>2</v>
      </c>
      <c r="V319" s="16">
        <v>3</v>
      </c>
      <c r="W319" s="31">
        <v>1</v>
      </c>
      <c r="X319" s="9">
        <f t="shared" si="275"/>
        <v>6</v>
      </c>
      <c r="Y319" s="94">
        <f t="shared" si="276"/>
        <v>17</v>
      </c>
      <c r="Z319" s="104">
        <v>45961</v>
      </c>
    </row>
    <row r="320" spans="1:26" x14ac:dyDescent="0.15">
      <c r="A320" s="44" t="s">
        <v>27</v>
      </c>
      <c r="B320" s="15"/>
      <c r="C320" s="28">
        <v>1</v>
      </c>
      <c r="D320" s="16"/>
      <c r="E320" s="19"/>
      <c r="F320" s="42">
        <f t="shared" si="271"/>
        <v>1</v>
      </c>
      <c r="G320" s="15"/>
      <c r="H320" s="28"/>
      <c r="I320" s="16">
        <v>1</v>
      </c>
      <c r="J320" s="31">
        <v>2</v>
      </c>
      <c r="K320" s="79">
        <f t="shared" si="272"/>
        <v>3</v>
      </c>
      <c r="L320" s="94">
        <f t="shared" si="273"/>
        <v>4</v>
      </c>
      <c r="M320" s="105">
        <v>45950</v>
      </c>
      <c r="N320" s="121" t="s">
        <v>249</v>
      </c>
      <c r="O320" s="15"/>
      <c r="P320" s="28"/>
      <c r="Q320" s="16"/>
      <c r="R320" s="19"/>
      <c r="S320" s="42">
        <f t="shared" si="274"/>
        <v>0</v>
      </c>
      <c r="T320" s="15"/>
      <c r="U320" s="28"/>
      <c r="V320" s="16">
        <v>3</v>
      </c>
      <c r="W320" s="31">
        <v>9</v>
      </c>
      <c r="X320" s="9">
        <f>SUM(T320:W320)</f>
        <v>12</v>
      </c>
      <c r="Y320" s="94">
        <f t="shared" si="276"/>
        <v>12</v>
      </c>
      <c r="Z320" s="104">
        <v>45961</v>
      </c>
    </row>
    <row r="321" spans="1:27" x14ac:dyDescent="0.15">
      <c r="A321" s="44" t="s">
        <v>214</v>
      </c>
      <c r="B321" s="15"/>
      <c r="C321" s="28"/>
      <c r="D321" s="16"/>
      <c r="E321" s="19">
        <v>-1</v>
      </c>
      <c r="F321" s="42">
        <f t="shared" si="271"/>
        <v>-1</v>
      </c>
      <c r="G321" s="15"/>
      <c r="H321" s="28"/>
      <c r="I321" s="16"/>
      <c r="J321" s="31"/>
      <c r="K321" s="79">
        <f t="shared" si="272"/>
        <v>0</v>
      </c>
      <c r="L321" s="94">
        <f t="shared" si="273"/>
        <v>-1</v>
      </c>
      <c r="M321" s="105">
        <v>45946</v>
      </c>
      <c r="N321" s="121" t="s">
        <v>253</v>
      </c>
      <c r="O321" s="15"/>
      <c r="P321" s="28">
        <v>2</v>
      </c>
      <c r="Q321" s="16">
        <v>2</v>
      </c>
      <c r="R321" s="19"/>
      <c r="S321" s="42">
        <f t="shared" si="274"/>
        <v>4</v>
      </c>
      <c r="T321" s="15"/>
      <c r="U321" s="28"/>
      <c r="V321" s="16"/>
      <c r="W321" s="31"/>
      <c r="X321" s="9">
        <f t="shared" ref="X321:X325" si="277">SUM(T321:W321)</f>
        <v>0</v>
      </c>
      <c r="Y321" s="94">
        <f t="shared" si="276"/>
        <v>4</v>
      </c>
      <c r="Z321" s="104">
        <v>45974</v>
      </c>
    </row>
    <row r="322" spans="1:27" x14ac:dyDescent="0.15">
      <c r="A322" s="44" t="s">
        <v>119</v>
      </c>
      <c r="B322" s="15"/>
      <c r="C322" s="28"/>
      <c r="D322" s="16"/>
      <c r="E322" s="19"/>
      <c r="F322" s="42">
        <f t="shared" si="271"/>
        <v>0</v>
      </c>
      <c r="G322" s="15">
        <v>-1</v>
      </c>
      <c r="H322" s="28"/>
      <c r="I322" s="16"/>
      <c r="J322" s="31"/>
      <c r="K322" s="79">
        <f t="shared" si="272"/>
        <v>-1</v>
      </c>
      <c r="L322" s="94">
        <f t="shared" si="273"/>
        <v>-1</v>
      </c>
      <c r="M322" s="105">
        <v>45950</v>
      </c>
      <c r="N322" s="44" t="s">
        <v>259</v>
      </c>
      <c r="O322" s="15"/>
      <c r="P322" s="28"/>
      <c r="Q322" s="16">
        <v>3</v>
      </c>
      <c r="R322" s="19"/>
      <c r="S322" s="42">
        <f t="shared" si="274"/>
        <v>3</v>
      </c>
      <c r="T322" s="15"/>
      <c r="U322" s="28"/>
      <c r="V322" s="16">
        <v>5</v>
      </c>
      <c r="W322" s="31"/>
      <c r="X322" s="9">
        <f t="shared" si="277"/>
        <v>5</v>
      </c>
      <c r="Y322" s="94">
        <f t="shared" si="276"/>
        <v>8</v>
      </c>
      <c r="Z322" s="104">
        <v>45987</v>
      </c>
    </row>
    <row r="323" spans="1:27" x14ac:dyDescent="0.15">
      <c r="A323" s="44" t="s">
        <v>120</v>
      </c>
      <c r="B323" s="15"/>
      <c r="C323" s="28"/>
      <c r="D323" s="16"/>
      <c r="E323" s="19">
        <v>-2</v>
      </c>
      <c r="F323" s="42">
        <f t="shared" si="271"/>
        <v>-2</v>
      </c>
      <c r="G323" s="15"/>
      <c r="H323" s="28">
        <v>1</v>
      </c>
      <c r="I323" s="16">
        <v>1</v>
      </c>
      <c r="J323" s="31"/>
      <c r="K323" s="79">
        <f t="shared" si="272"/>
        <v>2</v>
      </c>
      <c r="L323" s="94">
        <f t="shared" si="273"/>
        <v>0</v>
      </c>
      <c r="M323" s="105">
        <v>45952</v>
      </c>
      <c r="N323" s="32"/>
      <c r="O323" s="15"/>
      <c r="P323" s="28"/>
      <c r="Q323" s="16"/>
      <c r="R323" s="19"/>
      <c r="S323" s="42">
        <f t="shared" si="274"/>
        <v>0</v>
      </c>
      <c r="T323" s="15"/>
      <c r="U323" s="28"/>
      <c r="V323" s="16"/>
      <c r="W323" s="31"/>
      <c r="X323" s="9">
        <f t="shared" si="277"/>
        <v>0</v>
      </c>
      <c r="Y323" s="94">
        <f t="shared" si="276"/>
        <v>0</v>
      </c>
    </row>
    <row r="324" spans="1:27" x14ac:dyDescent="0.15">
      <c r="A324" s="44" t="s">
        <v>109</v>
      </c>
      <c r="B324" s="15"/>
      <c r="C324" s="28">
        <v>-1</v>
      </c>
      <c r="D324" s="16"/>
      <c r="E324" s="19"/>
      <c r="F324" s="42">
        <f t="shared" si="271"/>
        <v>-1</v>
      </c>
      <c r="G324" s="15"/>
      <c r="H324" s="28"/>
      <c r="I324" s="16"/>
      <c r="J324" s="31"/>
      <c r="K324" s="79">
        <f t="shared" si="272"/>
        <v>0</v>
      </c>
      <c r="L324" s="94">
        <f t="shared" si="273"/>
        <v>-1</v>
      </c>
      <c r="M324" s="105">
        <v>45960</v>
      </c>
      <c r="N324" s="44"/>
      <c r="O324" s="15"/>
      <c r="P324" s="28"/>
      <c r="Q324" s="16"/>
      <c r="R324" s="19"/>
      <c r="S324" s="42">
        <f t="shared" si="274"/>
        <v>0</v>
      </c>
      <c r="T324" s="15"/>
      <c r="U324" s="28"/>
      <c r="V324" s="16"/>
      <c r="W324" s="31"/>
      <c r="X324" s="9">
        <f t="shared" si="277"/>
        <v>0</v>
      </c>
      <c r="Y324" s="94">
        <f t="shared" si="276"/>
        <v>0</v>
      </c>
    </row>
    <row r="325" spans="1:27" x14ac:dyDescent="0.15">
      <c r="A325" s="44" t="s">
        <v>27</v>
      </c>
      <c r="B325" s="15"/>
      <c r="C325" s="28"/>
      <c r="D325" s="16"/>
      <c r="E325" s="19"/>
      <c r="F325" s="42">
        <f t="shared" si="271"/>
        <v>0</v>
      </c>
      <c r="G325" s="15">
        <v>1</v>
      </c>
      <c r="H325" s="28"/>
      <c r="I325" s="16"/>
      <c r="J325" s="31"/>
      <c r="K325" s="79">
        <f t="shared" si="272"/>
        <v>1</v>
      </c>
      <c r="L325" s="94">
        <f t="shared" si="273"/>
        <v>1</v>
      </c>
      <c r="M325" s="105">
        <v>45961</v>
      </c>
      <c r="N325" s="44"/>
      <c r="O325" s="15"/>
      <c r="P325" s="28"/>
      <c r="Q325" s="16"/>
      <c r="R325" s="19"/>
      <c r="S325" s="42">
        <f t="shared" si="274"/>
        <v>0</v>
      </c>
      <c r="T325" s="15"/>
      <c r="U325" s="28"/>
      <c r="V325" s="16"/>
      <c r="W325" s="31"/>
      <c r="X325" s="9">
        <f t="shared" si="277"/>
        <v>0</v>
      </c>
      <c r="Y325" s="94">
        <f t="shared" si="276"/>
        <v>0</v>
      </c>
    </row>
    <row r="326" spans="1:27" x14ac:dyDescent="0.15">
      <c r="A326" s="44" t="s">
        <v>252</v>
      </c>
      <c r="B326" s="15">
        <v>1</v>
      </c>
      <c r="C326" s="28"/>
      <c r="D326" s="16"/>
      <c r="E326" s="19"/>
      <c r="F326" s="42">
        <f t="shared" si="271"/>
        <v>1</v>
      </c>
      <c r="G326" s="15">
        <v>1</v>
      </c>
      <c r="H326" s="28"/>
      <c r="I326" s="16"/>
      <c r="J326" s="31"/>
      <c r="K326" s="79">
        <f t="shared" si="272"/>
        <v>1</v>
      </c>
      <c r="L326" s="94">
        <f t="shared" si="273"/>
        <v>2</v>
      </c>
      <c r="M326" s="105">
        <v>45966</v>
      </c>
      <c r="N326" s="44"/>
      <c r="O326" s="15"/>
      <c r="P326" s="28"/>
      <c r="Q326" s="16"/>
      <c r="R326" s="19"/>
      <c r="S326" s="42">
        <f t="shared" si="274"/>
        <v>0</v>
      </c>
      <c r="T326" s="15"/>
      <c r="U326" s="28"/>
      <c r="V326" s="16"/>
      <c r="W326" s="31"/>
      <c r="X326" s="9">
        <f>SUM(T326:W326)</f>
        <v>0</v>
      </c>
      <c r="Y326" s="94">
        <f t="shared" si="276"/>
        <v>0</v>
      </c>
    </row>
    <row r="327" spans="1:27" x14ac:dyDescent="0.15">
      <c r="A327" s="44" t="s">
        <v>27</v>
      </c>
      <c r="B327" s="15"/>
      <c r="C327" s="28"/>
      <c r="D327" s="16"/>
      <c r="E327" s="19"/>
      <c r="F327" s="42">
        <f t="shared" si="271"/>
        <v>0</v>
      </c>
      <c r="G327" s="15"/>
      <c r="H327" s="28"/>
      <c r="I327" s="16"/>
      <c r="J327" s="31">
        <v>1</v>
      </c>
      <c r="K327" s="79">
        <f t="shared" si="272"/>
        <v>1</v>
      </c>
      <c r="L327" s="94">
        <f t="shared" si="273"/>
        <v>1</v>
      </c>
      <c r="M327" s="105">
        <v>45965</v>
      </c>
      <c r="N327" s="44"/>
      <c r="O327" s="15"/>
      <c r="P327" s="28"/>
      <c r="Q327" s="16"/>
      <c r="R327" s="19"/>
      <c r="S327" s="42">
        <f t="shared" si="274"/>
        <v>0</v>
      </c>
      <c r="T327" s="15"/>
      <c r="U327" s="28"/>
      <c r="V327" s="16"/>
      <c r="W327" s="31"/>
      <c r="X327" s="9">
        <f>SUM(T327:W327)</f>
        <v>0</v>
      </c>
      <c r="Y327" s="94">
        <f t="shared" si="276"/>
        <v>0</v>
      </c>
    </row>
    <row r="328" spans="1:27" x14ac:dyDescent="0.15">
      <c r="A328" s="44" t="s">
        <v>27</v>
      </c>
      <c r="B328" s="15"/>
      <c r="C328" s="28">
        <v>1</v>
      </c>
      <c r="D328" s="16"/>
      <c r="E328" s="19"/>
      <c r="F328" s="42">
        <f t="shared" si="271"/>
        <v>1</v>
      </c>
      <c r="G328" s="15"/>
      <c r="H328" s="28"/>
      <c r="I328" s="16"/>
      <c r="J328" s="31"/>
      <c r="K328" s="79">
        <f t="shared" si="272"/>
        <v>0</v>
      </c>
      <c r="L328" s="94">
        <f t="shared" si="273"/>
        <v>1</v>
      </c>
      <c r="M328" s="105">
        <v>45966</v>
      </c>
      <c r="N328" s="32"/>
      <c r="O328" s="15"/>
      <c r="P328" s="28"/>
      <c r="Q328" s="16"/>
      <c r="R328" s="19"/>
      <c r="S328" s="42">
        <f t="shared" si="274"/>
        <v>0</v>
      </c>
      <c r="T328" s="15"/>
      <c r="U328" s="28"/>
      <c r="V328" s="16"/>
      <c r="W328" s="31"/>
      <c r="X328" s="9">
        <f t="shared" ref="X328:X329" si="278">SUM(T328:W328)</f>
        <v>0</v>
      </c>
      <c r="Y328" s="94">
        <f t="shared" si="276"/>
        <v>0</v>
      </c>
    </row>
    <row r="329" spans="1:27" x14ac:dyDescent="0.15">
      <c r="A329" s="44" t="s">
        <v>27</v>
      </c>
      <c r="B329" s="15">
        <v>1</v>
      </c>
      <c r="C329" s="28"/>
      <c r="D329" s="16"/>
      <c r="E329" s="19"/>
      <c r="F329" s="42">
        <f t="shared" si="271"/>
        <v>1</v>
      </c>
      <c r="G329" s="15"/>
      <c r="H329" s="28"/>
      <c r="I329" s="16"/>
      <c r="J329" s="31"/>
      <c r="K329" s="79">
        <f t="shared" si="272"/>
        <v>0</v>
      </c>
      <c r="L329" s="94">
        <f t="shared" si="273"/>
        <v>1</v>
      </c>
      <c r="M329" s="105">
        <v>45971</v>
      </c>
      <c r="N329" s="44"/>
      <c r="O329" s="15"/>
      <c r="P329" s="28"/>
      <c r="Q329" s="16"/>
      <c r="R329" s="19"/>
      <c r="S329" s="42">
        <f t="shared" si="274"/>
        <v>0</v>
      </c>
      <c r="T329" s="15"/>
      <c r="U329" s="28"/>
      <c r="V329" s="16"/>
      <c r="W329" s="31"/>
      <c r="X329" s="9">
        <f t="shared" si="278"/>
        <v>0</v>
      </c>
      <c r="Y329" s="94">
        <f t="shared" si="276"/>
        <v>0</v>
      </c>
    </row>
    <row r="330" spans="1:27" x14ac:dyDescent="0.15">
      <c r="A330" s="44" t="s">
        <v>254</v>
      </c>
      <c r="B330" s="15"/>
      <c r="C330" s="28"/>
      <c r="D330" s="16"/>
      <c r="E330" s="19"/>
      <c r="F330" s="42">
        <f t="shared" si="271"/>
        <v>0</v>
      </c>
      <c r="G330" s="15"/>
      <c r="H330" s="28"/>
      <c r="I330" s="16"/>
      <c r="J330" s="31">
        <v>-1</v>
      </c>
      <c r="K330" s="79">
        <f t="shared" si="272"/>
        <v>-1</v>
      </c>
      <c r="L330" s="94">
        <f t="shared" si="273"/>
        <v>-1</v>
      </c>
      <c r="M330" s="105">
        <v>45974</v>
      </c>
      <c r="N330" s="44"/>
      <c r="O330" s="15"/>
      <c r="P330" s="28"/>
      <c r="Q330" s="16"/>
      <c r="R330" s="19"/>
      <c r="S330" s="42">
        <f t="shared" ref="S330:S338" si="279">SUM(O330:R330)</f>
        <v>0</v>
      </c>
      <c r="T330" s="15"/>
      <c r="U330" s="28"/>
      <c r="V330" s="16"/>
      <c r="W330" s="31"/>
      <c r="X330" s="9">
        <f t="shared" ref="X330:X338" si="280">SUM(T330:W330)</f>
        <v>0</v>
      </c>
      <c r="Y330" s="94">
        <f t="shared" ref="Y330:Y338" si="281">S330+X330</f>
        <v>0</v>
      </c>
    </row>
    <row r="331" spans="1:27" x14ac:dyDescent="0.15">
      <c r="A331" s="44" t="s">
        <v>27</v>
      </c>
      <c r="B331" s="15"/>
      <c r="C331" s="28"/>
      <c r="D331" s="16"/>
      <c r="E331" s="19"/>
      <c r="F331" s="42">
        <f t="shared" si="271"/>
        <v>0</v>
      </c>
      <c r="G331" s="15"/>
      <c r="H331" s="28">
        <v>1</v>
      </c>
      <c r="I331" s="16"/>
      <c r="J331" s="31"/>
      <c r="K331" s="79">
        <f t="shared" si="272"/>
        <v>1</v>
      </c>
      <c r="L331" s="94">
        <f t="shared" si="273"/>
        <v>1</v>
      </c>
      <c r="M331" s="105">
        <v>45974</v>
      </c>
      <c r="N331" s="44"/>
      <c r="O331" s="15"/>
      <c r="P331" s="28"/>
      <c r="Q331" s="16"/>
      <c r="R331" s="19"/>
      <c r="S331" s="42">
        <f t="shared" si="279"/>
        <v>0</v>
      </c>
      <c r="T331" s="15"/>
      <c r="U331" s="28"/>
      <c r="V331" s="16"/>
      <c r="W331" s="31"/>
      <c r="X331" s="9">
        <f t="shared" si="280"/>
        <v>0</v>
      </c>
      <c r="Y331" s="94">
        <f t="shared" si="281"/>
        <v>0</v>
      </c>
    </row>
    <row r="332" spans="1:27" x14ac:dyDescent="0.15">
      <c r="A332" s="44" t="s">
        <v>27</v>
      </c>
      <c r="B332" s="15"/>
      <c r="C332" s="28"/>
      <c r="D332" s="16"/>
      <c r="E332" s="19"/>
      <c r="F332" s="42">
        <f t="shared" si="271"/>
        <v>0</v>
      </c>
      <c r="G332" s="15"/>
      <c r="H332" s="28"/>
      <c r="I332" s="16"/>
      <c r="J332" s="31">
        <v>2</v>
      </c>
      <c r="K332" s="79">
        <f>SUM(G332:J332)</f>
        <v>2</v>
      </c>
      <c r="L332" s="94">
        <f t="shared" si="273"/>
        <v>2</v>
      </c>
      <c r="M332" s="105">
        <v>45978</v>
      </c>
      <c r="N332" s="44"/>
      <c r="O332" s="15"/>
      <c r="P332" s="28"/>
      <c r="Q332" s="16"/>
      <c r="R332" s="19"/>
      <c r="S332" s="42">
        <f t="shared" si="279"/>
        <v>0</v>
      </c>
      <c r="T332" s="15"/>
      <c r="U332" s="28"/>
      <c r="V332" s="16"/>
      <c r="W332" s="31"/>
      <c r="X332" s="9">
        <f t="shared" si="280"/>
        <v>0</v>
      </c>
      <c r="Y332" s="94">
        <f t="shared" si="281"/>
        <v>0</v>
      </c>
    </row>
    <row r="333" spans="1:27" x14ac:dyDescent="0.15">
      <c r="A333" s="44" t="s">
        <v>119</v>
      </c>
      <c r="B333" s="15"/>
      <c r="C333" s="28"/>
      <c r="D333" s="16"/>
      <c r="E333" s="19"/>
      <c r="F333" s="42">
        <f t="shared" si="271"/>
        <v>0</v>
      </c>
      <c r="G333" s="15"/>
      <c r="H333" s="16"/>
      <c r="I333" s="28"/>
      <c r="J333" s="53">
        <v>-1</v>
      </c>
      <c r="K333" s="79">
        <f t="shared" ref="K333:K339" si="282">SUM(G333:J333)</f>
        <v>-1</v>
      </c>
      <c r="L333" s="94">
        <f t="shared" si="273"/>
        <v>-1</v>
      </c>
      <c r="M333" s="105">
        <v>45979</v>
      </c>
      <c r="N333" s="44"/>
      <c r="O333" s="15"/>
      <c r="P333" s="28"/>
      <c r="Q333" s="16"/>
      <c r="R333" s="19"/>
      <c r="S333" s="42">
        <f t="shared" si="279"/>
        <v>0</v>
      </c>
      <c r="T333" s="15"/>
      <c r="U333" s="28"/>
      <c r="V333" s="16"/>
      <c r="W333" s="31"/>
      <c r="X333" s="9">
        <f t="shared" si="280"/>
        <v>0</v>
      </c>
      <c r="Y333" s="94">
        <f t="shared" si="281"/>
        <v>0</v>
      </c>
    </row>
    <row r="334" spans="1:27" x14ac:dyDescent="0.15">
      <c r="A334" s="44" t="s">
        <v>27</v>
      </c>
      <c r="B334" s="15"/>
      <c r="C334" s="28"/>
      <c r="D334" s="16">
        <v>1</v>
      </c>
      <c r="E334" s="19"/>
      <c r="F334" s="42">
        <f t="shared" si="271"/>
        <v>1</v>
      </c>
      <c r="G334" s="15"/>
      <c r="H334" s="28"/>
      <c r="I334" s="16">
        <v>1</v>
      </c>
      <c r="J334" s="31">
        <v>1</v>
      </c>
      <c r="K334" s="79">
        <f t="shared" si="282"/>
        <v>2</v>
      </c>
      <c r="L334" s="94">
        <f t="shared" si="273"/>
        <v>3</v>
      </c>
      <c r="M334" s="105">
        <v>45982</v>
      </c>
      <c r="N334" s="44"/>
      <c r="O334" s="15"/>
      <c r="P334" s="28"/>
      <c r="Q334" s="16"/>
      <c r="R334" s="19"/>
      <c r="S334" s="42">
        <f t="shared" si="279"/>
        <v>0</v>
      </c>
      <c r="T334" s="15"/>
      <c r="U334" s="28"/>
      <c r="V334" s="16"/>
      <c r="W334" s="31"/>
      <c r="X334" s="9">
        <f t="shared" si="280"/>
        <v>0</v>
      </c>
      <c r="Y334" s="94">
        <f t="shared" si="281"/>
        <v>0</v>
      </c>
    </row>
    <row r="335" spans="1:27" x14ac:dyDescent="0.15">
      <c r="A335" s="44" t="s">
        <v>27</v>
      </c>
      <c r="B335" s="15"/>
      <c r="C335" s="28"/>
      <c r="D335" s="16">
        <v>1</v>
      </c>
      <c r="E335" s="19">
        <v>1</v>
      </c>
      <c r="F335" s="42">
        <f t="shared" si="271"/>
        <v>2</v>
      </c>
      <c r="G335" s="38"/>
      <c r="H335" s="39"/>
      <c r="I335" s="40">
        <v>4</v>
      </c>
      <c r="J335" s="52">
        <v>1</v>
      </c>
      <c r="K335" s="83">
        <f t="shared" si="282"/>
        <v>5</v>
      </c>
      <c r="L335" s="94">
        <f t="shared" si="273"/>
        <v>7</v>
      </c>
      <c r="M335" s="105">
        <v>45986</v>
      </c>
      <c r="N335" s="44"/>
      <c r="O335" s="15"/>
      <c r="P335" s="28"/>
      <c r="Q335" s="16"/>
      <c r="R335" s="19"/>
      <c r="S335" s="42">
        <f t="shared" si="279"/>
        <v>0</v>
      </c>
      <c r="T335" s="15"/>
      <c r="U335" s="28"/>
      <c r="V335" s="16"/>
      <c r="W335" s="31"/>
      <c r="X335" s="9">
        <f t="shared" si="280"/>
        <v>0</v>
      </c>
      <c r="Y335" s="94">
        <f t="shared" si="281"/>
        <v>0</v>
      </c>
    </row>
    <row r="336" spans="1:27" x14ac:dyDescent="0.15">
      <c r="A336" s="44" t="s">
        <v>258</v>
      </c>
      <c r="B336" s="15"/>
      <c r="C336" s="28"/>
      <c r="D336" s="16">
        <v>-3</v>
      </c>
      <c r="E336" s="19"/>
      <c r="F336" s="42">
        <f t="shared" si="271"/>
        <v>-3</v>
      </c>
      <c r="G336" s="15"/>
      <c r="H336" s="28"/>
      <c r="I336" s="16">
        <v>-5</v>
      </c>
      <c r="J336" s="31"/>
      <c r="K336" s="79">
        <f t="shared" si="282"/>
        <v>-5</v>
      </c>
      <c r="L336" s="94">
        <f t="shared" si="273"/>
        <v>-8</v>
      </c>
      <c r="M336" s="104">
        <v>45987</v>
      </c>
      <c r="N336" s="44"/>
      <c r="O336" s="15"/>
      <c r="P336" s="28"/>
      <c r="Q336" s="16"/>
      <c r="R336" s="19"/>
      <c r="S336" s="42">
        <f t="shared" si="279"/>
        <v>0</v>
      </c>
      <c r="T336" s="15"/>
      <c r="U336" s="28"/>
      <c r="V336" s="16"/>
      <c r="W336" s="31"/>
      <c r="X336" s="9">
        <f t="shared" si="280"/>
        <v>0</v>
      </c>
      <c r="Y336" s="94">
        <f t="shared" si="281"/>
        <v>0</v>
      </c>
      <c r="AA336" s="46"/>
    </row>
    <row r="337" spans="1:27" x14ac:dyDescent="0.15">
      <c r="A337" s="44" t="s">
        <v>27</v>
      </c>
      <c r="B337" s="15"/>
      <c r="C337" s="28"/>
      <c r="D337" s="16"/>
      <c r="E337" s="19"/>
      <c r="F337" s="42">
        <f t="shared" si="271"/>
        <v>0</v>
      </c>
      <c r="G337" s="15"/>
      <c r="H337" s="28"/>
      <c r="I337" s="16">
        <v>1</v>
      </c>
      <c r="J337" s="31"/>
      <c r="K337" s="79">
        <f t="shared" si="282"/>
        <v>1</v>
      </c>
      <c r="L337" s="94">
        <f t="shared" si="273"/>
        <v>1</v>
      </c>
      <c r="M337" s="105">
        <v>45987</v>
      </c>
      <c r="N337" s="44"/>
      <c r="O337" s="15"/>
      <c r="P337" s="28"/>
      <c r="Q337" s="16"/>
      <c r="R337" s="19"/>
      <c r="S337" s="42">
        <f t="shared" si="279"/>
        <v>0</v>
      </c>
      <c r="T337" s="15"/>
      <c r="U337" s="28"/>
      <c r="V337" s="16"/>
      <c r="W337" s="31"/>
      <c r="X337" s="9">
        <f t="shared" si="280"/>
        <v>0</v>
      </c>
      <c r="Y337" s="94">
        <f t="shared" si="281"/>
        <v>0</v>
      </c>
    </row>
    <row r="338" spans="1:27" ht="14.25" thickBot="1" x14ac:dyDescent="0.2">
      <c r="A338" s="44" t="s">
        <v>27</v>
      </c>
      <c r="B338" s="34"/>
      <c r="C338" s="35"/>
      <c r="D338" s="36"/>
      <c r="E338" s="37"/>
      <c r="F338" s="42">
        <f t="shared" si="271"/>
        <v>0</v>
      </c>
      <c r="G338" s="34"/>
      <c r="H338" s="36"/>
      <c r="I338" s="35">
        <v>1</v>
      </c>
      <c r="J338" s="64"/>
      <c r="K338" s="80">
        <f t="shared" si="282"/>
        <v>1</v>
      </c>
      <c r="L338" s="106">
        <f t="shared" si="273"/>
        <v>1</v>
      </c>
      <c r="M338" s="105">
        <v>45989</v>
      </c>
      <c r="N338" s="146"/>
      <c r="O338" s="34"/>
      <c r="P338" s="35"/>
      <c r="Q338" s="36"/>
      <c r="R338" s="37"/>
      <c r="S338" s="43">
        <f t="shared" si="279"/>
        <v>0</v>
      </c>
      <c r="T338" s="34"/>
      <c r="U338" s="35"/>
      <c r="V338" s="36"/>
      <c r="W338" s="63"/>
      <c r="X338" s="10">
        <f t="shared" si="280"/>
        <v>0</v>
      </c>
      <c r="Y338" s="142">
        <f t="shared" si="281"/>
        <v>0</v>
      </c>
    </row>
    <row r="339" spans="1:27" ht="14.25" thickBot="1" x14ac:dyDescent="0.2">
      <c r="A339" s="12" t="s">
        <v>8</v>
      </c>
      <c r="B339" s="21">
        <f>SUM(B314:B338)</f>
        <v>2</v>
      </c>
      <c r="C339" s="29">
        <f>SUM(C314:C338)</f>
        <v>2</v>
      </c>
      <c r="D339" s="22">
        <f>SUM(D314:D338)</f>
        <v>-1</v>
      </c>
      <c r="E339" s="23">
        <f>SUM(E314:E338)</f>
        <v>-1</v>
      </c>
      <c r="F339" s="20">
        <f>SUM(B339:E339)</f>
        <v>2</v>
      </c>
      <c r="G339" s="21">
        <f>SUM(G314:G338)</f>
        <v>2</v>
      </c>
      <c r="H339" s="29">
        <f>SUM(H314:H338)</f>
        <v>1</v>
      </c>
      <c r="I339" s="22">
        <f>SUM(I314:I338)</f>
        <v>6</v>
      </c>
      <c r="J339" s="23">
        <f>SUM(J314:J338)</f>
        <v>7</v>
      </c>
      <c r="K339" s="81">
        <f t="shared" si="282"/>
        <v>16</v>
      </c>
      <c r="L339" s="107">
        <f t="shared" si="273"/>
        <v>18</v>
      </c>
      <c r="N339" s="110" t="s">
        <v>8</v>
      </c>
      <c r="O339" s="21">
        <f>SUM(O314:O338)</f>
        <v>0</v>
      </c>
      <c r="P339" s="29">
        <f>SUM(P314:P338)</f>
        <v>10</v>
      </c>
      <c r="Q339" s="22">
        <f>SUM(Q314:Q338)</f>
        <v>8</v>
      </c>
      <c r="R339" s="23">
        <f>SUM(R314:R338)</f>
        <v>4</v>
      </c>
      <c r="S339" s="45">
        <f>SUM(O339:R339)</f>
        <v>22</v>
      </c>
      <c r="T339" s="21">
        <f>SUM(T314:T338)</f>
        <v>0</v>
      </c>
      <c r="U339" s="29">
        <f>SUM(U314:U338)</f>
        <v>6</v>
      </c>
      <c r="V339" s="22">
        <f>SUM(V314:V338)</f>
        <v>15</v>
      </c>
      <c r="W339" s="23">
        <f>SUM(W314:W338)</f>
        <v>15</v>
      </c>
      <c r="X339" s="45">
        <f t="shared" ref="X339" si="283">SUM(T339:W339)</f>
        <v>36</v>
      </c>
      <c r="Y339" s="111">
        <f t="shared" si="276"/>
        <v>58</v>
      </c>
    </row>
    <row r="340" spans="1:27" ht="14.25" thickBot="1" x14ac:dyDescent="0.2">
      <c r="A340" s="13" t="s">
        <v>9</v>
      </c>
      <c r="B340" s="24">
        <f t="shared" ref="B340:K340" si="284">B313-B339</f>
        <v>5</v>
      </c>
      <c r="C340" s="30">
        <f t="shared" si="284"/>
        <v>4</v>
      </c>
      <c r="D340" s="25">
        <f t="shared" si="284"/>
        <v>5</v>
      </c>
      <c r="E340" s="26">
        <f t="shared" si="284"/>
        <v>7</v>
      </c>
      <c r="F340" s="71">
        <f t="shared" si="284"/>
        <v>21</v>
      </c>
      <c r="G340" s="24">
        <f t="shared" si="284"/>
        <v>4</v>
      </c>
      <c r="H340" s="30">
        <f t="shared" si="284"/>
        <v>5</v>
      </c>
      <c r="I340" s="25">
        <f t="shared" si="284"/>
        <v>3</v>
      </c>
      <c r="J340" s="26">
        <f t="shared" si="284"/>
        <v>3</v>
      </c>
      <c r="K340" s="82">
        <f t="shared" si="284"/>
        <v>15</v>
      </c>
      <c r="L340" s="86">
        <f t="shared" si="273"/>
        <v>36</v>
      </c>
      <c r="N340" s="13" t="s">
        <v>9</v>
      </c>
      <c r="O340" s="24">
        <f t="shared" ref="O340:X340" si="285">O313-O339</f>
        <v>98</v>
      </c>
      <c r="P340" s="30">
        <f t="shared" si="285"/>
        <v>93</v>
      </c>
      <c r="Q340" s="25">
        <f t="shared" si="285"/>
        <v>119</v>
      </c>
      <c r="R340" s="26">
        <f t="shared" si="285"/>
        <v>80</v>
      </c>
      <c r="S340" s="71">
        <f t="shared" si="285"/>
        <v>390</v>
      </c>
      <c r="T340" s="24">
        <f t="shared" si="285"/>
        <v>98</v>
      </c>
      <c r="U340" s="30">
        <f t="shared" si="285"/>
        <v>83</v>
      </c>
      <c r="V340" s="25">
        <f t="shared" si="285"/>
        <v>124</v>
      </c>
      <c r="W340" s="26">
        <f t="shared" si="285"/>
        <v>47</v>
      </c>
      <c r="X340" s="33">
        <f t="shared" si="285"/>
        <v>352</v>
      </c>
      <c r="Y340" s="86">
        <f t="shared" si="276"/>
        <v>742</v>
      </c>
    </row>
    <row r="341" spans="1:27" x14ac:dyDescent="0.15">
      <c r="N341" s="143" t="s">
        <v>261</v>
      </c>
      <c r="O341" s="46">
        <f>O339+O301+O263+O225+O189</f>
        <v>108</v>
      </c>
      <c r="P341" s="46">
        <f t="shared" ref="P341:Y341" si="286">P339+P301+P263+P225+P189</f>
        <v>182</v>
      </c>
      <c r="Q341" s="46">
        <f t="shared" si="286"/>
        <v>188</v>
      </c>
      <c r="R341" s="46">
        <f t="shared" si="286"/>
        <v>170</v>
      </c>
      <c r="S341" s="46">
        <f t="shared" si="286"/>
        <v>648</v>
      </c>
      <c r="T341" s="46">
        <f t="shared" si="286"/>
        <v>108</v>
      </c>
      <c r="U341" s="46">
        <f t="shared" si="286"/>
        <v>204</v>
      </c>
      <c r="V341" s="46">
        <f t="shared" si="286"/>
        <v>190</v>
      </c>
      <c r="W341" s="46">
        <f t="shared" si="286"/>
        <v>252</v>
      </c>
      <c r="X341" s="46">
        <f t="shared" si="286"/>
        <v>754</v>
      </c>
      <c r="Y341" s="46">
        <f t="shared" si="286"/>
        <v>1402</v>
      </c>
    </row>
    <row r="342" spans="1:27" x14ac:dyDescent="0.15">
      <c r="N342" s="154" t="s">
        <v>145</v>
      </c>
      <c r="O342" s="145">
        <f>O341/$S$341*100</f>
        <v>16.666666666666664</v>
      </c>
      <c r="P342" s="145">
        <f t="shared" ref="P342:S342" si="287">P341/$S$341*100</f>
        <v>28.086419753086421</v>
      </c>
      <c r="Q342" s="145">
        <f t="shared" si="287"/>
        <v>29.012345679012348</v>
      </c>
      <c r="R342" s="145">
        <f t="shared" si="287"/>
        <v>26.234567901234566</v>
      </c>
      <c r="S342" s="145">
        <f t="shared" si="287"/>
        <v>100</v>
      </c>
      <c r="T342" s="145">
        <f>T341/$X$341*100</f>
        <v>14.323607427055704</v>
      </c>
      <c r="U342" s="145">
        <f t="shared" ref="U342:X342" si="288">U341/$X$341*100</f>
        <v>27.055702917771885</v>
      </c>
      <c r="V342" s="145">
        <f t="shared" si="288"/>
        <v>25.198938992042443</v>
      </c>
      <c r="W342" s="145">
        <f t="shared" si="288"/>
        <v>33.42175066312997</v>
      </c>
      <c r="X342" s="145">
        <f t="shared" si="288"/>
        <v>100</v>
      </c>
    </row>
    <row r="343" spans="1:27" ht="19.5" thickBot="1" x14ac:dyDescent="0.25">
      <c r="A343" s="2" t="s">
        <v>15</v>
      </c>
      <c r="B343" s="2"/>
      <c r="C343" s="1"/>
      <c r="D343" s="1"/>
      <c r="E343" s="1"/>
      <c r="G343" s="72"/>
      <c r="H343" s="1"/>
      <c r="I343" s="1"/>
      <c r="J343" s="1"/>
      <c r="K343" s="72" t="s">
        <v>12</v>
      </c>
      <c r="N343" s="2" t="s">
        <v>16</v>
      </c>
      <c r="O343" s="2"/>
      <c r="P343" s="1"/>
      <c r="Q343" s="1"/>
      <c r="R343" s="1"/>
      <c r="T343" s="72" t="s">
        <v>257</v>
      </c>
      <c r="U343" s="1"/>
      <c r="V343" s="1"/>
      <c r="W343" s="1"/>
      <c r="X343" s="72"/>
    </row>
    <row r="344" spans="1:27" ht="14.25" thickBot="1" x14ac:dyDescent="0.2">
      <c r="A344" s="5" t="s">
        <v>0</v>
      </c>
      <c r="B344" s="245" t="s">
        <v>34</v>
      </c>
      <c r="C344" s="246"/>
      <c r="D344" s="246"/>
      <c r="E344" s="246"/>
      <c r="F344" s="247"/>
      <c r="G344" s="248" t="s">
        <v>35</v>
      </c>
      <c r="H344" s="249"/>
      <c r="I344" s="249"/>
      <c r="J344" s="249"/>
      <c r="K344" s="249"/>
      <c r="L344" s="243" t="s">
        <v>14</v>
      </c>
      <c r="N344" s="5" t="s">
        <v>0</v>
      </c>
      <c r="O344" s="245" t="s">
        <v>58</v>
      </c>
      <c r="P344" s="246"/>
      <c r="Q344" s="246"/>
      <c r="R344" s="246"/>
      <c r="S344" s="247"/>
      <c r="T344" s="248" t="s">
        <v>59</v>
      </c>
      <c r="U344" s="249"/>
      <c r="V344" s="249"/>
      <c r="W344" s="249"/>
      <c r="X344" s="249"/>
      <c r="Y344" s="243" t="s">
        <v>14</v>
      </c>
    </row>
    <row r="345" spans="1:27" ht="14.25" thickBot="1" x14ac:dyDescent="0.2">
      <c r="A345" s="5" t="s">
        <v>1</v>
      </c>
      <c r="B345" s="3" t="s">
        <v>17</v>
      </c>
      <c r="C345" s="27" t="s">
        <v>18</v>
      </c>
      <c r="D345" s="4" t="s">
        <v>19</v>
      </c>
      <c r="E345" s="14" t="s">
        <v>20</v>
      </c>
      <c r="F345" s="18" t="s">
        <v>2</v>
      </c>
      <c r="G345" s="3" t="s">
        <v>17</v>
      </c>
      <c r="H345" s="27" t="s">
        <v>18</v>
      </c>
      <c r="I345" s="4" t="s">
        <v>19</v>
      </c>
      <c r="J345" s="14" t="s">
        <v>20</v>
      </c>
      <c r="K345" s="73" t="s">
        <v>2</v>
      </c>
      <c r="L345" s="244"/>
      <c r="N345" s="5" t="s">
        <v>1</v>
      </c>
      <c r="O345" s="3" t="s">
        <v>17</v>
      </c>
      <c r="P345" s="27" t="s">
        <v>18</v>
      </c>
      <c r="Q345" s="4" t="s">
        <v>19</v>
      </c>
      <c r="R345" s="14" t="s">
        <v>20</v>
      </c>
      <c r="S345" s="18" t="s">
        <v>2</v>
      </c>
      <c r="T345" s="3" t="s">
        <v>17</v>
      </c>
      <c r="U345" s="27" t="s">
        <v>18</v>
      </c>
      <c r="V345" s="4" t="s">
        <v>19</v>
      </c>
      <c r="W345" s="14" t="s">
        <v>20</v>
      </c>
      <c r="X345" s="18" t="s">
        <v>2</v>
      </c>
      <c r="Y345" s="244"/>
    </row>
    <row r="346" spans="1:27" x14ac:dyDescent="0.15">
      <c r="A346" s="66" t="s">
        <v>10</v>
      </c>
      <c r="B346" s="67">
        <f>B340</f>
        <v>5</v>
      </c>
      <c r="C346" s="68">
        <f>C340</f>
        <v>4</v>
      </c>
      <c r="D346" s="68">
        <f>D340</f>
        <v>5</v>
      </c>
      <c r="E346" s="69">
        <f>E340</f>
        <v>7</v>
      </c>
      <c r="F346" s="70">
        <f>SUM(B346:E346)</f>
        <v>21</v>
      </c>
      <c r="G346" s="67">
        <f>G340</f>
        <v>4</v>
      </c>
      <c r="H346" s="68">
        <f>H340</f>
        <v>5</v>
      </c>
      <c r="I346" s="68">
        <f>I340</f>
        <v>3</v>
      </c>
      <c r="J346" s="69">
        <f>J340</f>
        <v>3</v>
      </c>
      <c r="K346" s="74">
        <f>SUM(G346:J346)</f>
        <v>15</v>
      </c>
      <c r="L346" s="84">
        <f>F346+K346</f>
        <v>36</v>
      </c>
      <c r="N346" s="66" t="s">
        <v>10</v>
      </c>
      <c r="O346" s="67">
        <f>O340</f>
        <v>98</v>
      </c>
      <c r="P346" s="68">
        <f>P340</f>
        <v>93</v>
      </c>
      <c r="Q346" s="68">
        <f>Q340</f>
        <v>119</v>
      </c>
      <c r="R346" s="69">
        <f>R340</f>
        <v>80</v>
      </c>
      <c r="S346" s="70">
        <f>SUM(O346:R346)</f>
        <v>390</v>
      </c>
      <c r="T346" s="67">
        <f>T340</f>
        <v>98</v>
      </c>
      <c r="U346" s="68">
        <f>U340</f>
        <v>83</v>
      </c>
      <c r="V346" s="68">
        <f>V340</f>
        <v>124</v>
      </c>
      <c r="W346" s="87">
        <f>W340</f>
        <v>47</v>
      </c>
      <c r="X346" s="88">
        <f>SUM(T346:W346)</f>
        <v>352</v>
      </c>
      <c r="Y346" s="84">
        <f>S346+X346</f>
        <v>742</v>
      </c>
    </row>
    <row r="347" spans="1:27" x14ac:dyDescent="0.15">
      <c r="A347" s="193" t="s">
        <v>3</v>
      </c>
      <c r="B347" s="209"/>
      <c r="C347" s="210"/>
      <c r="D347" s="211"/>
      <c r="E347" s="212"/>
      <c r="F347" s="213">
        <f>SUM(B347:E347)</f>
        <v>0</v>
      </c>
      <c r="G347" s="214"/>
      <c r="H347" s="215"/>
      <c r="I347" s="216">
        <v>3</v>
      </c>
      <c r="J347" s="217">
        <v>3</v>
      </c>
      <c r="K347" s="218">
        <f>SUM(G347:J347)</f>
        <v>6</v>
      </c>
      <c r="L347" s="179">
        <f t="shared" ref="L347:L350" si="289">F347+K347</f>
        <v>6</v>
      </c>
      <c r="M347" s="180">
        <v>45995</v>
      </c>
      <c r="N347" s="44" t="s">
        <v>3</v>
      </c>
      <c r="O347" s="47"/>
      <c r="P347" s="48"/>
      <c r="Q347" s="49"/>
      <c r="R347" s="50"/>
      <c r="S347" s="54">
        <f>SUM(O347:R347)</f>
        <v>0</v>
      </c>
      <c r="T347" s="38"/>
      <c r="U347" s="39"/>
      <c r="V347" s="40"/>
      <c r="W347" s="41">
        <v>70</v>
      </c>
      <c r="X347" s="75">
        <f>SUM(T347:W347)</f>
        <v>70</v>
      </c>
      <c r="Y347" s="94">
        <f t="shared" ref="Y347:Y350" si="290">S347+X347</f>
        <v>70</v>
      </c>
      <c r="Z347" s="104" t="s">
        <v>272</v>
      </c>
    </row>
    <row r="348" spans="1:27" x14ac:dyDescent="0.15">
      <c r="A348" s="44" t="s">
        <v>4</v>
      </c>
      <c r="B348" s="47"/>
      <c r="C348" s="48">
        <v>3</v>
      </c>
      <c r="D348" s="49"/>
      <c r="E348" s="50"/>
      <c r="F348" s="54">
        <f t="shared" ref="F348:F349" si="291">SUM(B348:E348)</f>
        <v>3</v>
      </c>
      <c r="G348" s="38"/>
      <c r="H348" s="39"/>
      <c r="I348" s="40"/>
      <c r="J348" s="41"/>
      <c r="K348" s="75">
        <f t="shared" ref="K348:K349" si="292">SUM(G348:J348)</f>
        <v>0</v>
      </c>
      <c r="L348" s="94">
        <f t="shared" si="289"/>
        <v>3</v>
      </c>
      <c r="M348" s="104">
        <v>45996</v>
      </c>
      <c r="N348" s="11" t="s">
        <v>4</v>
      </c>
      <c r="O348" s="38"/>
      <c r="P348" s="39"/>
      <c r="Q348" s="40"/>
      <c r="R348" s="52"/>
      <c r="S348" s="9">
        <f>SUM(O348:R348)</f>
        <v>0</v>
      </c>
      <c r="T348" s="15"/>
      <c r="U348" s="28"/>
      <c r="V348" s="16"/>
      <c r="W348" s="31"/>
      <c r="X348" s="9">
        <f>SUM(T348:W348)</f>
        <v>0</v>
      </c>
      <c r="Y348" s="126">
        <f t="shared" si="290"/>
        <v>0</v>
      </c>
      <c r="AA348" s="46"/>
    </row>
    <row r="349" spans="1:27" x14ac:dyDescent="0.15">
      <c r="A349" s="44" t="s">
        <v>5</v>
      </c>
      <c r="B349" s="47"/>
      <c r="C349" s="48"/>
      <c r="D349" s="49"/>
      <c r="E349" s="50"/>
      <c r="F349" s="54">
        <f t="shared" si="291"/>
        <v>0</v>
      </c>
      <c r="G349" s="38"/>
      <c r="H349" s="39">
        <v>3</v>
      </c>
      <c r="I349" s="40"/>
      <c r="J349" s="41"/>
      <c r="K349" s="75">
        <f t="shared" si="292"/>
        <v>3</v>
      </c>
      <c r="L349" s="94">
        <f t="shared" si="289"/>
        <v>3</v>
      </c>
      <c r="M349" s="104">
        <v>46001</v>
      </c>
      <c r="N349" s="11" t="s">
        <v>5</v>
      </c>
      <c r="O349" s="38"/>
      <c r="P349" s="39"/>
      <c r="Q349" s="40"/>
      <c r="R349" s="52"/>
      <c r="S349" s="9">
        <f>SUM(O349:R349)</f>
        <v>0</v>
      </c>
      <c r="T349" s="15"/>
      <c r="U349" s="28"/>
      <c r="V349" s="16"/>
      <c r="W349" s="31"/>
      <c r="X349" s="9">
        <f>SUM(T349:W349)</f>
        <v>0</v>
      </c>
      <c r="Y349" s="126">
        <f t="shared" ref="Y349" si="293">S349+X349</f>
        <v>0</v>
      </c>
    </row>
    <row r="350" spans="1:27" ht="14.25" thickBot="1" x14ac:dyDescent="0.2">
      <c r="A350" s="11" t="s">
        <v>6</v>
      </c>
      <c r="B350" s="6"/>
      <c r="C350" s="17"/>
      <c r="D350" s="7"/>
      <c r="E350" s="8"/>
      <c r="F350" s="10">
        <f>SUM(B350:E350)</f>
        <v>0</v>
      </c>
      <c r="G350" s="34"/>
      <c r="H350" s="35"/>
      <c r="I350" s="36">
        <v>3</v>
      </c>
      <c r="J350" s="37">
        <v>3</v>
      </c>
      <c r="K350" s="77">
        <f>SUM(G350:J350)</f>
        <v>6</v>
      </c>
      <c r="L350" s="94">
        <f t="shared" si="289"/>
        <v>6</v>
      </c>
      <c r="M350" s="104">
        <v>46011</v>
      </c>
      <c r="N350" s="11" t="s">
        <v>6</v>
      </c>
      <c r="O350" s="38"/>
      <c r="P350" s="39"/>
      <c r="Q350" s="40"/>
      <c r="R350" s="52"/>
      <c r="S350" s="45">
        <f>SUM(O350:R350)</f>
        <v>0</v>
      </c>
      <c r="T350" s="122"/>
      <c r="U350" s="123"/>
      <c r="V350" s="124"/>
      <c r="W350" s="125"/>
      <c r="X350" s="45">
        <f>SUM(T350:W350)</f>
        <v>0</v>
      </c>
      <c r="Y350" s="94">
        <f t="shared" si="290"/>
        <v>0</v>
      </c>
    </row>
    <row r="351" spans="1:27" ht="14.25" thickBot="1" x14ac:dyDescent="0.2">
      <c r="A351" s="13" t="s">
        <v>7</v>
      </c>
      <c r="B351" s="55">
        <f t="shared" ref="B351:K351" si="294">SUM(B346:B350)</f>
        <v>5</v>
      </c>
      <c r="C351" s="56">
        <f t="shared" si="294"/>
        <v>7</v>
      </c>
      <c r="D351" s="57">
        <f t="shared" si="294"/>
        <v>5</v>
      </c>
      <c r="E351" s="58">
        <f t="shared" si="294"/>
        <v>7</v>
      </c>
      <c r="F351" s="59">
        <f t="shared" si="294"/>
        <v>24</v>
      </c>
      <c r="G351" s="24">
        <f t="shared" si="294"/>
        <v>4</v>
      </c>
      <c r="H351" s="30">
        <f t="shared" si="294"/>
        <v>8</v>
      </c>
      <c r="I351" s="25">
        <f t="shared" si="294"/>
        <v>9</v>
      </c>
      <c r="J351" s="60">
        <f t="shared" si="294"/>
        <v>9</v>
      </c>
      <c r="K351" s="78">
        <f t="shared" si="294"/>
        <v>30</v>
      </c>
      <c r="L351" s="85">
        <f>F351+K351</f>
        <v>54</v>
      </c>
      <c r="N351" s="13" t="s">
        <v>7</v>
      </c>
      <c r="O351" s="55">
        <f t="shared" ref="O351:X351" si="295">SUM(O346:O350)</f>
        <v>98</v>
      </c>
      <c r="P351" s="56">
        <f t="shared" si="295"/>
        <v>93</v>
      </c>
      <c r="Q351" s="57">
        <f t="shared" si="295"/>
        <v>119</v>
      </c>
      <c r="R351" s="58">
        <f t="shared" si="295"/>
        <v>80</v>
      </c>
      <c r="S351" s="59">
        <f t="shared" si="295"/>
        <v>390</v>
      </c>
      <c r="T351" s="24">
        <f t="shared" si="295"/>
        <v>98</v>
      </c>
      <c r="U351" s="30">
        <f t="shared" si="295"/>
        <v>83</v>
      </c>
      <c r="V351" s="25">
        <f t="shared" si="295"/>
        <v>124</v>
      </c>
      <c r="W351" s="60">
        <f t="shared" si="295"/>
        <v>117</v>
      </c>
      <c r="X351" s="61">
        <f t="shared" si="295"/>
        <v>422</v>
      </c>
      <c r="Y351" s="85">
        <f>S351+X351</f>
        <v>812</v>
      </c>
    </row>
    <row r="352" spans="1:27" x14ac:dyDescent="0.15">
      <c r="A352" s="44" t="s">
        <v>27</v>
      </c>
      <c r="B352" s="15"/>
      <c r="C352" s="28">
        <v>1</v>
      </c>
      <c r="D352" s="16"/>
      <c r="E352" s="19"/>
      <c r="F352" s="42">
        <f t="shared" ref="F352:F376" si="296">SUM(B352:E352)</f>
        <v>1</v>
      </c>
      <c r="G352" s="15"/>
      <c r="H352" s="28">
        <v>1</v>
      </c>
      <c r="I352" s="16"/>
      <c r="J352" s="31"/>
      <c r="K352" s="79">
        <f t="shared" ref="K352:K369" si="297">SUM(G352:J352)</f>
        <v>1</v>
      </c>
      <c r="L352" s="94">
        <f t="shared" ref="L352:L378" si="298">F352+K352</f>
        <v>2</v>
      </c>
      <c r="M352" s="105">
        <v>45990</v>
      </c>
      <c r="N352" s="121" t="s">
        <v>262</v>
      </c>
      <c r="O352" s="15"/>
      <c r="P352" s="28"/>
      <c r="Q352" s="16"/>
      <c r="R352" s="19">
        <v>1</v>
      </c>
      <c r="S352" s="42">
        <f t="shared" ref="S352:S369" si="299">SUM(O352:R352)</f>
        <v>1</v>
      </c>
      <c r="T352" s="15"/>
      <c r="U352" s="28"/>
      <c r="V352" s="16">
        <v>8</v>
      </c>
      <c r="W352" s="31"/>
      <c r="X352" s="9">
        <f t="shared" ref="X352:X357" si="300">SUM(T352:W352)</f>
        <v>8</v>
      </c>
      <c r="Y352" s="94">
        <f>S352+X352</f>
        <v>9</v>
      </c>
      <c r="Z352" s="104">
        <v>45994</v>
      </c>
      <c r="AA352" s="109"/>
    </row>
    <row r="353" spans="1:27" x14ac:dyDescent="0.15">
      <c r="A353" s="44" t="s">
        <v>27</v>
      </c>
      <c r="B353" s="15"/>
      <c r="C353" s="28"/>
      <c r="D353" s="16"/>
      <c r="E353" s="19">
        <v>1</v>
      </c>
      <c r="F353" s="42">
        <f t="shared" si="296"/>
        <v>1</v>
      </c>
      <c r="G353" s="15"/>
      <c r="H353" s="28"/>
      <c r="I353" s="16"/>
      <c r="J353" s="31">
        <v>1</v>
      </c>
      <c r="K353" s="79">
        <f t="shared" si="297"/>
        <v>1</v>
      </c>
      <c r="L353" s="94">
        <f t="shared" si="298"/>
        <v>2</v>
      </c>
      <c r="M353" s="105">
        <v>45992</v>
      </c>
      <c r="N353" s="121" t="s">
        <v>263</v>
      </c>
      <c r="O353" s="15"/>
      <c r="P353" s="28"/>
      <c r="Q353" s="16">
        <v>2</v>
      </c>
      <c r="R353" s="19">
        <v>2</v>
      </c>
      <c r="S353" s="42">
        <f t="shared" si="299"/>
        <v>4</v>
      </c>
      <c r="T353" s="15"/>
      <c r="U353" s="28"/>
      <c r="V353" s="16"/>
      <c r="W353" s="31"/>
      <c r="X353" s="9">
        <f t="shared" si="300"/>
        <v>0</v>
      </c>
      <c r="Y353" s="94">
        <f>S353+X353</f>
        <v>4</v>
      </c>
      <c r="Z353" s="104">
        <v>45994</v>
      </c>
      <c r="AA353" s="109"/>
    </row>
    <row r="354" spans="1:27" x14ac:dyDescent="0.15">
      <c r="A354" s="44" t="s">
        <v>27</v>
      </c>
      <c r="B354" s="15"/>
      <c r="C354" s="28"/>
      <c r="D354" s="16"/>
      <c r="E354" s="19">
        <v>1</v>
      </c>
      <c r="F354" s="42">
        <f t="shared" si="296"/>
        <v>1</v>
      </c>
      <c r="G354" s="15"/>
      <c r="H354" s="28"/>
      <c r="I354" s="16">
        <v>1</v>
      </c>
      <c r="J354" s="31"/>
      <c r="K354" s="79">
        <f t="shared" si="297"/>
        <v>1</v>
      </c>
      <c r="L354" s="94">
        <f t="shared" si="298"/>
        <v>2</v>
      </c>
      <c r="M354" s="105">
        <v>45993</v>
      </c>
      <c r="N354" s="121" t="s">
        <v>265</v>
      </c>
      <c r="O354" s="15"/>
      <c r="P354" s="28">
        <v>1</v>
      </c>
      <c r="Q354" s="16"/>
      <c r="R354" s="19"/>
      <c r="S354" s="42">
        <f t="shared" si="299"/>
        <v>1</v>
      </c>
      <c r="T354" s="15"/>
      <c r="U354" s="28"/>
      <c r="V354" s="16"/>
      <c r="W354" s="31"/>
      <c r="X354" s="9">
        <f t="shared" si="300"/>
        <v>0</v>
      </c>
      <c r="Y354" s="94">
        <f>S354+X354</f>
        <v>1</v>
      </c>
      <c r="Z354" s="104">
        <v>45995</v>
      </c>
    </row>
    <row r="355" spans="1:27" x14ac:dyDescent="0.15">
      <c r="A355" s="44" t="s">
        <v>27</v>
      </c>
      <c r="B355" s="15"/>
      <c r="C355" s="28">
        <v>1</v>
      </c>
      <c r="D355" s="16"/>
      <c r="E355" s="19"/>
      <c r="F355" s="42">
        <f t="shared" si="296"/>
        <v>1</v>
      </c>
      <c r="G355" s="15"/>
      <c r="H355" s="28"/>
      <c r="I355" s="16"/>
      <c r="J355" s="31"/>
      <c r="K355" s="79">
        <f t="shared" si="297"/>
        <v>0</v>
      </c>
      <c r="L355" s="94">
        <f t="shared" si="298"/>
        <v>1</v>
      </c>
      <c r="M355" s="105">
        <v>45995</v>
      </c>
      <c r="N355" s="193" t="s">
        <v>264</v>
      </c>
      <c r="O355" s="194"/>
      <c r="P355" s="195"/>
      <c r="Q355" s="196"/>
      <c r="R355" s="197"/>
      <c r="S355" s="198">
        <f t="shared" si="299"/>
        <v>0</v>
      </c>
      <c r="T355" s="194"/>
      <c r="U355" s="195"/>
      <c r="V355" s="196">
        <v>3</v>
      </c>
      <c r="W355" s="201">
        <v>3</v>
      </c>
      <c r="X355" s="202">
        <f t="shared" si="300"/>
        <v>6</v>
      </c>
      <c r="Y355" s="179">
        <f t="shared" ref="Y355:Y378" si="301">S355+X355</f>
        <v>6</v>
      </c>
      <c r="Z355" s="180">
        <v>45995</v>
      </c>
    </row>
    <row r="356" spans="1:27" x14ac:dyDescent="0.15">
      <c r="A356" s="44" t="s">
        <v>27</v>
      </c>
      <c r="B356" s="15"/>
      <c r="C356" s="28"/>
      <c r="D356" s="16"/>
      <c r="E356" s="19"/>
      <c r="F356" s="42">
        <f t="shared" si="296"/>
        <v>0</v>
      </c>
      <c r="G356" s="15"/>
      <c r="H356" s="28">
        <v>1</v>
      </c>
      <c r="I356" s="16"/>
      <c r="J356" s="31"/>
      <c r="K356" s="79">
        <f t="shared" si="297"/>
        <v>1</v>
      </c>
      <c r="L356" s="94">
        <f t="shared" si="298"/>
        <v>1</v>
      </c>
      <c r="M356" s="105">
        <v>45997</v>
      </c>
      <c r="N356" s="121" t="s">
        <v>270</v>
      </c>
      <c r="O356" s="15"/>
      <c r="P356" s="28"/>
      <c r="Q356" s="16">
        <v>7</v>
      </c>
      <c r="R356" s="19"/>
      <c r="S356" s="42">
        <f t="shared" si="299"/>
        <v>7</v>
      </c>
      <c r="T356" s="15"/>
      <c r="U356" s="28"/>
      <c r="V356" s="16"/>
      <c r="W356" s="31"/>
      <c r="X356" s="9">
        <f t="shared" si="300"/>
        <v>0</v>
      </c>
      <c r="Y356" s="94">
        <f t="shared" si="301"/>
        <v>7</v>
      </c>
      <c r="Z356" s="104">
        <v>45999</v>
      </c>
    </row>
    <row r="357" spans="1:27" x14ac:dyDescent="0.15">
      <c r="A357" s="44" t="s">
        <v>27</v>
      </c>
      <c r="B357" s="15"/>
      <c r="C357" s="28"/>
      <c r="D357" s="16"/>
      <c r="E357" s="19"/>
      <c r="F357" s="42">
        <f t="shared" si="296"/>
        <v>0</v>
      </c>
      <c r="G357" s="15"/>
      <c r="H357" s="28"/>
      <c r="I357" s="16">
        <v>1</v>
      </c>
      <c r="J357" s="31">
        <v>1</v>
      </c>
      <c r="K357" s="79">
        <f t="shared" si="297"/>
        <v>2</v>
      </c>
      <c r="L357" s="94">
        <f t="shared" si="298"/>
        <v>2</v>
      </c>
      <c r="M357" s="105">
        <v>45999</v>
      </c>
      <c r="N357" s="44" t="s">
        <v>266</v>
      </c>
      <c r="O357" s="15">
        <v>1</v>
      </c>
      <c r="P357" s="28">
        <v>7</v>
      </c>
      <c r="Q357" s="16">
        <v>4</v>
      </c>
      <c r="R357" s="19">
        <v>8</v>
      </c>
      <c r="S357" s="42">
        <f t="shared" si="299"/>
        <v>20</v>
      </c>
      <c r="T357" s="15">
        <v>1</v>
      </c>
      <c r="U357" s="28">
        <v>4</v>
      </c>
      <c r="V357" s="16">
        <v>2</v>
      </c>
      <c r="W357" s="31">
        <v>5</v>
      </c>
      <c r="X357" s="9">
        <f t="shared" si="300"/>
        <v>12</v>
      </c>
      <c r="Y357" s="94">
        <f t="shared" si="301"/>
        <v>32</v>
      </c>
      <c r="Z357" s="104">
        <v>45999</v>
      </c>
    </row>
    <row r="358" spans="1:27" x14ac:dyDescent="0.15">
      <c r="A358" s="44" t="s">
        <v>27</v>
      </c>
      <c r="B358" s="15"/>
      <c r="C358" s="28">
        <v>1</v>
      </c>
      <c r="D358" s="16"/>
      <c r="E358" s="19"/>
      <c r="F358" s="42">
        <f t="shared" si="296"/>
        <v>1</v>
      </c>
      <c r="G358" s="15"/>
      <c r="H358" s="28"/>
      <c r="I358" s="16"/>
      <c r="J358" s="31"/>
      <c r="K358" s="79">
        <f t="shared" si="297"/>
        <v>0</v>
      </c>
      <c r="L358" s="94">
        <f t="shared" si="298"/>
        <v>1</v>
      </c>
      <c r="M358" s="105">
        <v>46000</v>
      </c>
      <c r="N358" s="11" t="s">
        <v>267</v>
      </c>
      <c r="O358" s="15"/>
      <c r="P358" s="28">
        <v>7</v>
      </c>
      <c r="Q358" s="16">
        <v>8</v>
      </c>
      <c r="R358" s="19">
        <v>8</v>
      </c>
      <c r="S358" s="42">
        <f t="shared" si="299"/>
        <v>23</v>
      </c>
      <c r="T358" s="15">
        <v>8</v>
      </c>
      <c r="U358" s="28">
        <v>17</v>
      </c>
      <c r="V358" s="16">
        <v>13</v>
      </c>
      <c r="W358" s="31">
        <v>17</v>
      </c>
      <c r="X358" s="9">
        <f>SUM(T358:W358)</f>
        <v>55</v>
      </c>
      <c r="Y358" s="94">
        <f t="shared" si="301"/>
        <v>78</v>
      </c>
      <c r="Z358" s="104">
        <v>46008</v>
      </c>
    </row>
    <row r="359" spans="1:27" x14ac:dyDescent="0.15">
      <c r="A359" s="44" t="s">
        <v>27</v>
      </c>
      <c r="B359" s="15"/>
      <c r="C359" s="28"/>
      <c r="D359" s="16"/>
      <c r="E359" s="19"/>
      <c r="F359" s="42">
        <f t="shared" si="296"/>
        <v>0</v>
      </c>
      <c r="G359" s="15"/>
      <c r="H359" s="28"/>
      <c r="I359" s="16">
        <v>1</v>
      </c>
      <c r="J359" s="31"/>
      <c r="K359" s="79">
        <f t="shared" si="297"/>
        <v>1</v>
      </c>
      <c r="L359" s="94">
        <f t="shared" si="298"/>
        <v>1</v>
      </c>
      <c r="M359" s="105">
        <v>46001</v>
      </c>
      <c r="N359" s="44" t="s">
        <v>268</v>
      </c>
      <c r="O359" s="15"/>
      <c r="P359" s="28">
        <v>3</v>
      </c>
      <c r="Q359" s="16"/>
      <c r="R359" s="19"/>
      <c r="S359" s="42">
        <f t="shared" si="299"/>
        <v>3</v>
      </c>
      <c r="T359" s="15"/>
      <c r="U359" s="28"/>
      <c r="V359" s="16"/>
      <c r="W359" s="31"/>
      <c r="X359" s="9">
        <f t="shared" ref="X359:X363" si="302">SUM(T359:W359)</f>
        <v>0</v>
      </c>
      <c r="Y359" s="94">
        <f t="shared" si="301"/>
        <v>3</v>
      </c>
      <c r="Z359" s="104">
        <v>45996</v>
      </c>
    </row>
    <row r="360" spans="1:27" x14ac:dyDescent="0.15">
      <c r="A360" s="44" t="s">
        <v>27</v>
      </c>
      <c r="B360" s="15"/>
      <c r="C360" s="28"/>
      <c r="D360" s="16"/>
      <c r="E360" s="19"/>
      <c r="F360" s="42">
        <f t="shared" si="296"/>
        <v>0</v>
      </c>
      <c r="G360" s="15"/>
      <c r="H360" s="28"/>
      <c r="I360" s="16"/>
      <c r="J360" s="31">
        <v>1</v>
      </c>
      <c r="K360" s="79">
        <f t="shared" si="297"/>
        <v>1</v>
      </c>
      <c r="L360" s="94">
        <f t="shared" si="298"/>
        <v>1</v>
      </c>
      <c r="M360" s="104">
        <v>46008</v>
      </c>
      <c r="N360" s="193" t="s">
        <v>268</v>
      </c>
      <c r="O360" s="194"/>
      <c r="P360" s="195"/>
      <c r="Q360" s="196"/>
      <c r="R360" s="197"/>
      <c r="S360" s="198">
        <f t="shared" si="299"/>
        <v>0</v>
      </c>
      <c r="T360" s="194"/>
      <c r="U360" s="195">
        <v>3</v>
      </c>
      <c r="V360" s="196"/>
      <c r="W360" s="201"/>
      <c r="X360" s="202">
        <f t="shared" si="302"/>
        <v>3</v>
      </c>
      <c r="Y360" s="179">
        <f t="shared" si="301"/>
        <v>3</v>
      </c>
      <c r="Z360" s="180">
        <v>46001</v>
      </c>
    </row>
    <row r="361" spans="1:27" x14ac:dyDescent="0.15">
      <c r="A361" s="11" t="s">
        <v>271</v>
      </c>
      <c r="B361" s="15"/>
      <c r="C361" s="28"/>
      <c r="D361" s="16"/>
      <c r="E361" s="19"/>
      <c r="F361" s="42">
        <f t="shared" si="296"/>
        <v>0</v>
      </c>
      <c r="G361" s="15"/>
      <c r="H361" s="28">
        <v>2</v>
      </c>
      <c r="I361" s="16">
        <v>2</v>
      </c>
      <c r="J361" s="31"/>
      <c r="K361" s="9">
        <f t="shared" si="297"/>
        <v>4</v>
      </c>
      <c r="L361" s="94">
        <f t="shared" si="298"/>
        <v>4</v>
      </c>
      <c r="M361" s="104">
        <v>46010</v>
      </c>
      <c r="N361" s="44" t="s">
        <v>268</v>
      </c>
      <c r="O361" s="15"/>
      <c r="P361" s="28"/>
      <c r="Q361" s="16"/>
      <c r="R361" s="19"/>
      <c r="S361" s="42">
        <f t="shared" ref="S361" si="303">SUM(O361:R361)</f>
        <v>0</v>
      </c>
      <c r="T361" s="15"/>
      <c r="U361" s="28"/>
      <c r="V361" s="16">
        <v>3</v>
      </c>
      <c r="W361" s="31">
        <v>3</v>
      </c>
      <c r="X361" s="9">
        <f t="shared" ref="X361" si="304">SUM(T361:W361)</f>
        <v>6</v>
      </c>
      <c r="Y361" s="94">
        <f t="shared" ref="Y361" si="305">S361+X361</f>
        <v>6</v>
      </c>
      <c r="Z361" s="104">
        <v>46011</v>
      </c>
    </row>
    <row r="362" spans="1:27" x14ac:dyDescent="0.15">
      <c r="A362" s="44" t="s">
        <v>27</v>
      </c>
      <c r="B362" s="15"/>
      <c r="C362" s="28"/>
      <c r="D362" s="16"/>
      <c r="E362" s="19"/>
      <c r="F362" s="42">
        <f t="shared" si="296"/>
        <v>0</v>
      </c>
      <c r="G362" s="15"/>
      <c r="H362" s="28"/>
      <c r="I362" s="16"/>
      <c r="J362" s="31">
        <v>1</v>
      </c>
      <c r="K362" s="79">
        <f t="shared" si="297"/>
        <v>1</v>
      </c>
      <c r="L362" s="94">
        <f t="shared" si="298"/>
        <v>1</v>
      </c>
      <c r="M362" s="105">
        <v>46009</v>
      </c>
      <c r="N362" s="135" t="s">
        <v>273</v>
      </c>
      <c r="O362" s="15"/>
      <c r="P362" s="28">
        <v>3</v>
      </c>
      <c r="Q362" s="16"/>
      <c r="R362" s="19">
        <v>3</v>
      </c>
      <c r="S362" s="42">
        <f t="shared" si="299"/>
        <v>6</v>
      </c>
      <c r="T362" s="15">
        <v>3</v>
      </c>
      <c r="U362" s="28">
        <v>1</v>
      </c>
      <c r="V362" s="16">
        <v>8</v>
      </c>
      <c r="W362" s="31">
        <v>2</v>
      </c>
      <c r="X362" s="9">
        <f t="shared" si="302"/>
        <v>14</v>
      </c>
      <c r="Y362" s="94">
        <f t="shared" si="301"/>
        <v>20</v>
      </c>
      <c r="Z362" s="104">
        <v>46011</v>
      </c>
    </row>
    <row r="363" spans="1:27" x14ac:dyDescent="0.15">
      <c r="A363" s="44" t="s">
        <v>27</v>
      </c>
      <c r="B363" s="15"/>
      <c r="C363" s="28"/>
      <c r="D363" s="16"/>
      <c r="E363" s="19"/>
      <c r="F363" s="42">
        <f t="shared" si="296"/>
        <v>0</v>
      </c>
      <c r="G363" s="15"/>
      <c r="H363" s="28"/>
      <c r="I363" s="16"/>
      <c r="J363" s="31">
        <v>1</v>
      </c>
      <c r="K363" s="79">
        <f t="shared" si="297"/>
        <v>1</v>
      </c>
      <c r="L363" s="94">
        <f t="shared" si="298"/>
        <v>1</v>
      </c>
      <c r="M363" s="105">
        <v>46011</v>
      </c>
      <c r="N363" s="135" t="s">
        <v>274</v>
      </c>
      <c r="O363" s="15"/>
      <c r="P363" s="28">
        <v>3</v>
      </c>
      <c r="Q363" s="16">
        <v>2</v>
      </c>
      <c r="R363" s="19">
        <v>2</v>
      </c>
      <c r="S363" s="42">
        <f t="shared" si="299"/>
        <v>7</v>
      </c>
      <c r="T363" s="15">
        <v>1</v>
      </c>
      <c r="U363" s="28">
        <v>2</v>
      </c>
      <c r="V363" s="16"/>
      <c r="W363" s="31">
        <v>3</v>
      </c>
      <c r="X363" s="9">
        <f t="shared" si="302"/>
        <v>6</v>
      </c>
      <c r="Y363" s="94">
        <f t="shared" si="301"/>
        <v>13</v>
      </c>
      <c r="Z363" s="104">
        <v>46015</v>
      </c>
    </row>
    <row r="364" spans="1:27" x14ac:dyDescent="0.15">
      <c r="A364" s="44" t="s">
        <v>27</v>
      </c>
      <c r="B364" s="15"/>
      <c r="C364" s="28"/>
      <c r="D364" s="16"/>
      <c r="E364" s="19"/>
      <c r="F364" s="42">
        <f t="shared" si="296"/>
        <v>0</v>
      </c>
      <c r="G364" s="15">
        <v>1</v>
      </c>
      <c r="H364" s="28"/>
      <c r="I364" s="16"/>
      <c r="J364" s="31"/>
      <c r="K364" s="79">
        <f t="shared" si="297"/>
        <v>1</v>
      </c>
      <c r="L364" s="94">
        <f t="shared" si="298"/>
        <v>1</v>
      </c>
      <c r="M364" s="105">
        <v>46013</v>
      </c>
      <c r="N364" s="44" t="s">
        <v>268</v>
      </c>
      <c r="O364" s="15"/>
      <c r="P364" s="28"/>
      <c r="Q364" s="16"/>
      <c r="R364" s="19"/>
      <c r="S364" s="42">
        <f t="shared" si="299"/>
        <v>0</v>
      </c>
      <c r="T364" s="15"/>
      <c r="U364" s="28">
        <v>3</v>
      </c>
      <c r="V364" s="16">
        <v>3</v>
      </c>
      <c r="W364" s="31">
        <v>3</v>
      </c>
      <c r="X364" s="9">
        <f>SUM(T364:W364)</f>
        <v>9</v>
      </c>
      <c r="Y364" s="94">
        <f t="shared" si="301"/>
        <v>9</v>
      </c>
      <c r="Z364" s="104">
        <v>46037</v>
      </c>
      <c r="AA364" s="109"/>
    </row>
    <row r="365" spans="1:27" x14ac:dyDescent="0.15">
      <c r="A365" s="44" t="s">
        <v>27</v>
      </c>
      <c r="B365" s="15"/>
      <c r="C365" s="28"/>
      <c r="D365" s="16">
        <v>1</v>
      </c>
      <c r="E365" s="19"/>
      <c r="F365" s="42">
        <f t="shared" si="296"/>
        <v>1</v>
      </c>
      <c r="G365" s="15"/>
      <c r="H365" s="28"/>
      <c r="I365" s="16"/>
      <c r="J365" s="31"/>
      <c r="K365" s="79">
        <f t="shared" si="297"/>
        <v>0</v>
      </c>
      <c r="L365" s="94">
        <f t="shared" si="298"/>
        <v>1</v>
      </c>
      <c r="M365" s="105">
        <v>46032</v>
      </c>
      <c r="N365" s="11" t="s">
        <v>271</v>
      </c>
      <c r="O365" s="15">
        <v>3</v>
      </c>
      <c r="P365" s="28"/>
      <c r="Q365" s="16"/>
      <c r="R365" s="19">
        <v>5</v>
      </c>
      <c r="S365" s="42">
        <f t="shared" si="299"/>
        <v>8</v>
      </c>
      <c r="T365" s="15"/>
      <c r="U365" s="28"/>
      <c r="V365" s="16"/>
      <c r="W365" s="31"/>
      <c r="X365" s="9">
        <f>SUM(T365:W365)</f>
        <v>0</v>
      </c>
      <c r="Y365" s="94">
        <f t="shared" si="301"/>
        <v>8</v>
      </c>
      <c r="Z365" s="104">
        <v>46042</v>
      </c>
      <c r="AA365" s="109"/>
    </row>
    <row r="366" spans="1:27" x14ac:dyDescent="0.15">
      <c r="A366" s="44" t="s">
        <v>27</v>
      </c>
      <c r="B366" s="15"/>
      <c r="C366" s="28"/>
      <c r="D366" s="16"/>
      <c r="E366" s="19"/>
      <c r="F366" s="42">
        <f t="shared" si="296"/>
        <v>0</v>
      </c>
      <c r="G366" s="15"/>
      <c r="H366" s="28">
        <v>1</v>
      </c>
      <c r="I366" s="16">
        <v>2</v>
      </c>
      <c r="J366" s="31">
        <v>2</v>
      </c>
      <c r="K366" s="79">
        <f t="shared" si="297"/>
        <v>5</v>
      </c>
      <c r="L366" s="94">
        <f t="shared" si="298"/>
        <v>5</v>
      </c>
      <c r="M366" s="105">
        <v>46035</v>
      </c>
      <c r="N366" s="11" t="s">
        <v>279</v>
      </c>
      <c r="O366" s="15">
        <v>6</v>
      </c>
      <c r="P366" s="28"/>
      <c r="Q366" s="16"/>
      <c r="R366" s="19"/>
      <c r="S366" s="42">
        <f t="shared" si="299"/>
        <v>6</v>
      </c>
      <c r="T366" s="15"/>
      <c r="U366" s="28"/>
      <c r="V366" s="16"/>
      <c r="W366" s="31"/>
      <c r="X366" s="9">
        <f t="shared" ref="X366:X369" si="306">SUM(T366:W366)</f>
        <v>0</v>
      </c>
      <c r="Y366" s="94">
        <f t="shared" si="301"/>
        <v>6</v>
      </c>
      <c r="Z366" s="104">
        <v>46045</v>
      </c>
    </row>
    <row r="367" spans="1:27" x14ac:dyDescent="0.15">
      <c r="A367" s="44" t="s">
        <v>27</v>
      </c>
      <c r="B367" s="15"/>
      <c r="C367" s="28"/>
      <c r="D367" s="16"/>
      <c r="E367" s="19"/>
      <c r="F367" s="42">
        <f t="shared" si="296"/>
        <v>0</v>
      </c>
      <c r="G367" s="15"/>
      <c r="H367" s="28">
        <v>1</v>
      </c>
      <c r="I367" s="16"/>
      <c r="J367" s="31"/>
      <c r="K367" s="79">
        <f t="shared" si="297"/>
        <v>1</v>
      </c>
      <c r="L367" s="94">
        <f t="shared" si="298"/>
        <v>1</v>
      </c>
      <c r="M367" s="105">
        <v>46036</v>
      </c>
      <c r="N367" s="11" t="s">
        <v>280</v>
      </c>
      <c r="O367" s="15"/>
      <c r="P367" s="28">
        <v>2</v>
      </c>
      <c r="Q367" s="16"/>
      <c r="R367" s="19"/>
      <c r="S367" s="42">
        <f t="shared" si="299"/>
        <v>2</v>
      </c>
      <c r="T367" s="15"/>
      <c r="U367" s="28">
        <v>2</v>
      </c>
      <c r="V367" s="16"/>
      <c r="W367" s="31"/>
      <c r="X367" s="9">
        <f t="shared" si="306"/>
        <v>2</v>
      </c>
      <c r="Y367" s="94">
        <f t="shared" si="301"/>
        <v>4</v>
      </c>
      <c r="Z367" s="104">
        <v>46045</v>
      </c>
    </row>
    <row r="368" spans="1:27" x14ac:dyDescent="0.15">
      <c r="A368" s="193" t="s">
        <v>63</v>
      </c>
      <c r="B368" s="194"/>
      <c r="C368" s="195"/>
      <c r="D368" s="196"/>
      <c r="E368" s="197"/>
      <c r="F368" s="198">
        <f t="shared" si="296"/>
        <v>0</v>
      </c>
      <c r="G368" s="194"/>
      <c r="H368" s="195">
        <v>-3</v>
      </c>
      <c r="I368" s="196">
        <v>-3</v>
      </c>
      <c r="J368" s="201">
        <v>-3</v>
      </c>
      <c r="K368" s="200">
        <f t="shared" si="297"/>
        <v>-9</v>
      </c>
      <c r="L368" s="179">
        <f t="shared" si="298"/>
        <v>-9</v>
      </c>
      <c r="M368" s="180">
        <v>46037</v>
      </c>
      <c r="N368" s="44" t="s">
        <v>281</v>
      </c>
      <c r="O368" s="15">
        <v>7</v>
      </c>
      <c r="P368" s="28">
        <v>14</v>
      </c>
      <c r="Q368" s="16">
        <v>14</v>
      </c>
      <c r="R368" s="19">
        <v>7</v>
      </c>
      <c r="S368" s="42">
        <f t="shared" si="299"/>
        <v>42</v>
      </c>
      <c r="T368" s="15">
        <v>3</v>
      </c>
      <c r="U368" s="28">
        <v>7</v>
      </c>
      <c r="V368" s="16">
        <v>7</v>
      </c>
      <c r="W368" s="31">
        <v>3</v>
      </c>
      <c r="X368" s="9">
        <f t="shared" si="306"/>
        <v>20</v>
      </c>
      <c r="Y368" s="94">
        <f t="shared" si="301"/>
        <v>62</v>
      </c>
      <c r="Z368" s="104">
        <v>46055</v>
      </c>
    </row>
    <row r="369" spans="1:27" x14ac:dyDescent="0.15">
      <c r="A369" s="44" t="s">
        <v>27</v>
      </c>
      <c r="B369" s="15"/>
      <c r="C369" s="28"/>
      <c r="D369" s="16"/>
      <c r="E369" s="19"/>
      <c r="F369" s="42">
        <f t="shared" si="296"/>
        <v>0</v>
      </c>
      <c r="G369" s="15"/>
      <c r="H369" s="28">
        <v>1</v>
      </c>
      <c r="I369" s="16"/>
      <c r="J369" s="31"/>
      <c r="K369" s="79">
        <f t="shared" si="297"/>
        <v>1</v>
      </c>
      <c r="L369" s="94">
        <f t="shared" si="298"/>
        <v>1</v>
      </c>
      <c r="M369" s="105">
        <v>46037</v>
      </c>
      <c r="N369" s="11" t="s">
        <v>282</v>
      </c>
      <c r="O369" s="15"/>
      <c r="P369" s="28"/>
      <c r="Q369" s="16"/>
      <c r="R369" s="19"/>
      <c r="S369" s="42">
        <f t="shared" si="299"/>
        <v>0</v>
      </c>
      <c r="T369" s="38">
        <v>3</v>
      </c>
      <c r="U369" s="39"/>
      <c r="V369" s="40"/>
      <c r="W369" s="52"/>
      <c r="X369" s="54">
        <f t="shared" si="306"/>
        <v>3</v>
      </c>
      <c r="Y369" s="94">
        <f t="shared" si="301"/>
        <v>3</v>
      </c>
      <c r="Z369" s="104">
        <v>46052</v>
      </c>
    </row>
    <row r="370" spans="1:27" x14ac:dyDescent="0.15">
      <c r="A370" s="44" t="s">
        <v>27</v>
      </c>
      <c r="B370" s="15"/>
      <c r="C370" s="28"/>
      <c r="D370" s="16"/>
      <c r="E370" s="19"/>
      <c r="F370" s="42">
        <f t="shared" si="296"/>
        <v>0</v>
      </c>
      <c r="G370" s="15"/>
      <c r="H370" s="28"/>
      <c r="I370" s="16">
        <v>1</v>
      </c>
      <c r="J370" s="31"/>
      <c r="K370" s="79">
        <f>SUM(G370:J370)</f>
        <v>1</v>
      </c>
      <c r="L370" s="94">
        <f t="shared" si="298"/>
        <v>1</v>
      </c>
      <c r="M370" s="105">
        <v>46038</v>
      </c>
      <c r="N370" s="193" t="s">
        <v>268</v>
      </c>
      <c r="O370" s="194"/>
      <c r="P370" s="195"/>
      <c r="Q370" s="196"/>
      <c r="R370" s="197"/>
      <c r="S370" s="198">
        <f t="shared" ref="S370:S373" si="307">SUM(O370:R370)</f>
        <v>0</v>
      </c>
      <c r="T370" s="214"/>
      <c r="U370" s="215">
        <v>3</v>
      </c>
      <c r="V370" s="216">
        <v>3</v>
      </c>
      <c r="W370" s="223"/>
      <c r="X370" s="213">
        <f t="shared" ref="X370:X373" si="308">SUM(T370:W370)</f>
        <v>6</v>
      </c>
      <c r="Y370" s="179">
        <f t="shared" ref="Y370:Y373" si="309">S370+X370</f>
        <v>6</v>
      </c>
      <c r="Z370" s="180">
        <v>46051</v>
      </c>
    </row>
    <row r="371" spans="1:27" x14ac:dyDescent="0.15">
      <c r="A371" s="44" t="s">
        <v>27</v>
      </c>
      <c r="B371" s="15"/>
      <c r="C371" s="28">
        <v>1</v>
      </c>
      <c r="D371" s="16"/>
      <c r="E371" s="19"/>
      <c r="F371" s="42">
        <f t="shared" si="296"/>
        <v>1</v>
      </c>
      <c r="G371" s="15"/>
      <c r="H371" s="16"/>
      <c r="I371" s="28"/>
      <c r="J371" s="53"/>
      <c r="K371" s="79">
        <f t="shared" ref="K371:K377" si="310">SUM(G371:J371)</f>
        <v>0</v>
      </c>
      <c r="L371" s="94">
        <f t="shared" si="298"/>
        <v>1</v>
      </c>
      <c r="M371" s="105">
        <v>46039</v>
      </c>
      <c r="N371" s="193" t="s">
        <v>268</v>
      </c>
      <c r="O371" s="194"/>
      <c r="P371" s="195"/>
      <c r="Q371" s="196"/>
      <c r="R371" s="197"/>
      <c r="S371" s="198">
        <f t="shared" si="307"/>
        <v>0</v>
      </c>
      <c r="T371" s="214"/>
      <c r="U371" s="215"/>
      <c r="V371" s="216"/>
      <c r="W371" s="223">
        <v>3</v>
      </c>
      <c r="X371" s="213">
        <f t="shared" si="308"/>
        <v>3</v>
      </c>
      <c r="Y371" s="179">
        <f t="shared" si="309"/>
        <v>3</v>
      </c>
      <c r="Z371" s="180">
        <v>46056</v>
      </c>
    </row>
    <row r="372" spans="1:27" x14ac:dyDescent="0.15">
      <c r="A372" s="44" t="s">
        <v>27</v>
      </c>
      <c r="B372" s="15"/>
      <c r="C372" s="28"/>
      <c r="D372" s="16"/>
      <c r="E372" s="19"/>
      <c r="F372" s="42">
        <f t="shared" si="296"/>
        <v>0</v>
      </c>
      <c r="G372" s="15"/>
      <c r="H372" s="28"/>
      <c r="I372" s="16">
        <v>1</v>
      </c>
      <c r="J372" s="31"/>
      <c r="K372" s="79">
        <f t="shared" si="310"/>
        <v>1</v>
      </c>
      <c r="L372" s="94">
        <f t="shared" si="298"/>
        <v>1</v>
      </c>
      <c r="M372" s="105">
        <v>46041</v>
      </c>
      <c r="N372" s="11" t="s">
        <v>286</v>
      </c>
      <c r="O372" s="15"/>
      <c r="P372" s="28">
        <v>7</v>
      </c>
      <c r="Q372" s="16"/>
      <c r="R372" s="19"/>
      <c r="S372" s="42">
        <f t="shared" si="307"/>
        <v>7</v>
      </c>
      <c r="T372" s="38"/>
      <c r="U372" s="39"/>
      <c r="V372" s="40"/>
      <c r="W372" s="52"/>
      <c r="X372" s="54">
        <f t="shared" si="308"/>
        <v>0</v>
      </c>
      <c r="Y372" s="94">
        <f t="shared" si="309"/>
        <v>7</v>
      </c>
      <c r="Z372" s="104">
        <v>46057</v>
      </c>
      <c r="AA372" s="109"/>
    </row>
    <row r="373" spans="1:27" x14ac:dyDescent="0.15">
      <c r="A373" s="44" t="s">
        <v>27</v>
      </c>
      <c r="B373" s="15"/>
      <c r="C373" s="28"/>
      <c r="D373" s="16"/>
      <c r="E373" s="19"/>
      <c r="F373" s="42">
        <f t="shared" si="296"/>
        <v>0</v>
      </c>
      <c r="G373" s="38"/>
      <c r="H373" s="39">
        <v>1</v>
      </c>
      <c r="I373" s="40"/>
      <c r="J373" s="52">
        <v>1</v>
      </c>
      <c r="K373" s="83">
        <f t="shared" si="310"/>
        <v>2</v>
      </c>
      <c r="L373" s="94">
        <f t="shared" si="298"/>
        <v>2</v>
      </c>
      <c r="M373" s="105">
        <v>46042</v>
      </c>
      <c r="N373" s="44"/>
      <c r="O373" s="15"/>
      <c r="P373" s="28"/>
      <c r="Q373" s="16"/>
      <c r="R373" s="19"/>
      <c r="S373" s="42">
        <f t="shared" si="307"/>
        <v>0</v>
      </c>
      <c r="T373" s="38"/>
      <c r="U373" s="39"/>
      <c r="V373" s="40"/>
      <c r="W373" s="52"/>
      <c r="X373" s="54">
        <f t="shared" si="308"/>
        <v>0</v>
      </c>
      <c r="Y373" s="94">
        <f t="shared" si="309"/>
        <v>0</v>
      </c>
    </row>
    <row r="374" spans="1:27" x14ac:dyDescent="0.15">
      <c r="A374" s="44" t="s">
        <v>27</v>
      </c>
      <c r="B374" s="15"/>
      <c r="C374" s="28"/>
      <c r="D374" s="16"/>
      <c r="E374" s="19"/>
      <c r="F374" s="42">
        <f t="shared" si="296"/>
        <v>0</v>
      </c>
      <c r="G374" s="15"/>
      <c r="H374" s="28">
        <v>1</v>
      </c>
      <c r="I374" s="16">
        <v>1</v>
      </c>
      <c r="J374" s="31"/>
      <c r="K374" s="79">
        <f t="shared" si="310"/>
        <v>2</v>
      </c>
      <c r="L374" s="94">
        <f t="shared" si="298"/>
        <v>2</v>
      </c>
      <c r="M374" s="105">
        <v>46048</v>
      </c>
      <c r="N374" s="44" t="s">
        <v>240</v>
      </c>
      <c r="O374" s="15"/>
      <c r="P374" s="28"/>
      <c r="Q374" s="16"/>
      <c r="R374" s="19"/>
      <c r="S374" s="42">
        <f>SUM(O374:R374)</f>
        <v>0</v>
      </c>
      <c r="T374" s="15"/>
      <c r="U374" s="28"/>
      <c r="V374" s="16"/>
      <c r="W374" s="31"/>
      <c r="X374" s="9">
        <f>SUM(T374:W374)</f>
        <v>0</v>
      </c>
      <c r="Y374" s="94">
        <f>S374+X374</f>
        <v>0</v>
      </c>
      <c r="Z374" s="133" t="s">
        <v>241</v>
      </c>
    </row>
    <row r="375" spans="1:27" x14ac:dyDescent="0.15">
      <c r="A375" s="193" t="s">
        <v>63</v>
      </c>
      <c r="B375" s="194"/>
      <c r="C375" s="195"/>
      <c r="D375" s="196"/>
      <c r="E375" s="197"/>
      <c r="F375" s="198">
        <f t="shared" si="296"/>
        <v>0</v>
      </c>
      <c r="G375" s="194"/>
      <c r="H375" s="195">
        <v>-3</v>
      </c>
      <c r="I375" s="196">
        <v>-3</v>
      </c>
      <c r="J375" s="201"/>
      <c r="K375" s="200">
        <f t="shared" si="310"/>
        <v>-6</v>
      </c>
      <c r="L375" s="179">
        <f t="shared" si="298"/>
        <v>-6</v>
      </c>
      <c r="M375" s="180">
        <v>46051</v>
      </c>
      <c r="N375" s="114" t="s">
        <v>220</v>
      </c>
      <c r="O375" s="148"/>
      <c r="P375" s="149"/>
      <c r="Q375" s="150"/>
      <c r="R375" s="221"/>
      <c r="S375" s="222">
        <f t="shared" ref="S375:S376" si="311">SUM(O375:R375)</f>
        <v>0</v>
      </c>
      <c r="T375" s="148"/>
      <c r="U375" s="149"/>
      <c r="V375" s="150"/>
      <c r="W375" s="151"/>
      <c r="X375" s="152">
        <f t="shared" ref="X375:X376" si="312">SUM(T375:W375)</f>
        <v>0</v>
      </c>
      <c r="Y375" s="120">
        <f t="shared" ref="Y375:Y376" si="313">S375+X375</f>
        <v>0</v>
      </c>
      <c r="Z375" s="133"/>
    </row>
    <row r="376" spans="1:27" ht="14.25" thickBot="1" x14ac:dyDescent="0.2">
      <c r="A376" s="44" t="s">
        <v>27</v>
      </c>
      <c r="B376" s="34"/>
      <c r="C376" s="35"/>
      <c r="D376" s="36"/>
      <c r="E376" s="37"/>
      <c r="F376" s="42">
        <f t="shared" si="296"/>
        <v>0</v>
      </c>
      <c r="G376" s="34"/>
      <c r="H376" s="36"/>
      <c r="I376" s="35"/>
      <c r="J376" s="64">
        <v>1</v>
      </c>
      <c r="K376" s="80">
        <f t="shared" si="310"/>
        <v>1</v>
      </c>
      <c r="L376" s="106">
        <f t="shared" si="298"/>
        <v>1</v>
      </c>
      <c r="M376" s="105">
        <v>46051</v>
      </c>
      <c r="N376" s="146" t="s">
        <v>218</v>
      </c>
      <c r="O376" s="34"/>
      <c r="P376" s="35"/>
      <c r="Q376" s="36"/>
      <c r="R376" s="37"/>
      <c r="S376" s="43">
        <f t="shared" si="311"/>
        <v>0</v>
      </c>
      <c r="T376" s="34"/>
      <c r="U376" s="35"/>
      <c r="V376" s="36"/>
      <c r="W376" s="63"/>
      <c r="X376" s="10">
        <f t="shared" si="312"/>
        <v>0</v>
      </c>
      <c r="Y376" s="142">
        <f t="shared" si="313"/>
        <v>0</v>
      </c>
      <c r="Z376" s="133" t="s">
        <v>246</v>
      </c>
    </row>
    <row r="377" spans="1:27" ht="14.25" thickBot="1" x14ac:dyDescent="0.2">
      <c r="A377" s="12" t="s">
        <v>8</v>
      </c>
      <c r="B377" s="21">
        <f>SUM(B352:B376)</f>
        <v>0</v>
      </c>
      <c r="C377" s="29">
        <f>SUM(C352:C376)</f>
        <v>4</v>
      </c>
      <c r="D377" s="22">
        <f>SUM(D352:D376)</f>
        <v>1</v>
      </c>
      <c r="E377" s="23">
        <f>SUM(E352:E376)</f>
        <v>2</v>
      </c>
      <c r="F377" s="20">
        <f>SUM(B377:E377)</f>
        <v>7</v>
      </c>
      <c r="G377" s="21">
        <f>SUM(G352:G376)</f>
        <v>1</v>
      </c>
      <c r="H377" s="29">
        <f>SUM(H352:H376)</f>
        <v>3</v>
      </c>
      <c r="I377" s="22">
        <f>SUM(I352:I376)</f>
        <v>4</v>
      </c>
      <c r="J377" s="23">
        <f>SUM(J352:J376)</f>
        <v>6</v>
      </c>
      <c r="K377" s="81">
        <f t="shared" si="310"/>
        <v>14</v>
      </c>
      <c r="L377" s="107">
        <f t="shared" si="298"/>
        <v>21</v>
      </c>
      <c r="N377" s="110" t="s">
        <v>8</v>
      </c>
      <c r="O377" s="21">
        <f>SUM(O352:O376)</f>
        <v>17</v>
      </c>
      <c r="P377" s="29">
        <f>SUM(P352:P376)</f>
        <v>47</v>
      </c>
      <c r="Q377" s="22">
        <f>SUM(Q352:Q376)</f>
        <v>37</v>
      </c>
      <c r="R377" s="23">
        <f>SUM(R352:R376)</f>
        <v>36</v>
      </c>
      <c r="S377" s="45">
        <f>SUM(O377:R377)</f>
        <v>137</v>
      </c>
      <c r="T377" s="21">
        <f>SUM(T352:T376)</f>
        <v>19</v>
      </c>
      <c r="U377" s="29">
        <f>SUM(U352:U376)</f>
        <v>42</v>
      </c>
      <c r="V377" s="22">
        <f>SUM(V352:V376)</f>
        <v>50</v>
      </c>
      <c r="W377" s="23">
        <f>SUM(W352:W376)</f>
        <v>42</v>
      </c>
      <c r="X377" s="45">
        <f t="shared" ref="X377" si="314">SUM(T377:W377)</f>
        <v>153</v>
      </c>
      <c r="Y377" s="111">
        <f t="shared" si="301"/>
        <v>290</v>
      </c>
    </row>
    <row r="378" spans="1:27" ht="14.25" thickBot="1" x14ac:dyDescent="0.2">
      <c r="A378" s="13" t="s">
        <v>9</v>
      </c>
      <c r="B378" s="24">
        <f t="shared" ref="B378:K378" si="315">B351-B377</f>
        <v>5</v>
      </c>
      <c r="C378" s="30">
        <f t="shared" si="315"/>
        <v>3</v>
      </c>
      <c r="D378" s="25">
        <f t="shared" si="315"/>
        <v>4</v>
      </c>
      <c r="E378" s="26">
        <f t="shared" si="315"/>
        <v>5</v>
      </c>
      <c r="F378" s="71">
        <f t="shared" si="315"/>
        <v>17</v>
      </c>
      <c r="G378" s="24">
        <f t="shared" si="315"/>
        <v>3</v>
      </c>
      <c r="H378" s="30">
        <f t="shared" si="315"/>
        <v>5</v>
      </c>
      <c r="I378" s="25">
        <f t="shared" si="315"/>
        <v>5</v>
      </c>
      <c r="J378" s="26">
        <f t="shared" si="315"/>
        <v>3</v>
      </c>
      <c r="K378" s="82">
        <f t="shared" si="315"/>
        <v>16</v>
      </c>
      <c r="L378" s="86">
        <f t="shared" si="298"/>
        <v>33</v>
      </c>
      <c r="N378" s="13" t="s">
        <v>9</v>
      </c>
      <c r="O378" s="24">
        <f t="shared" ref="O378:X378" si="316">O351-O377</f>
        <v>81</v>
      </c>
      <c r="P378" s="30">
        <f t="shared" si="316"/>
        <v>46</v>
      </c>
      <c r="Q378" s="25">
        <f t="shared" si="316"/>
        <v>82</v>
      </c>
      <c r="R378" s="26">
        <f t="shared" si="316"/>
        <v>44</v>
      </c>
      <c r="S378" s="71">
        <f t="shared" si="316"/>
        <v>253</v>
      </c>
      <c r="T378" s="24">
        <f t="shared" si="316"/>
        <v>79</v>
      </c>
      <c r="U378" s="30">
        <f t="shared" si="316"/>
        <v>41</v>
      </c>
      <c r="V378" s="25">
        <f t="shared" si="316"/>
        <v>74</v>
      </c>
      <c r="W378" s="26">
        <f t="shared" si="316"/>
        <v>75</v>
      </c>
      <c r="X378" s="33">
        <f t="shared" si="316"/>
        <v>269</v>
      </c>
      <c r="Y378" s="86">
        <f t="shared" si="301"/>
        <v>522</v>
      </c>
    </row>
    <row r="381" spans="1:27" ht="19.5" thickBot="1" x14ac:dyDescent="0.25">
      <c r="A381" s="2" t="s">
        <v>15</v>
      </c>
      <c r="B381" s="2"/>
      <c r="C381" s="1"/>
      <c r="D381" s="1"/>
      <c r="E381" s="1"/>
      <c r="G381" s="72"/>
      <c r="H381" s="1"/>
      <c r="I381" s="1"/>
      <c r="J381" s="1"/>
      <c r="K381" s="72" t="s">
        <v>12</v>
      </c>
      <c r="N381" s="2" t="s">
        <v>16</v>
      </c>
      <c r="O381" s="2"/>
      <c r="P381" s="1"/>
      <c r="Q381" s="1"/>
      <c r="R381" s="1"/>
      <c r="U381" s="1"/>
      <c r="V381" s="1"/>
      <c r="W381" s="1"/>
      <c r="X381" s="72" t="s">
        <v>12</v>
      </c>
    </row>
    <row r="382" spans="1:27" ht="14.25" thickBot="1" x14ac:dyDescent="0.2">
      <c r="A382" s="5" t="s">
        <v>0</v>
      </c>
      <c r="B382" s="245" t="s">
        <v>34</v>
      </c>
      <c r="C382" s="246"/>
      <c r="D382" s="246"/>
      <c r="E382" s="246"/>
      <c r="F382" s="247"/>
      <c r="G382" s="248" t="s">
        <v>35</v>
      </c>
      <c r="H382" s="249"/>
      <c r="I382" s="249"/>
      <c r="J382" s="249"/>
      <c r="K382" s="249"/>
      <c r="L382" s="243" t="s">
        <v>14</v>
      </c>
      <c r="N382" s="5" t="s">
        <v>0</v>
      </c>
      <c r="O382" s="245" t="s">
        <v>58</v>
      </c>
      <c r="P382" s="246"/>
      <c r="Q382" s="246"/>
      <c r="R382" s="246"/>
      <c r="S382" s="247"/>
      <c r="T382" s="248" t="s">
        <v>59</v>
      </c>
      <c r="U382" s="249"/>
      <c r="V382" s="249"/>
      <c r="W382" s="249"/>
      <c r="X382" s="249"/>
      <c r="Y382" s="243" t="s">
        <v>14</v>
      </c>
    </row>
    <row r="383" spans="1:27" ht="14.25" thickBot="1" x14ac:dyDescent="0.2">
      <c r="A383" s="5" t="s">
        <v>1</v>
      </c>
      <c r="B383" s="3" t="s">
        <v>17</v>
      </c>
      <c r="C383" s="27" t="s">
        <v>18</v>
      </c>
      <c r="D383" s="4" t="s">
        <v>19</v>
      </c>
      <c r="E383" s="14" t="s">
        <v>20</v>
      </c>
      <c r="F383" s="18" t="s">
        <v>2</v>
      </c>
      <c r="G383" s="3" t="s">
        <v>17</v>
      </c>
      <c r="H383" s="27" t="s">
        <v>18</v>
      </c>
      <c r="I383" s="4" t="s">
        <v>19</v>
      </c>
      <c r="J383" s="14" t="s">
        <v>20</v>
      </c>
      <c r="K383" s="73" t="s">
        <v>2</v>
      </c>
      <c r="L383" s="244"/>
      <c r="N383" s="5" t="s">
        <v>1</v>
      </c>
      <c r="O383" s="3" t="s">
        <v>17</v>
      </c>
      <c r="P383" s="27" t="s">
        <v>18</v>
      </c>
      <c r="Q383" s="4" t="s">
        <v>19</v>
      </c>
      <c r="R383" s="14" t="s">
        <v>20</v>
      </c>
      <c r="S383" s="18" t="s">
        <v>2</v>
      </c>
      <c r="T383" s="3" t="s">
        <v>17</v>
      </c>
      <c r="U383" s="27" t="s">
        <v>18</v>
      </c>
      <c r="V383" s="4" t="s">
        <v>19</v>
      </c>
      <c r="W383" s="14" t="s">
        <v>20</v>
      </c>
      <c r="X383" s="18" t="s">
        <v>2</v>
      </c>
      <c r="Y383" s="244"/>
    </row>
    <row r="384" spans="1:27" x14ac:dyDescent="0.15">
      <c r="A384" s="66" t="s">
        <v>10</v>
      </c>
      <c r="B384" s="67">
        <f>B378</f>
        <v>5</v>
      </c>
      <c r="C384" s="68">
        <f>C378</f>
        <v>3</v>
      </c>
      <c r="D384" s="68">
        <f>D378</f>
        <v>4</v>
      </c>
      <c r="E384" s="69">
        <f>E378</f>
        <v>5</v>
      </c>
      <c r="F384" s="70">
        <f>SUM(B384:E384)</f>
        <v>17</v>
      </c>
      <c r="G384" s="67">
        <f>G378</f>
        <v>3</v>
      </c>
      <c r="H384" s="68">
        <f>H378</f>
        <v>5</v>
      </c>
      <c r="I384" s="68">
        <f>I378</f>
        <v>5</v>
      </c>
      <c r="J384" s="69">
        <f>J378</f>
        <v>3</v>
      </c>
      <c r="K384" s="74">
        <f>SUM(G384:J384)</f>
        <v>16</v>
      </c>
      <c r="L384" s="84">
        <f>F384+K384</f>
        <v>33</v>
      </c>
      <c r="N384" s="66" t="s">
        <v>10</v>
      </c>
      <c r="O384" s="67">
        <f>O378</f>
        <v>81</v>
      </c>
      <c r="P384" s="68">
        <f>P378</f>
        <v>46</v>
      </c>
      <c r="Q384" s="68">
        <f>Q378</f>
        <v>82</v>
      </c>
      <c r="R384" s="69">
        <f>R378</f>
        <v>44</v>
      </c>
      <c r="S384" s="70">
        <f>SUM(O384:R384)</f>
        <v>253</v>
      </c>
      <c r="T384" s="67">
        <f>T378</f>
        <v>79</v>
      </c>
      <c r="U384" s="68">
        <f>U378</f>
        <v>41</v>
      </c>
      <c r="V384" s="68">
        <f>V378</f>
        <v>74</v>
      </c>
      <c r="W384" s="87">
        <f>W378</f>
        <v>75</v>
      </c>
      <c r="X384" s="88">
        <f>SUM(T384:W384)</f>
        <v>269</v>
      </c>
      <c r="Y384" s="84">
        <f>S384+X384</f>
        <v>522</v>
      </c>
    </row>
    <row r="385" spans="1:27" x14ac:dyDescent="0.15">
      <c r="A385" s="44" t="s">
        <v>283</v>
      </c>
      <c r="B385" s="15">
        <v>1</v>
      </c>
      <c r="C385" s="28"/>
      <c r="D385" s="16"/>
      <c r="E385" s="19"/>
      <c r="F385" s="42">
        <f t="shared" ref="F385" si="317">SUM(B385:E385)</f>
        <v>1</v>
      </c>
      <c r="G385" s="15">
        <v>1</v>
      </c>
      <c r="H385" s="28"/>
      <c r="I385" s="16"/>
      <c r="J385" s="31"/>
      <c r="K385" s="79">
        <f>SUM(G385:J385)</f>
        <v>1</v>
      </c>
      <c r="L385" s="94">
        <f t="shared" ref="L385" si="318">F385+K385</f>
        <v>2</v>
      </c>
      <c r="M385" s="104">
        <v>46050</v>
      </c>
      <c r="N385" s="44" t="s">
        <v>3</v>
      </c>
      <c r="O385" s="47"/>
      <c r="P385" s="48"/>
      <c r="Q385" s="49"/>
      <c r="R385" s="50"/>
      <c r="S385" s="54">
        <f>SUM(O385:R385)</f>
        <v>0</v>
      </c>
      <c r="T385" s="38"/>
      <c r="U385" s="39"/>
      <c r="V385" s="40"/>
      <c r="W385" s="41"/>
      <c r="X385" s="75">
        <f>SUM(T385:W385)</f>
        <v>0</v>
      </c>
      <c r="Y385" s="94">
        <f t="shared" ref="Y385:Y386" si="319">S385+X385</f>
        <v>0</v>
      </c>
      <c r="Z385" s="104"/>
    </row>
    <row r="386" spans="1:27" x14ac:dyDescent="0.15">
      <c r="A386" s="193" t="s">
        <v>4</v>
      </c>
      <c r="B386" s="209"/>
      <c r="C386" s="210"/>
      <c r="D386" s="211"/>
      <c r="E386" s="212"/>
      <c r="F386" s="213">
        <f t="shared" ref="F386:F387" si="320">SUM(B386:E386)</f>
        <v>0</v>
      </c>
      <c r="G386" s="214"/>
      <c r="H386" s="215"/>
      <c r="I386" s="216"/>
      <c r="J386" s="217">
        <v>3</v>
      </c>
      <c r="K386" s="218">
        <f t="shared" ref="K386:K387" si="321">SUM(G386:J386)</f>
        <v>3</v>
      </c>
      <c r="L386" s="179">
        <f t="shared" ref="L386:L388" si="322">F386+K386</f>
        <v>3</v>
      </c>
      <c r="M386" s="180">
        <v>46056</v>
      </c>
      <c r="N386" s="44" t="s">
        <v>45</v>
      </c>
      <c r="O386" s="15">
        <v>20</v>
      </c>
      <c r="P386" s="28">
        <v>30</v>
      </c>
      <c r="Q386" s="16">
        <v>20</v>
      </c>
      <c r="R386" s="31">
        <v>50</v>
      </c>
      <c r="S386" s="9">
        <f>SUM(O386:R386)</f>
        <v>120</v>
      </c>
      <c r="T386" s="15">
        <v>10</v>
      </c>
      <c r="U386" s="28">
        <v>50</v>
      </c>
      <c r="V386" s="16">
        <v>20</v>
      </c>
      <c r="W386" s="31"/>
      <c r="X386" s="9">
        <f>SUM(T386:W386)</f>
        <v>80</v>
      </c>
      <c r="Y386" s="126">
        <f t="shared" si="319"/>
        <v>200</v>
      </c>
      <c r="Z386" s="104" t="s">
        <v>290</v>
      </c>
      <c r="AA386" s="46"/>
    </row>
    <row r="387" spans="1:27" x14ac:dyDescent="0.15">
      <c r="A387" s="44" t="s">
        <v>5</v>
      </c>
      <c r="B387" s="47"/>
      <c r="C387" s="48"/>
      <c r="D387" s="49"/>
      <c r="E387" s="50"/>
      <c r="F387" s="54">
        <f t="shared" si="320"/>
        <v>0</v>
      </c>
      <c r="G387" s="38"/>
      <c r="H387" s="39"/>
      <c r="I387" s="40"/>
      <c r="J387" s="41">
        <v>3</v>
      </c>
      <c r="K387" s="75">
        <f t="shared" si="321"/>
        <v>3</v>
      </c>
      <c r="L387" s="94">
        <f t="shared" si="322"/>
        <v>3</v>
      </c>
      <c r="M387" s="104">
        <v>46063</v>
      </c>
      <c r="N387" s="44" t="s">
        <v>5</v>
      </c>
      <c r="O387" s="47"/>
      <c r="P387" s="48"/>
      <c r="Q387" s="49"/>
      <c r="R387" s="50"/>
      <c r="S387" s="54">
        <f t="shared" ref="S387:S388" si="323">SUM(O387:R387)</f>
        <v>0</v>
      </c>
      <c r="T387" s="38"/>
      <c r="U387" s="39"/>
      <c r="V387" s="40"/>
      <c r="W387" s="41"/>
      <c r="X387" s="75">
        <f t="shared" ref="X387:X388" si="324">SUM(T387:W387)</f>
        <v>0</v>
      </c>
      <c r="Y387" s="94">
        <f t="shared" ref="Y387:Y388" si="325">S387+X387</f>
        <v>0</v>
      </c>
      <c r="Z387" s="104"/>
    </row>
    <row r="388" spans="1:27" ht="14.25" thickBot="1" x14ac:dyDescent="0.2">
      <c r="A388" s="168" t="s">
        <v>6</v>
      </c>
      <c r="B388" s="169"/>
      <c r="C388" s="170"/>
      <c r="D388" s="171"/>
      <c r="E388" s="172"/>
      <c r="F388" s="173">
        <f>SUM(B388:E388)</f>
        <v>0</v>
      </c>
      <c r="G388" s="174"/>
      <c r="H388" s="175">
        <v>3</v>
      </c>
      <c r="I388" s="176">
        <v>3</v>
      </c>
      <c r="J388" s="177"/>
      <c r="K388" s="178">
        <f>SUM(G388:J388)</f>
        <v>6</v>
      </c>
      <c r="L388" s="179">
        <f t="shared" si="322"/>
        <v>6</v>
      </c>
      <c r="M388" s="180">
        <v>46065</v>
      </c>
      <c r="N388" s="44" t="s">
        <v>6</v>
      </c>
      <c r="O388" s="47"/>
      <c r="P388" s="48"/>
      <c r="Q388" s="49"/>
      <c r="R388" s="50"/>
      <c r="S388" s="54">
        <f t="shared" si="323"/>
        <v>0</v>
      </c>
      <c r="T388" s="38"/>
      <c r="U388" s="39"/>
      <c r="V388" s="40"/>
      <c r="W388" s="41"/>
      <c r="X388" s="75">
        <f t="shared" si="324"/>
        <v>0</v>
      </c>
      <c r="Y388" s="94">
        <f t="shared" si="325"/>
        <v>0</v>
      </c>
      <c r="Z388" s="104"/>
    </row>
    <row r="389" spans="1:27" ht="14.25" thickBot="1" x14ac:dyDescent="0.2">
      <c r="A389" s="13" t="s">
        <v>7</v>
      </c>
      <c r="B389" s="55">
        <f t="shared" ref="B389:K389" si="326">SUM(B384:B388)</f>
        <v>6</v>
      </c>
      <c r="C389" s="56">
        <f t="shared" si="326"/>
        <v>3</v>
      </c>
      <c r="D389" s="57">
        <f t="shared" si="326"/>
        <v>4</v>
      </c>
      <c r="E389" s="58">
        <f t="shared" si="326"/>
        <v>5</v>
      </c>
      <c r="F389" s="59">
        <f t="shared" si="326"/>
        <v>18</v>
      </c>
      <c r="G389" s="24">
        <f t="shared" si="326"/>
        <v>4</v>
      </c>
      <c r="H389" s="30">
        <f t="shared" si="326"/>
        <v>8</v>
      </c>
      <c r="I389" s="25">
        <f t="shared" si="326"/>
        <v>8</v>
      </c>
      <c r="J389" s="60">
        <f t="shared" si="326"/>
        <v>9</v>
      </c>
      <c r="K389" s="78">
        <f t="shared" si="326"/>
        <v>29</v>
      </c>
      <c r="L389" s="85">
        <f>F389+K389</f>
        <v>47</v>
      </c>
      <c r="N389" s="13" t="s">
        <v>7</v>
      </c>
      <c r="O389" s="55">
        <f t="shared" ref="O389:X389" si="327">SUM(O384:O388)</f>
        <v>101</v>
      </c>
      <c r="P389" s="56">
        <f t="shared" si="327"/>
        <v>76</v>
      </c>
      <c r="Q389" s="57">
        <f t="shared" si="327"/>
        <v>102</v>
      </c>
      <c r="R389" s="58">
        <f t="shared" si="327"/>
        <v>94</v>
      </c>
      <c r="S389" s="59">
        <f t="shared" si="327"/>
        <v>373</v>
      </c>
      <c r="T389" s="24">
        <f t="shared" si="327"/>
        <v>89</v>
      </c>
      <c r="U389" s="30">
        <f t="shared" si="327"/>
        <v>91</v>
      </c>
      <c r="V389" s="25">
        <f t="shared" si="327"/>
        <v>94</v>
      </c>
      <c r="W389" s="60">
        <f t="shared" si="327"/>
        <v>75</v>
      </c>
      <c r="X389" s="61">
        <f t="shared" si="327"/>
        <v>349</v>
      </c>
      <c r="Y389" s="85">
        <f>S389+X389</f>
        <v>722</v>
      </c>
    </row>
    <row r="390" spans="1:27" x14ac:dyDescent="0.15">
      <c r="A390" s="44" t="s">
        <v>27</v>
      </c>
      <c r="B390" s="15"/>
      <c r="C390" s="28"/>
      <c r="D390" s="16"/>
      <c r="E390" s="19"/>
      <c r="F390" s="42">
        <f t="shared" ref="F390:F414" si="328">SUM(B390:E390)</f>
        <v>0</v>
      </c>
      <c r="G390" s="15"/>
      <c r="H390" s="28"/>
      <c r="I390" s="16"/>
      <c r="J390" s="31">
        <v>1</v>
      </c>
      <c r="K390" s="79">
        <f t="shared" ref="K390:K407" si="329">SUM(G390:J390)</f>
        <v>1</v>
      </c>
      <c r="L390" s="94">
        <f t="shared" ref="L390:L416" si="330">F390+K390</f>
        <v>1</v>
      </c>
      <c r="M390" s="105">
        <v>46052</v>
      </c>
      <c r="N390" s="11" t="s">
        <v>287</v>
      </c>
      <c r="O390" s="15"/>
      <c r="P390" s="28"/>
      <c r="Q390" s="16"/>
      <c r="R390" s="19">
        <v>2</v>
      </c>
      <c r="S390" s="42">
        <f t="shared" ref="S390:S414" si="331">SUM(O390:R390)</f>
        <v>2</v>
      </c>
      <c r="T390" s="15"/>
      <c r="U390" s="28">
        <v>6</v>
      </c>
      <c r="V390" s="16"/>
      <c r="W390" s="31">
        <v>4</v>
      </c>
      <c r="X390" s="9">
        <f t="shared" ref="X390:X395" si="332">SUM(T390:W390)</f>
        <v>10</v>
      </c>
      <c r="Y390" s="94">
        <f>S390+X390</f>
        <v>12</v>
      </c>
      <c r="Z390" s="104">
        <v>46063</v>
      </c>
    </row>
    <row r="391" spans="1:27" x14ac:dyDescent="0.15">
      <c r="A391" s="44" t="s">
        <v>27</v>
      </c>
      <c r="B391" s="15"/>
      <c r="C391" s="28"/>
      <c r="D391" s="16"/>
      <c r="E391" s="19"/>
      <c r="F391" s="42">
        <f t="shared" si="328"/>
        <v>0</v>
      </c>
      <c r="G391" s="15"/>
      <c r="H391" s="28">
        <v>1</v>
      </c>
      <c r="I391" s="16"/>
      <c r="J391" s="31">
        <v>1</v>
      </c>
      <c r="K391" s="79">
        <f t="shared" si="329"/>
        <v>2</v>
      </c>
      <c r="L391" s="94">
        <f t="shared" si="330"/>
        <v>2</v>
      </c>
      <c r="M391" s="105">
        <v>46055</v>
      </c>
      <c r="N391" s="44" t="s">
        <v>268</v>
      </c>
      <c r="O391" s="15"/>
      <c r="P391" s="28"/>
      <c r="Q391" s="16"/>
      <c r="R391" s="19"/>
      <c r="S391" s="42">
        <f t="shared" si="331"/>
        <v>0</v>
      </c>
      <c r="T391" s="15"/>
      <c r="U391" s="28"/>
      <c r="V391" s="16"/>
      <c r="W391" s="31">
        <v>3</v>
      </c>
      <c r="X391" s="9">
        <f t="shared" si="332"/>
        <v>3</v>
      </c>
      <c r="Y391" s="94">
        <f>S391+X391</f>
        <v>3</v>
      </c>
      <c r="Z391" s="104">
        <v>46063</v>
      </c>
    </row>
    <row r="392" spans="1:27" x14ac:dyDescent="0.15">
      <c r="A392" s="44" t="s">
        <v>27</v>
      </c>
      <c r="B392" s="15"/>
      <c r="C392" s="28"/>
      <c r="D392" s="16"/>
      <c r="E392" s="19"/>
      <c r="F392" s="42">
        <f t="shared" si="328"/>
        <v>0</v>
      </c>
      <c r="G392" s="15"/>
      <c r="H392" s="28">
        <v>1</v>
      </c>
      <c r="I392" s="16"/>
      <c r="J392" s="31"/>
      <c r="K392" s="79">
        <f t="shared" si="329"/>
        <v>1</v>
      </c>
      <c r="L392" s="94">
        <f t="shared" si="330"/>
        <v>1</v>
      </c>
      <c r="M392" s="105">
        <v>46059</v>
      </c>
      <c r="N392" s="11" t="s">
        <v>291</v>
      </c>
      <c r="O392" s="15">
        <v>10</v>
      </c>
      <c r="P392" s="28">
        <v>10</v>
      </c>
      <c r="Q392" s="16">
        <v>10</v>
      </c>
      <c r="R392" s="19">
        <v>10</v>
      </c>
      <c r="S392" s="42">
        <f t="shared" si="331"/>
        <v>40</v>
      </c>
      <c r="T392" s="15">
        <v>10</v>
      </c>
      <c r="U392" s="28">
        <v>10</v>
      </c>
      <c r="V392" s="16">
        <v>10</v>
      </c>
      <c r="W392" s="31">
        <v>10</v>
      </c>
      <c r="X392" s="9">
        <f t="shared" si="332"/>
        <v>40</v>
      </c>
      <c r="Y392" s="94">
        <f>S392+X392</f>
        <v>80</v>
      </c>
      <c r="Z392" s="104">
        <v>46066</v>
      </c>
    </row>
    <row r="393" spans="1:27" x14ac:dyDescent="0.15">
      <c r="A393" s="44" t="s">
        <v>27</v>
      </c>
      <c r="B393" s="15"/>
      <c r="C393" s="28"/>
      <c r="D393" s="16"/>
      <c r="E393" s="19"/>
      <c r="F393" s="42">
        <f t="shared" si="328"/>
        <v>0</v>
      </c>
      <c r="G393" s="15"/>
      <c r="H393" s="28"/>
      <c r="I393" s="16">
        <v>2</v>
      </c>
      <c r="J393" s="31">
        <v>2</v>
      </c>
      <c r="K393" s="79">
        <f t="shared" si="329"/>
        <v>4</v>
      </c>
      <c r="L393" s="94">
        <f t="shared" si="330"/>
        <v>4</v>
      </c>
      <c r="M393" s="105">
        <v>46062</v>
      </c>
      <c r="N393" s="193" t="s">
        <v>268</v>
      </c>
      <c r="O393" s="194"/>
      <c r="P393" s="195"/>
      <c r="Q393" s="196"/>
      <c r="R393" s="197"/>
      <c r="S393" s="198">
        <f t="shared" si="331"/>
        <v>0</v>
      </c>
      <c r="T393" s="194"/>
      <c r="U393" s="195">
        <v>3</v>
      </c>
      <c r="V393" s="196">
        <v>3</v>
      </c>
      <c r="W393" s="201"/>
      <c r="X393" s="202">
        <f t="shared" si="332"/>
        <v>6</v>
      </c>
      <c r="Y393" s="179">
        <f t="shared" ref="Y393:Y416" si="333">S393+X393</f>
        <v>6</v>
      </c>
      <c r="Z393" s="180">
        <v>46065</v>
      </c>
    </row>
    <row r="394" spans="1:27" x14ac:dyDescent="0.15">
      <c r="A394" s="44" t="s">
        <v>27</v>
      </c>
      <c r="B394" s="15"/>
      <c r="C394" s="28"/>
      <c r="D394" s="16"/>
      <c r="E394" s="19"/>
      <c r="F394" s="42">
        <f t="shared" si="328"/>
        <v>0</v>
      </c>
      <c r="G394" s="15"/>
      <c r="H394" s="28">
        <v>1</v>
      </c>
      <c r="I394" s="16">
        <v>1</v>
      </c>
      <c r="J394" s="31"/>
      <c r="K394" s="79">
        <f t="shared" si="329"/>
        <v>2</v>
      </c>
      <c r="L394" s="94">
        <f t="shared" si="330"/>
        <v>2</v>
      </c>
      <c r="M394" s="105">
        <v>46063</v>
      </c>
      <c r="N394" s="226" t="s">
        <v>295</v>
      </c>
      <c r="O394" s="15">
        <v>3</v>
      </c>
      <c r="P394" s="28">
        <v>3</v>
      </c>
      <c r="Q394" s="16">
        <v>3</v>
      </c>
      <c r="R394" s="19">
        <v>3</v>
      </c>
      <c r="S394" s="42">
        <f t="shared" si="331"/>
        <v>12</v>
      </c>
      <c r="T394" s="15">
        <v>3</v>
      </c>
      <c r="U394" s="28">
        <v>3</v>
      </c>
      <c r="V394" s="16">
        <v>3</v>
      </c>
      <c r="W394" s="31">
        <v>3</v>
      </c>
      <c r="X394" s="9">
        <f t="shared" si="332"/>
        <v>12</v>
      </c>
      <c r="Y394" s="94">
        <f t="shared" si="333"/>
        <v>24</v>
      </c>
      <c r="Z394" s="104">
        <v>46072</v>
      </c>
    </row>
    <row r="395" spans="1:27" x14ac:dyDescent="0.15">
      <c r="A395" s="44" t="s">
        <v>27</v>
      </c>
      <c r="B395" s="15"/>
      <c r="C395" s="28">
        <v>1</v>
      </c>
      <c r="D395" s="16"/>
      <c r="E395" s="19"/>
      <c r="F395" s="42">
        <f t="shared" si="328"/>
        <v>1</v>
      </c>
      <c r="G395" s="15"/>
      <c r="H395" s="28">
        <v>1</v>
      </c>
      <c r="I395" s="16">
        <v>1</v>
      </c>
      <c r="J395" s="31">
        <v>2</v>
      </c>
      <c r="K395" s="79">
        <f t="shared" si="329"/>
        <v>4</v>
      </c>
      <c r="L395" s="94">
        <f t="shared" si="330"/>
        <v>5</v>
      </c>
      <c r="M395" s="105">
        <v>46069</v>
      </c>
      <c r="N395" s="44" t="s">
        <v>268</v>
      </c>
      <c r="O395" s="15"/>
      <c r="P395" s="28">
        <v>5</v>
      </c>
      <c r="Q395" s="16"/>
      <c r="R395" s="19"/>
      <c r="S395" s="42">
        <f t="shared" si="331"/>
        <v>5</v>
      </c>
      <c r="T395" s="15"/>
      <c r="U395" s="28"/>
      <c r="V395" s="16"/>
      <c r="W395" s="31"/>
      <c r="X395" s="9">
        <f t="shared" si="332"/>
        <v>0</v>
      </c>
      <c r="Y395" s="94">
        <f t="shared" si="333"/>
        <v>5</v>
      </c>
      <c r="Z395" s="104">
        <v>46070</v>
      </c>
    </row>
    <row r="396" spans="1:27" x14ac:dyDescent="0.15">
      <c r="A396" s="193" t="s">
        <v>63</v>
      </c>
      <c r="B396" s="194"/>
      <c r="C396" s="195">
        <v>-5</v>
      </c>
      <c r="D396" s="196"/>
      <c r="E396" s="197"/>
      <c r="F396" s="198">
        <f t="shared" si="328"/>
        <v>-5</v>
      </c>
      <c r="G396" s="194"/>
      <c r="H396" s="195"/>
      <c r="I396" s="196"/>
      <c r="J396" s="201"/>
      <c r="K396" s="200">
        <f t="shared" si="329"/>
        <v>0</v>
      </c>
      <c r="L396" s="179">
        <f t="shared" si="330"/>
        <v>-5</v>
      </c>
      <c r="M396" s="180">
        <v>46070</v>
      </c>
      <c r="N396" s="44" t="s">
        <v>293</v>
      </c>
      <c r="O396" s="15"/>
      <c r="P396" s="28">
        <v>3</v>
      </c>
      <c r="Q396" s="16"/>
      <c r="R396" s="19">
        <v>3</v>
      </c>
      <c r="S396" s="42">
        <f t="shared" si="331"/>
        <v>6</v>
      </c>
      <c r="T396" s="15"/>
      <c r="U396" s="28">
        <v>5</v>
      </c>
      <c r="V396" s="16">
        <v>5</v>
      </c>
      <c r="W396" s="31">
        <v>3</v>
      </c>
      <c r="X396" s="9">
        <f>SUM(T396:W396)</f>
        <v>13</v>
      </c>
      <c r="Y396" s="94">
        <f t="shared" si="333"/>
        <v>19</v>
      </c>
      <c r="Z396" s="104">
        <v>46078</v>
      </c>
    </row>
    <row r="397" spans="1:27" x14ac:dyDescent="0.15">
      <c r="A397" s="44" t="s">
        <v>292</v>
      </c>
      <c r="B397" s="15"/>
      <c r="C397" s="28">
        <v>2</v>
      </c>
      <c r="D397" s="16"/>
      <c r="E397" s="19"/>
      <c r="F397" s="42">
        <f t="shared" si="328"/>
        <v>2</v>
      </c>
      <c r="G397" s="15"/>
      <c r="H397" s="28"/>
      <c r="I397" s="16"/>
      <c r="J397" s="31"/>
      <c r="K397" s="79">
        <f t="shared" si="329"/>
        <v>0</v>
      </c>
      <c r="L397" s="94">
        <f t="shared" si="330"/>
        <v>2</v>
      </c>
      <c r="M397" s="105">
        <v>46069</v>
      </c>
      <c r="N397" s="11" t="s">
        <v>294</v>
      </c>
      <c r="O397" s="15"/>
      <c r="P397" s="28"/>
      <c r="Q397" s="16"/>
      <c r="R397" s="19"/>
      <c r="S397" s="42">
        <f t="shared" si="331"/>
        <v>0</v>
      </c>
      <c r="T397" s="15"/>
      <c r="U397" s="28"/>
      <c r="V397" s="16"/>
      <c r="W397" s="31">
        <v>5</v>
      </c>
      <c r="X397" s="9">
        <f t="shared" ref="X397:X401" si="334">SUM(T397:W397)</f>
        <v>5</v>
      </c>
      <c r="Y397" s="94">
        <f t="shared" si="333"/>
        <v>5</v>
      </c>
      <c r="Z397" s="104">
        <v>46077</v>
      </c>
    </row>
    <row r="398" spans="1:27" x14ac:dyDescent="0.15">
      <c r="A398" s="44" t="s">
        <v>296</v>
      </c>
      <c r="B398" s="15"/>
      <c r="C398" s="28"/>
      <c r="D398" s="16"/>
      <c r="E398" s="19"/>
      <c r="F398" s="42">
        <f t="shared" si="328"/>
        <v>0</v>
      </c>
      <c r="G398" s="15"/>
      <c r="H398" s="28"/>
      <c r="I398" s="16">
        <v>-1</v>
      </c>
      <c r="J398" s="31"/>
      <c r="K398" s="79">
        <f t="shared" si="329"/>
        <v>-1</v>
      </c>
      <c r="L398" s="94">
        <f t="shared" si="330"/>
        <v>-1</v>
      </c>
      <c r="M398" s="105">
        <v>46070</v>
      </c>
      <c r="N398" s="44" t="s">
        <v>268</v>
      </c>
      <c r="O398" s="15"/>
      <c r="P398" s="28"/>
      <c r="Q398" s="16"/>
      <c r="R398" s="19"/>
      <c r="S398" s="42">
        <f t="shared" si="331"/>
        <v>0</v>
      </c>
      <c r="T398" s="15"/>
      <c r="U398" s="28"/>
      <c r="V398" s="16"/>
      <c r="W398" s="31">
        <v>3</v>
      </c>
      <c r="X398" s="9">
        <f t="shared" si="334"/>
        <v>3</v>
      </c>
      <c r="Y398" s="94">
        <f t="shared" si="333"/>
        <v>3</v>
      </c>
      <c r="Z398" s="104">
        <v>46073</v>
      </c>
    </row>
    <row r="399" spans="1:27" x14ac:dyDescent="0.15">
      <c r="A399" s="193" t="s">
        <v>27</v>
      </c>
      <c r="B399" s="194"/>
      <c r="C399" s="195"/>
      <c r="D399" s="196"/>
      <c r="E399" s="197"/>
      <c r="F399" s="198">
        <f t="shared" si="328"/>
        <v>0</v>
      </c>
      <c r="G399" s="194"/>
      <c r="H399" s="195"/>
      <c r="I399" s="196">
        <v>1</v>
      </c>
      <c r="J399" s="201">
        <v>1</v>
      </c>
      <c r="K399" s="200">
        <f t="shared" si="329"/>
        <v>2</v>
      </c>
      <c r="L399" s="179">
        <f t="shared" si="330"/>
        <v>2</v>
      </c>
      <c r="M399" s="180">
        <v>46072</v>
      </c>
      <c r="N399" s="11" t="s">
        <v>297</v>
      </c>
      <c r="O399" s="15"/>
      <c r="P399" s="28"/>
      <c r="Q399" s="16"/>
      <c r="R399" s="19"/>
      <c r="S399" s="42">
        <f t="shared" si="331"/>
        <v>0</v>
      </c>
      <c r="T399" s="15">
        <v>8</v>
      </c>
      <c r="U399" s="28"/>
      <c r="V399" s="16"/>
      <c r="W399" s="31"/>
      <c r="X399" s="9">
        <f t="shared" si="334"/>
        <v>8</v>
      </c>
      <c r="Y399" s="94">
        <f t="shared" si="333"/>
        <v>8</v>
      </c>
      <c r="Z399" s="104">
        <v>46077</v>
      </c>
    </row>
    <row r="400" spans="1:27" x14ac:dyDescent="0.15">
      <c r="A400" s="44" t="s">
        <v>63</v>
      </c>
      <c r="B400" s="15"/>
      <c r="C400" s="28"/>
      <c r="D400" s="16"/>
      <c r="E400" s="19"/>
      <c r="F400" s="42">
        <f t="shared" si="328"/>
        <v>0</v>
      </c>
      <c r="G400" s="15"/>
      <c r="H400" s="28"/>
      <c r="I400" s="16"/>
      <c r="J400" s="31">
        <v>-3</v>
      </c>
      <c r="K400" s="79">
        <f t="shared" si="329"/>
        <v>-3</v>
      </c>
      <c r="L400" s="94">
        <f t="shared" si="330"/>
        <v>-3</v>
      </c>
      <c r="M400" s="104">
        <v>46073</v>
      </c>
      <c r="N400" s="44" t="s">
        <v>298</v>
      </c>
      <c r="O400" s="15">
        <v>1</v>
      </c>
      <c r="P400" s="28"/>
      <c r="Q400" s="16"/>
      <c r="R400" s="19"/>
      <c r="S400" s="42">
        <f t="shared" si="331"/>
        <v>1</v>
      </c>
      <c r="T400" s="15"/>
      <c r="U400" s="28"/>
      <c r="V400" s="16"/>
      <c r="W400" s="31">
        <v>3</v>
      </c>
      <c r="X400" s="9">
        <f t="shared" si="334"/>
        <v>3</v>
      </c>
      <c r="Y400" s="94">
        <f t="shared" si="333"/>
        <v>4</v>
      </c>
      <c r="Z400" s="104">
        <v>46079</v>
      </c>
    </row>
    <row r="401" spans="1:28" x14ac:dyDescent="0.15">
      <c r="A401" s="44" t="s">
        <v>27</v>
      </c>
      <c r="B401" s="15">
        <v>2</v>
      </c>
      <c r="C401" s="28"/>
      <c r="D401" s="16">
        <v>1</v>
      </c>
      <c r="E401" s="19"/>
      <c r="F401" s="42">
        <f t="shared" si="328"/>
        <v>3</v>
      </c>
      <c r="G401" s="15"/>
      <c r="H401" s="28">
        <v>1</v>
      </c>
      <c r="I401" s="16">
        <v>1</v>
      </c>
      <c r="J401" s="31">
        <v>1</v>
      </c>
      <c r="K401" s="79">
        <f t="shared" si="329"/>
        <v>3</v>
      </c>
      <c r="L401" s="94">
        <f t="shared" si="330"/>
        <v>6</v>
      </c>
      <c r="M401" s="105">
        <v>46077</v>
      </c>
      <c r="N401" s="11" t="s">
        <v>299</v>
      </c>
      <c r="O401" s="15"/>
      <c r="P401" s="28"/>
      <c r="Q401" s="16"/>
      <c r="R401" s="19"/>
      <c r="S401" s="42">
        <f t="shared" si="331"/>
        <v>0</v>
      </c>
      <c r="T401" s="15"/>
      <c r="U401" s="28"/>
      <c r="V401" s="16">
        <v>2</v>
      </c>
      <c r="W401" s="31"/>
      <c r="X401" s="9">
        <f t="shared" si="334"/>
        <v>2</v>
      </c>
      <c r="Y401" s="94">
        <f t="shared" si="333"/>
        <v>2</v>
      </c>
      <c r="Z401" s="104">
        <v>46084</v>
      </c>
    </row>
    <row r="402" spans="1:28" x14ac:dyDescent="0.15">
      <c r="A402" s="44" t="s">
        <v>27</v>
      </c>
      <c r="B402" s="15"/>
      <c r="C402" s="28"/>
      <c r="D402" s="16"/>
      <c r="E402" s="19"/>
      <c r="F402" s="42">
        <f t="shared" si="328"/>
        <v>0</v>
      </c>
      <c r="G402" s="15"/>
      <c r="H402" s="28"/>
      <c r="I402" s="16">
        <v>1</v>
      </c>
      <c r="J402" s="31"/>
      <c r="K402" s="79">
        <f t="shared" si="329"/>
        <v>1</v>
      </c>
      <c r="L402" s="94">
        <f t="shared" si="330"/>
        <v>1</v>
      </c>
      <c r="M402" s="105">
        <v>46079</v>
      </c>
      <c r="N402" s="44" t="s">
        <v>268</v>
      </c>
      <c r="O402" s="15"/>
      <c r="P402" s="28"/>
      <c r="Q402" s="16"/>
      <c r="R402" s="19"/>
      <c r="S402" s="42">
        <f t="shared" si="331"/>
        <v>0</v>
      </c>
      <c r="T402" s="15"/>
      <c r="U402" s="28"/>
      <c r="V402" s="16">
        <v>3</v>
      </c>
      <c r="W402" s="31"/>
      <c r="X402" s="9">
        <f>SUM(T402:W402)</f>
        <v>3</v>
      </c>
      <c r="Y402" s="94">
        <f t="shared" si="333"/>
        <v>3</v>
      </c>
      <c r="Z402" s="104">
        <v>46080</v>
      </c>
    </row>
    <row r="403" spans="1:28" x14ac:dyDescent="0.15">
      <c r="A403" s="193" t="s">
        <v>63</v>
      </c>
      <c r="B403" s="194"/>
      <c r="C403" s="195"/>
      <c r="D403" s="196"/>
      <c r="E403" s="197"/>
      <c r="F403" s="198">
        <f t="shared" si="328"/>
        <v>0</v>
      </c>
      <c r="G403" s="194"/>
      <c r="H403" s="195"/>
      <c r="I403" s="196">
        <v>-3</v>
      </c>
      <c r="J403" s="201"/>
      <c r="K403" s="200">
        <f t="shared" si="329"/>
        <v>-3</v>
      </c>
      <c r="L403" s="179">
        <f t="shared" si="330"/>
        <v>-3</v>
      </c>
      <c r="M403" s="180">
        <v>46080</v>
      </c>
      <c r="N403" s="44" t="s">
        <v>301</v>
      </c>
      <c r="O403" s="15"/>
      <c r="P403" s="28"/>
      <c r="Q403" s="16"/>
      <c r="R403" s="19">
        <v>2</v>
      </c>
      <c r="S403" s="42">
        <f t="shared" si="331"/>
        <v>2</v>
      </c>
      <c r="T403" s="15">
        <v>1</v>
      </c>
      <c r="U403" s="28"/>
      <c r="V403" s="16"/>
      <c r="W403" s="31"/>
      <c r="X403" s="9">
        <f>SUM(T403:W403)</f>
        <v>1</v>
      </c>
      <c r="Y403" s="94">
        <f t="shared" si="333"/>
        <v>3</v>
      </c>
      <c r="Z403" s="104">
        <v>46086</v>
      </c>
      <c r="AA403" s="109"/>
      <c r="AB403" s="109"/>
    </row>
    <row r="404" spans="1:28" x14ac:dyDescent="0.15">
      <c r="A404" s="44" t="s">
        <v>344</v>
      </c>
      <c r="B404" s="15">
        <v>2</v>
      </c>
      <c r="C404" s="28"/>
      <c r="D404" s="16"/>
      <c r="E404" s="19"/>
      <c r="F404" s="42">
        <f t="shared" si="328"/>
        <v>2</v>
      </c>
      <c r="G404" s="15"/>
      <c r="H404" s="28"/>
      <c r="I404" s="16"/>
      <c r="J404" s="31"/>
      <c r="K404" s="79">
        <f t="shared" si="329"/>
        <v>0</v>
      </c>
      <c r="L404" s="94">
        <f t="shared" si="330"/>
        <v>2</v>
      </c>
      <c r="M404" s="105">
        <v>46083</v>
      </c>
      <c r="N404" s="226" t="s">
        <v>303</v>
      </c>
      <c r="O404" s="15">
        <v>5</v>
      </c>
      <c r="P404" s="28">
        <v>5</v>
      </c>
      <c r="Q404" s="16">
        <v>15</v>
      </c>
      <c r="R404" s="19">
        <v>10</v>
      </c>
      <c r="S404" s="42">
        <f t="shared" si="331"/>
        <v>35</v>
      </c>
      <c r="T404" s="15">
        <v>5</v>
      </c>
      <c r="U404" s="28">
        <v>15</v>
      </c>
      <c r="V404" s="16">
        <v>10</v>
      </c>
      <c r="W404" s="31">
        <v>10</v>
      </c>
      <c r="X404" s="9">
        <f t="shared" ref="X404:X407" si="335">SUM(T404:W404)</f>
        <v>40</v>
      </c>
      <c r="Y404" s="94">
        <f t="shared" si="333"/>
        <v>75</v>
      </c>
      <c r="Z404" s="104">
        <v>46085</v>
      </c>
    </row>
    <row r="405" spans="1:28" x14ac:dyDescent="0.15">
      <c r="A405" s="44" t="s">
        <v>27</v>
      </c>
      <c r="B405" s="15"/>
      <c r="C405" s="28">
        <v>1</v>
      </c>
      <c r="D405" s="16"/>
      <c r="E405" s="19">
        <v>1</v>
      </c>
      <c r="F405" s="42">
        <f t="shared" ref="F405" si="336">SUM(B405:E405)</f>
        <v>2</v>
      </c>
      <c r="G405" s="15"/>
      <c r="H405" s="28"/>
      <c r="I405" s="16">
        <v>2</v>
      </c>
      <c r="J405" s="31"/>
      <c r="K405" s="79">
        <f t="shared" ref="K405" si="337">SUM(G405:J405)</f>
        <v>2</v>
      </c>
      <c r="L405" s="94">
        <f t="shared" ref="L405" si="338">F405+K405</f>
        <v>4</v>
      </c>
      <c r="M405" s="105">
        <v>46083</v>
      </c>
      <c r="N405" s="11" t="s">
        <v>302</v>
      </c>
      <c r="O405" s="15"/>
      <c r="P405" s="28"/>
      <c r="Q405" s="16"/>
      <c r="R405" s="19"/>
      <c r="S405" s="42">
        <f t="shared" si="331"/>
        <v>0</v>
      </c>
      <c r="T405" s="15"/>
      <c r="U405" s="28"/>
      <c r="V405" s="16"/>
      <c r="W405" s="31">
        <v>5</v>
      </c>
      <c r="X405" s="9">
        <f t="shared" si="335"/>
        <v>5</v>
      </c>
      <c r="Y405" s="94">
        <f t="shared" si="333"/>
        <v>5</v>
      </c>
      <c r="Z405" s="104">
        <v>46087</v>
      </c>
    </row>
    <row r="406" spans="1:28" x14ac:dyDescent="0.15">
      <c r="A406" s="44"/>
      <c r="B406" s="15"/>
      <c r="C406" s="28"/>
      <c r="D406" s="16"/>
      <c r="E406" s="19"/>
      <c r="F406" s="42">
        <f t="shared" si="328"/>
        <v>0</v>
      </c>
      <c r="G406" s="15"/>
      <c r="H406" s="28"/>
      <c r="I406" s="16"/>
      <c r="J406" s="31"/>
      <c r="K406" s="79">
        <f t="shared" si="329"/>
        <v>0</v>
      </c>
      <c r="L406" s="94">
        <f t="shared" si="330"/>
        <v>0</v>
      </c>
      <c r="N406" s="44" t="s">
        <v>304</v>
      </c>
      <c r="O406" s="15"/>
      <c r="P406" s="28"/>
      <c r="Q406" s="16"/>
      <c r="R406" s="19"/>
      <c r="S406" s="42">
        <f t="shared" si="331"/>
        <v>0</v>
      </c>
      <c r="T406" s="15"/>
      <c r="U406" s="28"/>
      <c r="V406" s="16"/>
      <c r="W406" s="31">
        <v>5</v>
      </c>
      <c r="X406" s="9">
        <f t="shared" si="335"/>
        <v>5</v>
      </c>
      <c r="Y406" s="94">
        <f t="shared" si="333"/>
        <v>5</v>
      </c>
      <c r="Z406" s="104">
        <v>46087</v>
      </c>
    </row>
    <row r="407" spans="1:28" x14ac:dyDescent="0.15">
      <c r="A407" s="44"/>
      <c r="B407" s="15"/>
      <c r="C407" s="28"/>
      <c r="D407" s="16"/>
      <c r="E407" s="19"/>
      <c r="F407" s="42">
        <f t="shared" si="328"/>
        <v>0</v>
      </c>
      <c r="G407" s="15"/>
      <c r="H407" s="28"/>
      <c r="I407" s="16"/>
      <c r="J407" s="31"/>
      <c r="K407" s="79">
        <f t="shared" si="329"/>
        <v>0</v>
      </c>
      <c r="L407" s="94">
        <f t="shared" si="330"/>
        <v>0</v>
      </c>
      <c r="N407" s="44"/>
      <c r="O407" s="15"/>
      <c r="P407" s="28"/>
      <c r="Q407" s="16"/>
      <c r="R407" s="19"/>
      <c r="S407" s="42">
        <f t="shared" si="331"/>
        <v>0</v>
      </c>
      <c r="T407" s="38"/>
      <c r="U407" s="39"/>
      <c r="V407" s="40"/>
      <c r="W407" s="52"/>
      <c r="X407" s="54">
        <f t="shared" si="335"/>
        <v>0</v>
      </c>
      <c r="Y407" s="94">
        <f t="shared" si="333"/>
        <v>0</v>
      </c>
    </row>
    <row r="408" spans="1:28" x14ac:dyDescent="0.15">
      <c r="A408" s="44"/>
      <c r="B408" s="15"/>
      <c r="C408" s="28"/>
      <c r="D408" s="16"/>
      <c r="E408" s="19"/>
      <c r="F408" s="42">
        <f t="shared" si="328"/>
        <v>0</v>
      </c>
      <c r="G408" s="15"/>
      <c r="H408" s="28"/>
      <c r="I408" s="16"/>
      <c r="J408" s="31"/>
      <c r="K408" s="79">
        <f>SUM(G408:J408)</f>
        <v>0</v>
      </c>
      <c r="L408" s="94">
        <f t="shared" si="330"/>
        <v>0</v>
      </c>
      <c r="N408" s="44"/>
      <c r="O408" s="15"/>
      <c r="P408" s="28"/>
      <c r="Q408" s="16"/>
      <c r="R408" s="19"/>
      <c r="S408" s="42">
        <f t="shared" si="331"/>
        <v>0</v>
      </c>
      <c r="T408" s="15"/>
      <c r="U408" s="28"/>
      <c r="V408" s="16"/>
      <c r="W408" s="31"/>
      <c r="X408" s="9">
        <f>SUM(T408:W408)</f>
        <v>0</v>
      </c>
      <c r="Y408" s="94">
        <f t="shared" si="333"/>
        <v>0</v>
      </c>
    </row>
    <row r="409" spans="1:28" x14ac:dyDescent="0.15">
      <c r="A409" s="44"/>
      <c r="B409" s="15"/>
      <c r="C409" s="28"/>
      <c r="D409" s="16"/>
      <c r="E409" s="19"/>
      <c r="F409" s="42">
        <f t="shared" si="328"/>
        <v>0</v>
      </c>
      <c r="G409" s="15"/>
      <c r="H409" s="16"/>
      <c r="I409" s="28"/>
      <c r="J409" s="53"/>
      <c r="K409" s="79">
        <f t="shared" ref="K409:K415" si="339">SUM(G409:J409)</f>
        <v>0</v>
      </c>
      <c r="L409" s="94">
        <f t="shared" si="330"/>
        <v>0</v>
      </c>
      <c r="N409" s="225" t="s">
        <v>269</v>
      </c>
      <c r="O409" s="115"/>
      <c r="P409" s="116"/>
      <c r="Q409" s="117"/>
      <c r="R409" s="118"/>
      <c r="S409" s="127">
        <f t="shared" si="331"/>
        <v>0</v>
      </c>
      <c r="T409" s="115"/>
      <c r="U409" s="116"/>
      <c r="V409" s="117"/>
      <c r="W409" s="118"/>
      <c r="X409" s="119">
        <f t="shared" ref="X409:X410" si="340">SUM(T409:W409)</f>
        <v>0</v>
      </c>
      <c r="Y409" s="120">
        <f t="shared" si="333"/>
        <v>0</v>
      </c>
      <c r="Z409" s="134"/>
    </row>
    <row r="410" spans="1:28" x14ac:dyDescent="0.15">
      <c r="A410" s="44"/>
      <c r="B410" s="15"/>
      <c r="C410" s="28"/>
      <c r="D410" s="16"/>
      <c r="E410" s="19"/>
      <c r="F410" s="42">
        <f t="shared" si="328"/>
        <v>0</v>
      </c>
      <c r="G410" s="15"/>
      <c r="H410" s="28"/>
      <c r="I410" s="16"/>
      <c r="J410" s="31"/>
      <c r="K410" s="79">
        <f t="shared" si="339"/>
        <v>0</v>
      </c>
      <c r="L410" s="94">
        <f t="shared" si="330"/>
        <v>0</v>
      </c>
      <c r="N410" s="11" t="s">
        <v>250</v>
      </c>
      <c r="O410" s="15"/>
      <c r="P410" s="28"/>
      <c r="Q410" s="16"/>
      <c r="R410" s="19"/>
      <c r="S410" s="42">
        <f t="shared" si="331"/>
        <v>0</v>
      </c>
      <c r="T410" s="15"/>
      <c r="U410" s="28"/>
      <c r="V410" s="16"/>
      <c r="W410" s="19"/>
      <c r="X410" s="9">
        <f t="shared" si="340"/>
        <v>0</v>
      </c>
      <c r="Y410" s="126">
        <f t="shared" si="333"/>
        <v>0</v>
      </c>
      <c r="Z410" s="133" t="s">
        <v>251</v>
      </c>
    </row>
    <row r="411" spans="1:28" x14ac:dyDescent="0.15">
      <c r="A411" s="44"/>
      <c r="B411" s="15"/>
      <c r="C411" s="28"/>
      <c r="D411" s="16"/>
      <c r="E411" s="19"/>
      <c r="F411" s="42">
        <f t="shared" si="328"/>
        <v>0</v>
      </c>
      <c r="G411" s="38"/>
      <c r="H411" s="39"/>
      <c r="I411" s="40"/>
      <c r="J411" s="52"/>
      <c r="K411" s="83">
        <f t="shared" si="339"/>
        <v>0</v>
      </c>
      <c r="L411" s="94">
        <f t="shared" si="330"/>
        <v>0</v>
      </c>
      <c r="N411" s="165" t="s">
        <v>219</v>
      </c>
      <c r="O411" s="203">
        <v>-2</v>
      </c>
      <c r="P411" s="204">
        <v>-20</v>
      </c>
      <c r="Q411" s="205">
        <v>-15</v>
      </c>
      <c r="R411" s="206">
        <v>-15</v>
      </c>
      <c r="S411" s="207">
        <f t="shared" si="331"/>
        <v>-52</v>
      </c>
      <c r="T411" s="203">
        <v>-10</v>
      </c>
      <c r="U411" s="204">
        <v>-45</v>
      </c>
      <c r="V411" s="205">
        <v>-45</v>
      </c>
      <c r="W411" s="208">
        <v>-35</v>
      </c>
      <c r="X411" s="163">
        <f t="shared" ref="X411:X415" si="341">SUM(T411:W411)</f>
        <v>-135</v>
      </c>
      <c r="Y411" s="164">
        <f t="shared" si="333"/>
        <v>-187</v>
      </c>
    </row>
    <row r="412" spans="1:28" x14ac:dyDescent="0.15">
      <c r="A412" s="44"/>
      <c r="B412" s="15"/>
      <c r="C412" s="28"/>
      <c r="D412" s="16"/>
      <c r="E412" s="19"/>
      <c r="F412" s="42">
        <f t="shared" si="328"/>
        <v>0</v>
      </c>
      <c r="G412" s="15"/>
      <c r="H412" s="28"/>
      <c r="I412" s="16"/>
      <c r="J412" s="31"/>
      <c r="K412" s="79">
        <f t="shared" si="339"/>
        <v>0</v>
      </c>
      <c r="L412" s="94">
        <f t="shared" si="330"/>
        <v>0</v>
      </c>
      <c r="N412" s="89" t="s">
        <v>197</v>
      </c>
      <c r="O412" s="90">
        <f>15-3-6</f>
        <v>6</v>
      </c>
      <c r="P412" s="91">
        <f>36-7-2</f>
        <v>27</v>
      </c>
      <c r="Q412" s="92">
        <f>34-8</f>
        <v>26</v>
      </c>
      <c r="R412" s="161">
        <f>36-8-5</f>
        <v>23</v>
      </c>
      <c r="S412" s="162">
        <f t="shared" si="331"/>
        <v>82</v>
      </c>
      <c r="T412" s="90">
        <f>33-8-8-1</f>
        <v>16</v>
      </c>
      <c r="U412" s="91">
        <f>76-17-2-2-6</f>
        <v>49</v>
      </c>
      <c r="V412" s="92">
        <f>73-13-2-8</f>
        <v>50</v>
      </c>
      <c r="W412" s="95">
        <f>76-17-5-6-1-6</f>
        <v>41</v>
      </c>
      <c r="X412" s="93">
        <f t="shared" si="341"/>
        <v>156</v>
      </c>
      <c r="Y412" s="160">
        <f t="shared" si="333"/>
        <v>238</v>
      </c>
      <c r="Z412" s="132" t="s">
        <v>198</v>
      </c>
    </row>
    <row r="413" spans="1:28" x14ac:dyDescent="0.15">
      <c r="A413" s="44"/>
      <c r="B413" s="15"/>
      <c r="C413" s="28"/>
      <c r="D413" s="16"/>
      <c r="E413" s="19"/>
      <c r="F413" s="42">
        <f t="shared" si="328"/>
        <v>0</v>
      </c>
      <c r="G413" s="15"/>
      <c r="H413" s="28"/>
      <c r="I413" s="16"/>
      <c r="J413" s="31"/>
      <c r="K413" s="79">
        <f t="shared" si="339"/>
        <v>0</v>
      </c>
      <c r="L413" s="94">
        <f t="shared" si="330"/>
        <v>0</v>
      </c>
      <c r="N413" s="165" t="s">
        <v>236</v>
      </c>
      <c r="O413" s="182">
        <v>-10</v>
      </c>
      <c r="P413" s="183">
        <v>-20</v>
      </c>
      <c r="Q413" s="184">
        <v>-21</v>
      </c>
      <c r="R413" s="185">
        <v>-5</v>
      </c>
      <c r="S413" s="186">
        <f t="shared" si="331"/>
        <v>-56</v>
      </c>
      <c r="T413" s="182">
        <v>-3</v>
      </c>
      <c r="U413" s="183">
        <v>-5</v>
      </c>
      <c r="V413" s="184">
        <v>-5</v>
      </c>
      <c r="W413" s="187">
        <v>0</v>
      </c>
      <c r="X413" s="181">
        <f t="shared" si="341"/>
        <v>-13</v>
      </c>
      <c r="Y413" s="164">
        <f t="shared" si="333"/>
        <v>-69</v>
      </c>
    </row>
    <row r="414" spans="1:28" ht="14.25" thickBot="1" x14ac:dyDescent="0.2">
      <c r="A414" s="44"/>
      <c r="B414" s="34"/>
      <c r="C414" s="35"/>
      <c r="D414" s="36"/>
      <c r="E414" s="37"/>
      <c r="F414" s="42">
        <f t="shared" si="328"/>
        <v>0</v>
      </c>
      <c r="G414" s="34"/>
      <c r="H414" s="36"/>
      <c r="I414" s="35"/>
      <c r="J414" s="64"/>
      <c r="K414" s="80">
        <f t="shared" si="339"/>
        <v>0</v>
      </c>
      <c r="L414" s="106">
        <f t="shared" si="330"/>
        <v>0</v>
      </c>
      <c r="N414" s="141" t="s">
        <v>235</v>
      </c>
      <c r="O414" s="188">
        <f>23-7-1</f>
        <v>15</v>
      </c>
      <c r="P414" s="189">
        <f>45-14-3</f>
        <v>28</v>
      </c>
      <c r="Q414" s="190">
        <f>45-14</f>
        <v>31</v>
      </c>
      <c r="R414" s="191">
        <f>23-7-3-2-1</f>
        <v>10</v>
      </c>
      <c r="S414" s="138">
        <f t="shared" si="331"/>
        <v>84</v>
      </c>
      <c r="T414" s="188">
        <f>11-3</f>
        <v>8</v>
      </c>
      <c r="U414" s="189">
        <f>23-7-5</f>
        <v>11</v>
      </c>
      <c r="V414" s="190">
        <f>23-7-5</f>
        <v>11</v>
      </c>
      <c r="W414" s="192">
        <f>11-3-3-3-2</f>
        <v>0</v>
      </c>
      <c r="X414" s="139">
        <f t="shared" si="341"/>
        <v>30</v>
      </c>
      <c r="Y414" s="140">
        <f t="shared" si="333"/>
        <v>114</v>
      </c>
      <c r="Z414" s="132" t="s">
        <v>234</v>
      </c>
    </row>
    <row r="415" spans="1:28" ht="14.25" thickBot="1" x14ac:dyDescent="0.2">
      <c r="A415" s="12" t="s">
        <v>8</v>
      </c>
      <c r="B415" s="21">
        <f>SUM(B390:B414)</f>
        <v>4</v>
      </c>
      <c r="C415" s="29">
        <f>SUM(C390:C414)</f>
        <v>-1</v>
      </c>
      <c r="D415" s="22">
        <f>SUM(D390:D414)</f>
        <v>1</v>
      </c>
      <c r="E415" s="23">
        <f>SUM(E390:E414)</f>
        <v>1</v>
      </c>
      <c r="F415" s="20">
        <f>SUM(B415:E415)</f>
        <v>5</v>
      </c>
      <c r="G415" s="21">
        <f>SUM(G390:G414)</f>
        <v>0</v>
      </c>
      <c r="H415" s="29">
        <f>SUM(H390:H414)</f>
        <v>5</v>
      </c>
      <c r="I415" s="22">
        <f>SUM(I390:I414)</f>
        <v>5</v>
      </c>
      <c r="J415" s="23">
        <f>SUM(J390:J414)</f>
        <v>5</v>
      </c>
      <c r="K415" s="81">
        <f t="shared" si="339"/>
        <v>15</v>
      </c>
      <c r="L415" s="107">
        <f t="shared" si="330"/>
        <v>20</v>
      </c>
      <c r="N415" s="110" t="s">
        <v>8</v>
      </c>
      <c r="O415" s="21">
        <f>SUM(O390:O414)</f>
        <v>28</v>
      </c>
      <c r="P415" s="29">
        <f>SUM(P390:P414)</f>
        <v>41</v>
      </c>
      <c r="Q415" s="22">
        <f>SUM(Q390:Q414)</f>
        <v>49</v>
      </c>
      <c r="R415" s="23">
        <f>SUM(R390:R414)</f>
        <v>43</v>
      </c>
      <c r="S415" s="45">
        <f>SUM(O415:R415)</f>
        <v>161</v>
      </c>
      <c r="T415" s="21">
        <f>SUM(T390:T414)</f>
        <v>38</v>
      </c>
      <c r="U415" s="29">
        <f>SUM(U390:U414)</f>
        <v>52</v>
      </c>
      <c r="V415" s="22">
        <f>SUM(V390:V414)</f>
        <v>47</v>
      </c>
      <c r="W415" s="23">
        <f>SUM(W390:W414)</f>
        <v>60</v>
      </c>
      <c r="X415" s="45">
        <f t="shared" si="341"/>
        <v>197</v>
      </c>
      <c r="Y415" s="111">
        <f t="shared" si="333"/>
        <v>358</v>
      </c>
    </row>
    <row r="416" spans="1:28" ht="14.25" thickBot="1" x14ac:dyDescent="0.2">
      <c r="A416" s="13" t="s">
        <v>9</v>
      </c>
      <c r="B416" s="24">
        <f t="shared" ref="B416:K416" si="342">B389-B415</f>
        <v>2</v>
      </c>
      <c r="C416" s="30">
        <f t="shared" si="342"/>
        <v>4</v>
      </c>
      <c r="D416" s="25">
        <f t="shared" si="342"/>
        <v>3</v>
      </c>
      <c r="E416" s="26">
        <f t="shared" si="342"/>
        <v>4</v>
      </c>
      <c r="F416" s="71">
        <f t="shared" si="342"/>
        <v>13</v>
      </c>
      <c r="G416" s="24">
        <f t="shared" si="342"/>
        <v>4</v>
      </c>
      <c r="H416" s="30">
        <f t="shared" si="342"/>
        <v>3</v>
      </c>
      <c r="I416" s="25">
        <f t="shared" si="342"/>
        <v>3</v>
      </c>
      <c r="J416" s="26">
        <f t="shared" si="342"/>
        <v>4</v>
      </c>
      <c r="K416" s="82">
        <f t="shared" si="342"/>
        <v>14</v>
      </c>
      <c r="L416" s="86">
        <f t="shared" si="330"/>
        <v>27</v>
      </c>
      <c r="N416" s="13" t="s">
        <v>9</v>
      </c>
      <c r="O416" s="24">
        <f t="shared" ref="O416:X416" si="343">O389-O415</f>
        <v>73</v>
      </c>
      <c r="P416" s="30">
        <f t="shared" si="343"/>
        <v>35</v>
      </c>
      <c r="Q416" s="25">
        <f t="shared" si="343"/>
        <v>53</v>
      </c>
      <c r="R416" s="26">
        <f t="shared" si="343"/>
        <v>51</v>
      </c>
      <c r="S416" s="71">
        <f t="shared" si="343"/>
        <v>212</v>
      </c>
      <c r="T416" s="24">
        <f t="shared" si="343"/>
        <v>51</v>
      </c>
      <c r="U416" s="30">
        <f t="shared" si="343"/>
        <v>39</v>
      </c>
      <c r="V416" s="25">
        <f t="shared" si="343"/>
        <v>47</v>
      </c>
      <c r="W416" s="26">
        <f t="shared" si="343"/>
        <v>15</v>
      </c>
      <c r="X416" s="33">
        <f t="shared" si="343"/>
        <v>152</v>
      </c>
      <c r="Y416" s="86">
        <f t="shared" si="333"/>
        <v>364</v>
      </c>
    </row>
    <row r="417" spans="1:27" x14ac:dyDescent="0.15">
      <c r="N417" s="143" t="s">
        <v>146</v>
      </c>
      <c r="O417" s="113">
        <f>O416/$S$416*100</f>
        <v>34.433962264150942</v>
      </c>
      <c r="P417" s="113">
        <f t="shared" ref="P417:S417" si="344">P416/$S$416*100</f>
        <v>16.509433962264151</v>
      </c>
      <c r="Q417" s="113">
        <f t="shared" si="344"/>
        <v>25</v>
      </c>
      <c r="R417" s="113">
        <f t="shared" si="344"/>
        <v>24.056603773584907</v>
      </c>
      <c r="S417" s="113">
        <f t="shared" si="344"/>
        <v>100</v>
      </c>
      <c r="T417" s="113">
        <f>T416/$X$416*100</f>
        <v>33.55263157894737</v>
      </c>
      <c r="U417" s="113">
        <f t="shared" ref="U417:X417" si="345">U416/$X$416*100</f>
        <v>25.657894736842106</v>
      </c>
      <c r="V417" s="113">
        <f t="shared" si="345"/>
        <v>30.921052631578949</v>
      </c>
      <c r="W417" s="113">
        <f t="shared" si="345"/>
        <v>9.8684210526315788</v>
      </c>
      <c r="X417" s="113">
        <f t="shared" si="345"/>
        <v>100</v>
      </c>
      <c r="Y417" s="46"/>
    </row>
    <row r="418" spans="1:27" x14ac:dyDescent="0.15">
      <c r="N418" s="154" t="s">
        <v>145</v>
      </c>
      <c r="O418" s="145">
        <v>16.7</v>
      </c>
      <c r="P418" s="145">
        <v>28.1</v>
      </c>
      <c r="Q418" s="145">
        <v>29</v>
      </c>
      <c r="R418" s="145">
        <v>26.2</v>
      </c>
      <c r="S418" s="145">
        <f>SUM(O418:R418)</f>
        <v>100</v>
      </c>
      <c r="T418" s="145">
        <v>14.3</v>
      </c>
      <c r="U418" s="145">
        <v>27.1</v>
      </c>
      <c r="V418" s="145">
        <v>25.2</v>
      </c>
      <c r="W418" s="145">
        <v>33.4</v>
      </c>
      <c r="X418" s="145">
        <f>SUM(T418:W418)</f>
        <v>100</v>
      </c>
      <c r="Y418" s="155"/>
    </row>
    <row r="419" spans="1:27" ht="19.5" thickBot="1" x14ac:dyDescent="0.25">
      <c r="A419" s="2" t="s">
        <v>15</v>
      </c>
      <c r="B419" s="2"/>
      <c r="C419" s="1"/>
      <c r="D419" s="1"/>
      <c r="E419" s="1"/>
      <c r="G419" s="72"/>
      <c r="H419" s="1"/>
      <c r="I419" s="1"/>
      <c r="J419" s="1"/>
      <c r="K419" s="72" t="s">
        <v>12</v>
      </c>
      <c r="N419" s="2" t="s">
        <v>16</v>
      </c>
      <c r="O419" s="2"/>
      <c r="P419" s="1"/>
      <c r="Q419" s="1"/>
      <c r="R419" s="1"/>
      <c r="U419" s="1"/>
      <c r="V419" s="1"/>
      <c r="W419" s="1"/>
      <c r="X419" s="72" t="s">
        <v>12</v>
      </c>
    </row>
    <row r="420" spans="1:27" ht="14.25" thickBot="1" x14ac:dyDescent="0.2">
      <c r="A420" s="5" t="s">
        <v>0</v>
      </c>
      <c r="B420" s="245" t="s">
        <v>34</v>
      </c>
      <c r="C420" s="246"/>
      <c r="D420" s="246"/>
      <c r="E420" s="246"/>
      <c r="F420" s="247"/>
      <c r="G420" s="248" t="s">
        <v>35</v>
      </c>
      <c r="H420" s="249"/>
      <c r="I420" s="249"/>
      <c r="J420" s="249"/>
      <c r="K420" s="249"/>
      <c r="L420" s="243" t="s">
        <v>14</v>
      </c>
      <c r="N420" s="5" t="s">
        <v>0</v>
      </c>
      <c r="O420" s="245" t="s">
        <v>58</v>
      </c>
      <c r="P420" s="246"/>
      <c r="Q420" s="246"/>
      <c r="R420" s="246"/>
      <c r="S420" s="247"/>
      <c r="T420" s="248" t="s">
        <v>59</v>
      </c>
      <c r="U420" s="249"/>
      <c r="V420" s="249"/>
      <c r="W420" s="249"/>
      <c r="X420" s="249"/>
      <c r="Y420" s="243" t="s">
        <v>14</v>
      </c>
    </row>
    <row r="421" spans="1:27" ht="14.25" thickBot="1" x14ac:dyDescent="0.2">
      <c r="A421" s="5" t="s">
        <v>1</v>
      </c>
      <c r="B421" s="3" t="s">
        <v>17</v>
      </c>
      <c r="C421" s="27" t="s">
        <v>18</v>
      </c>
      <c r="D421" s="4" t="s">
        <v>19</v>
      </c>
      <c r="E421" s="14" t="s">
        <v>20</v>
      </c>
      <c r="F421" s="18" t="s">
        <v>2</v>
      </c>
      <c r="G421" s="3" t="s">
        <v>17</v>
      </c>
      <c r="H421" s="27" t="s">
        <v>18</v>
      </c>
      <c r="I421" s="4" t="s">
        <v>19</v>
      </c>
      <c r="J421" s="14" t="s">
        <v>20</v>
      </c>
      <c r="K421" s="73" t="s">
        <v>2</v>
      </c>
      <c r="L421" s="244"/>
      <c r="N421" s="5" t="s">
        <v>1</v>
      </c>
      <c r="O421" s="3" t="s">
        <v>17</v>
      </c>
      <c r="P421" s="27" t="s">
        <v>18</v>
      </c>
      <c r="Q421" s="4" t="s">
        <v>19</v>
      </c>
      <c r="R421" s="14" t="s">
        <v>20</v>
      </c>
      <c r="S421" s="18" t="s">
        <v>2</v>
      </c>
      <c r="T421" s="3" t="s">
        <v>17</v>
      </c>
      <c r="U421" s="27" t="s">
        <v>18</v>
      </c>
      <c r="V421" s="4" t="s">
        <v>19</v>
      </c>
      <c r="W421" s="14" t="s">
        <v>20</v>
      </c>
      <c r="X421" s="18" t="s">
        <v>2</v>
      </c>
      <c r="Y421" s="244"/>
    </row>
    <row r="422" spans="1:27" x14ac:dyDescent="0.15">
      <c r="A422" s="66" t="s">
        <v>10</v>
      </c>
      <c r="B422" s="67">
        <f>B416</f>
        <v>2</v>
      </c>
      <c r="C422" s="68">
        <f>C416</f>
        <v>4</v>
      </c>
      <c r="D422" s="68">
        <f>D416</f>
        <v>3</v>
      </c>
      <c r="E422" s="69">
        <f>E416</f>
        <v>4</v>
      </c>
      <c r="F422" s="70">
        <f>SUM(B422:E422)</f>
        <v>13</v>
      </c>
      <c r="G422" s="67">
        <f>G416</f>
        <v>4</v>
      </c>
      <c r="H422" s="68">
        <f>H416</f>
        <v>3</v>
      </c>
      <c r="I422" s="68">
        <f>I416</f>
        <v>3</v>
      </c>
      <c r="J422" s="69">
        <f>J416</f>
        <v>4</v>
      </c>
      <c r="K422" s="74">
        <f>SUM(G422:J422)</f>
        <v>14</v>
      </c>
      <c r="L422" s="84">
        <f>F422+K422</f>
        <v>27</v>
      </c>
      <c r="N422" s="66" t="s">
        <v>10</v>
      </c>
      <c r="O422" s="67">
        <f>O416</f>
        <v>73</v>
      </c>
      <c r="P422" s="68">
        <f>P416</f>
        <v>35</v>
      </c>
      <c r="Q422" s="68">
        <f>Q416</f>
        <v>53</v>
      </c>
      <c r="R422" s="69">
        <f>R416</f>
        <v>51</v>
      </c>
      <c r="S422" s="70">
        <f>SUM(O422:R422)</f>
        <v>212</v>
      </c>
      <c r="T422" s="67">
        <f>T416</f>
        <v>51</v>
      </c>
      <c r="U422" s="68">
        <f>U416</f>
        <v>39</v>
      </c>
      <c r="V422" s="68">
        <f>V416</f>
        <v>47</v>
      </c>
      <c r="W422" s="87">
        <f>W416</f>
        <v>15</v>
      </c>
      <c r="X422" s="88">
        <f>SUM(T422:W422)</f>
        <v>152</v>
      </c>
      <c r="Y422" s="84">
        <f>S422+X422</f>
        <v>364</v>
      </c>
    </row>
    <row r="423" spans="1:27" x14ac:dyDescent="0.15">
      <c r="A423" s="193" t="s">
        <v>3</v>
      </c>
      <c r="B423" s="209"/>
      <c r="C423" s="210"/>
      <c r="D423" s="211"/>
      <c r="E423" s="212"/>
      <c r="F423" s="213">
        <f>SUM(B423:E423)</f>
        <v>0</v>
      </c>
      <c r="G423" s="214"/>
      <c r="H423" s="215">
        <v>3</v>
      </c>
      <c r="I423" s="216"/>
      <c r="J423" s="217"/>
      <c r="K423" s="218">
        <f>SUM(G423:J423)</f>
        <v>3</v>
      </c>
      <c r="L423" s="179">
        <f t="shared" ref="L423:L426" si="346">F423+K423</f>
        <v>3</v>
      </c>
      <c r="M423" s="180">
        <v>46091</v>
      </c>
      <c r="N423" s="44" t="s">
        <v>3</v>
      </c>
      <c r="O423" s="47"/>
      <c r="P423" s="48"/>
      <c r="Q423" s="49"/>
      <c r="R423" s="50"/>
      <c r="S423" s="54">
        <f>SUM(O423:R423)</f>
        <v>0</v>
      </c>
      <c r="T423" s="38"/>
      <c r="U423" s="39"/>
      <c r="V423" s="40"/>
      <c r="W423" s="41"/>
      <c r="X423" s="75">
        <f>SUM(T423:W423)</f>
        <v>0</v>
      </c>
      <c r="Y423" s="94">
        <f t="shared" ref="Y423:Y425" si="347">S423+X423</f>
        <v>0</v>
      </c>
    </row>
    <row r="424" spans="1:27" x14ac:dyDescent="0.15">
      <c r="A424" s="193" t="s">
        <v>4</v>
      </c>
      <c r="B424" s="209"/>
      <c r="C424" s="210"/>
      <c r="D424" s="211"/>
      <c r="E424" s="212"/>
      <c r="F424" s="213">
        <f t="shared" ref="F424:F425" si="348">SUM(B424:E424)</f>
        <v>0</v>
      </c>
      <c r="G424" s="214"/>
      <c r="H424" s="215"/>
      <c r="I424" s="216"/>
      <c r="J424" s="217">
        <v>2</v>
      </c>
      <c r="K424" s="218">
        <f t="shared" ref="K424:K425" si="349">SUM(G424:J424)</f>
        <v>2</v>
      </c>
      <c r="L424" s="228">
        <f t="shared" si="346"/>
        <v>2</v>
      </c>
      <c r="M424" s="180">
        <v>46093</v>
      </c>
      <c r="N424" s="44" t="s">
        <v>24</v>
      </c>
      <c r="O424" s="15">
        <v>10</v>
      </c>
      <c r="P424" s="28">
        <v>20</v>
      </c>
      <c r="Q424" s="16">
        <v>10</v>
      </c>
      <c r="R424" s="31">
        <v>40</v>
      </c>
      <c r="S424" s="9">
        <f>SUM(O424:R424)</f>
        <v>80</v>
      </c>
      <c r="T424" s="15">
        <v>10</v>
      </c>
      <c r="U424" s="28">
        <v>50</v>
      </c>
      <c r="V424" s="16">
        <v>20</v>
      </c>
      <c r="W424" s="31">
        <v>70</v>
      </c>
      <c r="X424" s="9">
        <f>SUM(T424:W424)</f>
        <v>150</v>
      </c>
      <c r="Y424" s="126">
        <f t="shared" si="347"/>
        <v>230</v>
      </c>
      <c r="Z424" s="104" t="s">
        <v>311</v>
      </c>
    </row>
    <row r="425" spans="1:27" x14ac:dyDescent="0.15">
      <c r="A425" s="44" t="s">
        <v>319</v>
      </c>
      <c r="B425" s="38"/>
      <c r="C425" s="39"/>
      <c r="D425" s="40"/>
      <c r="E425" s="41">
        <v>1</v>
      </c>
      <c r="F425" s="62">
        <f t="shared" si="348"/>
        <v>1</v>
      </c>
      <c r="G425" s="15"/>
      <c r="H425" s="28"/>
      <c r="I425" s="16">
        <v>1</v>
      </c>
      <c r="J425" s="31"/>
      <c r="K425" s="79">
        <f t="shared" si="349"/>
        <v>1</v>
      </c>
      <c r="L425" s="94">
        <f>F425+K425</f>
        <v>2</v>
      </c>
      <c r="M425" s="105">
        <v>46092</v>
      </c>
      <c r="N425" s="11" t="s">
        <v>29</v>
      </c>
      <c r="O425" s="38"/>
      <c r="P425" s="39">
        <v>-2</v>
      </c>
      <c r="Q425" s="40"/>
      <c r="R425" s="52">
        <v>-4</v>
      </c>
      <c r="S425" s="9">
        <f>SUM(O425:R425)</f>
        <v>-6</v>
      </c>
      <c r="T425" s="15">
        <v>-1</v>
      </c>
      <c r="U425" s="28">
        <v>-1</v>
      </c>
      <c r="V425" s="16">
        <v>-2</v>
      </c>
      <c r="W425" s="31"/>
      <c r="X425" s="9">
        <f>SUM(T425:W425)</f>
        <v>-4</v>
      </c>
      <c r="Y425" s="126">
        <f t="shared" si="347"/>
        <v>-10</v>
      </c>
      <c r="Z425" s="133"/>
    </row>
    <row r="426" spans="1:27" ht="14.25" thickBot="1" x14ac:dyDescent="0.2">
      <c r="A426" s="168" t="s">
        <v>6</v>
      </c>
      <c r="B426" s="169"/>
      <c r="C426" s="170"/>
      <c r="D426" s="171"/>
      <c r="E426" s="172"/>
      <c r="F426" s="173">
        <f>SUM(B426:E426)</f>
        <v>0</v>
      </c>
      <c r="G426" s="174"/>
      <c r="H426" s="175">
        <v>2</v>
      </c>
      <c r="I426" s="176"/>
      <c r="J426" s="177"/>
      <c r="K426" s="178">
        <f>SUM(G426:J426)</f>
        <v>2</v>
      </c>
      <c r="L426" s="179">
        <f t="shared" si="346"/>
        <v>2</v>
      </c>
      <c r="M426" s="180">
        <v>46099</v>
      </c>
      <c r="N426" s="11" t="s">
        <v>6</v>
      </c>
      <c r="O426" s="38"/>
      <c r="P426" s="39"/>
      <c r="Q426" s="40"/>
      <c r="R426" s="52"/>
      <c r="S426" s="9">
        <f>SUM(O426:R426)</f>
        <v>0</v>
      </c>
      <c r="T426" s="15"/>
      <c r="U426" s="28"/>
      <c r="V426" s="16"/>
      <c r="W426" s="31"/>
      <c r="X426" s="9">
        <f>SUM(T426:W426)</f>
        <v>0</v>
      </c>
      <c r="Y426" s="126">
        <f t="shared" ref="Y426" si="350">S426+X426</f>
        <v>0</v>
      </c>
      <c r="AA426" s="46"/>
    </row>
    <row r="427" spans="1:27" ht="14.25" thickBot="1" x14ac:dyDescent="0.2">
      <c r="A427" s="13" t="s">
        <v>7</v>
      </c>
      <c r="B427" s="55">
        <f t="shared" ref="B427:K427" si="351">SUM(B422:B426)</f>
        <v>2</v>
      </c>
      <c r="C427" s="56">
        <f t="shared" si="351"/>
        <v>4</v>
      </c>
      <c r="D427" s="57">
        <f t="shared" si="351"/>
        <v>3</v>
      </c>
      <c r="E427" s="58">
        <f t="shared" si="351"/>
        <v>5</v>
      </c>
      <c r="F427" s="59">
        <f t="shared" si="351"/>
        <v>14</v>
      </c>
      <c r="G427" s="24">
        <f t="shared" si="351"/>
        <v>4</v>
      </c>
      <c r="H427" s="30">
        <f t="shared" si="351"/>
        <v>8</v>
      </c>
      <c r="I427" s="25">
        <f t="shared" si="351"/>
        <v>4</v>
      </c>
      <c r="J427" s="60">
        <f t="shared" si="351"/>
        <v>6</v>
      </c>
      <c r="K427" s="78">
        <f t="shared" si="351"/>
        <v>22</v>
      </c>
      <c r="L427" s="85">
        <f>F427+K427</f>
        <v>36</v>
      </c>
      <c r="N427" s="13" t="s">
        <v>7</v>
      </c>
      <c r="O427" s="55">
        <f t="shared" ref="O427:X427" si="352">SUM(O422:O426)</f>
        <v>83</v>
      </c>
      <c r="P427" s="56">
        <f t="shared" si="352"/>
        <v>53</v>
      </c>
      <c r="Q427" s="57">
        <f t="shared" si="352"/>
        <v>63</v>
      </c>
      <c r="R427" s="58">
        <f t="shared" si="352"/>
        <v>87</v>
      </c>
      <c r="S427" s="59">
        <f t="shared" si="352"/>
        <v>286</v>
      </c>
      <c r="T427" s="24">
        <f t="shared" si="352"/>
        <v>60</v>
      </c>
      <c r="U427" s="30">
        <f t="shared" si="352"/>
        <v>88</v>
      </c>
      <c r="V427" s="25">
        <f t="shared" si="352"/>
        <v>65</v>
      </c>
      <c r="W427" s="60">
        <f t="shared" si="352"/>
        <v>85</v>
      </c>
      <c r="X427" s="61">
        <f t="shared" si="352"/>
        <v>298</v>
      </c>
      <c r="Y427" s="85">
        <f>S427+X427</f>
        <v>584</v>
      </c>
    </row>
    <row r="428" spans="1:27" x14ac:dyDescent="0.15">
      <c r="A428" s="44" t="s">
        <v>27</v>
      </c>
      <c r="B428" s="15"/>
      <c r="C428" s="28"/>
      <c r="D428" s="16"/>
      <c r="E428" s="19"/>
      <c r="F428" s="42">
        <f t="shared" ref="F428:F452" si="353">SUM(B428:E428)</f>
        <v>0</v>
      </c>
      <c r="G428" s="15"/>
      <c r="H428" s="28"/>
      <c r="I428" s="16"/>
      <c r="J428" s="31">
        <v>1</v>
      </c>
      <c r="K428" s="79">
        <f t="shared" ref="K428:K445" si="354">SUM(G428:J428)</f>
        <v>1</v>
      </c>
      <c r="L428" s="94">
        <f t="shared" ref="L428:L454" si="355">F428+K428</f>
        <v>1</v>
      </c>
      <c r="M428" s="105">
        <v>46086</v>
      </c>
      <c r="N428" s="226" t="s">
        <v>309</v>
      </c>
      <c r="O428" s="15">
        <v>2</v>
      </c>
      <c r="P428" s="28">
        <v>10</v>
      </c>
      <c r="Q428" s="16">
        <v>3</v>
      </c>
      <c r="R428" s="19">
        <v>20</v>
      </c>
      <c r="S428" s="42">
        <f t="shared" ref="S428:S452" si="356">SUM(O428:R428)</f>
        <v>35</v>
      </c>
      <c r="T428" s="15">
        <v>2</v>
      </c>
      <c r="U428" s="28">
        <v>8</v>
      </c>
      <c r="V428" s="16">
        <v>10</v>
      </c>
      <c r="W428" s="31">
        <v>20</v>
      </c>
      <c r="X428" s="9">
        <f t="shared" ref="X428:X433" si="357">SUM(T428:W428)</f>
        <v>40</v>
      </c>
      <c r="Y428" s="94">
        <f>S428+X428</f>
        <v>75</v>
      </c>
      <c r="Z428" s="104">
        <v>46086</v>
      </c>
    </row>
    <row r="429" spans="1:27" x14ac:dyDescent="0.15">
      <c r="A429" s="44" t="s">
        <v>314</v>
      </c>
      <c r="B429" s="15">
        <v>1</v>
      </c>
      <c r="C429" s="28"/>
      <c r="D429" s="16"/>
      <c r="E429" s="19"/>
      <c r="F429" s="42">
        <f t="shared" si="353"/>
        <v>1</v>
      </c>
      <c r="G429" s="15">
        <v>-1</v>
      </c>
      <c r="H429" s="28"/>
      <c r="I429" s="16"/>
      <c r="J429" s="31"/>
      <c r="K429" s="79">
        <f t="shared" si="354"/>
        <v>-1</v>
      </c>
      <c r="L429" s="94">
        <f t="shared" si="355"/>
        <v>0</v>
      </c>
      <c r="M429" s="105">
        <v>46085</v>
      </c>
      <c r="N429" s="44" t="s">
        <v>308</v>
      </c>
      <c r="O429" s="15"/>
      <c r="P429" s="28">
        <v>2</v>
      </c>
      <c r="Q429" s="16">
        <v>6</v>
      </c>
      <c r="R429" s="19"/>
      <c r="S429" s="42">
        <f t="shared" si="356"/>
        <v>8</v>
      </c>
      <c r="T429" s="15"/>
      <c r="U429" s="28"/>
      <c r="V429" s="16"/>
      <c r="W429" s="31">
        <v>3</v>
      </c>
      <c r="X429" s="9">
        <f t="shared" si="357"/>
        <v>3</v>
      </c>
      <c r="Y429" s="94">
        <f>S429+X429</f>
        <v>11</v>
      </c>
      <c r="Z429" s="104">
        <v>46087</v>
      </c>
    </row>
    <row r="430" spans="1:27" x14ac:dyDescent="0.15">
      <c r="A430" s="44" t="s">
        <v>27</v>
      </c>
      <c r="B430" s="15"/>
      <c r="C430" s="28"/>
      <c r="D430" s="16"/>
      <c r="E430" s="19"/>
      <c r="F430" s="42">
        <f t="shared" si="353"/>
        <v>0</v>
      </c>
      <c r="G430" s="15"/>
      <c r="H430" s="28">
        <v>2</v>
      </c>
      <c r="I430" s="16"/>
      <c r="J430" s="31">
        <v>1</v>
      </c>
      <c r="K430" s="79">
        <f t="shared" si="354"/>
        <v>3</v>
      </c>
      <c r="L430" s="94">
        <f t="shared" si="355"/>
        <v>3</v>
      </c>
      <c r="M430" s="105">
        <v>46090</v>
      </c>
      <c r="N430" s="226" t="s">
        <v>313</v>
      </c>
      <c r="O430" s="15"/>
      <c r="P430" s="28"/>
      <c r="Q430" s="16"/>
      <c r="R430" s="19"/>
      <c r="S430" s="42">
        <f t="shared" si="356"/>
        <v>0</v>
      </c>
      <c r="T430" s="15"/>
      <c r="U430" s="28"/>
      <c r="V430" s="16"/>
      <c r="W430" s="31">
        <v>7</v>
      </c>
      <c r="X430" s="9">
        <f t="shared" si="357"/>
        <v>7</v>
      </c>
      <c r="Y430" s="94">
        <f>S430+X430</f>
        <v>7</v>
      </c>
      <c r="Z430" s="104">
        <v>46087</v>
      </c>
    </row>
    <row r="431" spans="1:27" x14ac:dyDescent="0.15">
      <c r="A431" s="44" t="s">
        <v>27</v>
      </c>
      <c r="B431" s="15"/>
      <c r="C431" s="28"/>
      <c r="D431" s="16"/>
      <c r="E431" s="19"/>
      <c r="F431" s="42">
        <f t="shared" si="353"/>
        <v>0</v>
      </c>
      <c r="G431" s="15">
        <v>1</v>
      </c>
      <c r="H431" s="28">
        <v>1</v>
      </c>
      <c r="I431" s="16"/>
      <c r="J431" s="31"/>
      <c r="K431" s="79">
        <f t="shared" si="354"/>
        <v>2</v>
      </c>
      <c r="L431" s="94">
        <f t="shared" si="355"/>
        <v>2</v>
      </c>
      <c r="M431" s="105">
        <v>46091</v>
      </c>
      <c r="N431" s="44" t="s">
        <v>312</v>
      </c>
      <c r="O431" s="15"/>
      <c r="P431" s="28"/>
      <c r="Q431" s="16"/>
      <c r="R431" s="19">
        <v>2</v>
      </c>
      <c r="S431" s="42">
        <f t="shared" si="356"/>
        <v>2</v>
      </c>
      <c r="T431" s="15">
        <v>2</v>
      </c>
      <c r="U431" s="28"/>
      <c r="V431" s="16"/>
      <c r="W431" s="31">
        <v>3</v>
      </c>
      <c r="X431" s="9">
        <f t="shared" si="357"/>
        <v>5</v>
      </c>
      <c r="Y431" s="94">
        <f t="shared" ref="Y431:Y454" si="358">S431+X431</f>
        <v>7</v>
      </c>
      <c r="Z431" s="104">
        <v>46094</v>
      </c>
      <c r="AA431" s="109"/>
    </row>
    <row r="432" spans="1:27" x14ac:dyDescent="0.15">
      <c r="A432" s="44" t="s">
        <v>27</v>
      </c>
      <c r="B432" s="15"/>
      <c r="C432" s="28"/>
      <c r="D432" s="16"/>
      <c r="E432" s="19"/>
      <c r="F432" s="42">
        <f t="shared" si="353"/>
        <v>0</v>
      </c>
      <c r="G432" s="15"/>
      <c r="H432" s="28">
        <v>1</v>
      </c>
      <c r="I432" s="16">
        <v>1</v>
      </c>
      <c r="J432" s="31"/>
      <c r="K432" s="79">
        <f t="shared" si="354"/>
        <v>2</v>
      </c>
      <c r="L432" s="94">
        <f t="shared" si="355"/>
        <v>2</v>
      </c>
      <c r="M432" s="105">
        <v>46097</v>
      </c>
      <c r="N432" s="226" t="s">
        <v>315</v>
      </c>
      <c r="O432" s="15"/>
      <c r="P432" s="28"/>
      <c r="Q432" s="16">
        <v>5</v>
      </c>
      <c r="R432" s="19"/>
      <c r="S432" s="42">
        <f t="shared" si="356"/>
        <v>5</v>
      </c>
      <c r="T432" s="15"/>
      <c r="U432" s="28">
        <v>4</v>
      </c>
      <c r="V432" s="16"/>
      <c r="W432" s="31"/>
      <c r="X432" s="9">
        <f t="shared" si="357"/>
        <v>4</v>
      </c>
      <c r="Y432" s="94">
        <f t="shared" si="358"/>
        <v>9</v>
      </c>
      <c r="Z432" s="104">
        <v>46088</v>
      </c>
      <c r="AA432" s="109"/>
    </row>
    <row r="433" spans="1:27" x14ac:dyDescent="0.15">
      <c r="A433" s="44" t="s">
        <v>322</v>
      </c>
      <c r="B433" s="15"/>
      <c r="C433" s="28"/>
      <c r="D433" s="16"/>
      <c r="E433" s="19"/>
      <c r="F433" s="42">
        <f t="shared" si="353"/>
        <v>0</v>
      </c>
      <c r="G433" s="15">
        <v>-1</v>
      </c>
      <c r="H433" s="28"/>
      <c r="I433" s="16"/>
      <c r="J433" s="31"/>
      <c r="K433" s="79">
        <f t="shared" si="354"/>
        <v>-1</v>
      </c>
      <c r="L433" s="94">
        <f t="shared" si="355"/>
        <v>-1</v>
      </c>
      <c r="M433" s="105">
        <v>46097</v>
      </c>
      <c r="N433" s="44" t="s">
        <v>268</v>
      </c>
      <c r="O433" s="15"/>
      <c r="P433" s="28"/>
      <c r="Q433" s="16"/>
      <c r="R433" s="19"/>
      <c r="S433" s="42">
        <f t="shared" si="356"/>
        <v>0</v>
      </c>
      <c r="T433" s="15"/>
      <c r="U433" s="28">
        <v>3</v>
      </c>
      <c r="V433" s="16"/>
      <c r="W433" s="31"/>
      <c r="X433" s="9">
        <f t="shared" si="357"/>
        <v>3</v>
      </c>
      <c r="Y433" s="94">
        <f t="shared" si="358"/>
        <v>3</v>
      </c>
      <c r="Z433" s="104">
        <v>46091</v>
      </c>
      <c r="AA433" s="109"/>
    </row>
    <row r="434" spans="1:27" x14ac:dyDescent="0.15">
      <c r="A434" s="44" t="s">
        <v>323</v>
      </c>
      <c r="B434" s="15"/>
      <c r="C434" s="28">
        <v>-1</v>
      </c>
      <c r="D434" s="16"/>
      <c r="E434" s="19"/>
      <c r="F434" s="42">
        <f t="shared" si="353"/>
        <v>-1</v>
      </c>
      <c r="G434" s="15">
        <v>-1</v>
      </c>
      <c r="H434" s="28"/>
      <c r="I434" s="16"/>
      <c r="J434" s="31"/>
      <c r="K434" s="79">
        <f t="shared" si="354"/>
        <v>-1</v>
      </c>
      <c r="L434" s="94">
        <f t="shared" si="355"/>
        <v>-2</v>
      </c>
      <c r="M434" s="105">
        <v>46099</v>
      </c>
      <c r="N434" s="11" t="s">
        <v>316</v>
      </c>
      <c r="O434" s="15"/>
      <c r="P434" s="28"/>
      <c r="Q434" s="16"/>
      <c r="R434" s="19"/>
      <c r="S434" s="42">
        <f t="shared" si="356"/>
        <v>0</v>
      </c>
      <c r="T434" s="15"/>
      <c r="U434" s="28">
        <v>6</v>
      </c>
      <c r="V434" s="16"/>
      <c r="W434" s="31"/>
      <c r="X434" s="9">
        <f>SUM(T434:W434)</f>
        <v>6</v>
      </c>
      <c r="Y434" s="94">
        <f t="shared" si="358"/>
        <v>6</v>
      </c>
      <c r="Z434" s="104">
        <v>46092</v>
      </c>
      <c r="AA434" s="109"/>
    </row>
    <row r="435" spans="1:27" x14ac:dyDescent="0.15">
      <c r="A435" s="44" t="s">
        <v>27</v>
      </c>
      <c r="B435" s="15"/>
      <c r="C435" s="28"/>
      <c r="D435" s="16"/>
      <c r="E435" s="19"/>
      <c r="F435" s="42">
        <f t="shared" si="353"/>
        <v>0</v>
      </c>
      <c r="G435" s="15">
        <v>1</v>
      </c>
      <c r="H435" s="28"/>
      <c r="I435" s="16"/>
      <c r="J435" s="31">
        <v>1</v>
      </c>
      <c r="K435" s="79">
        <f t="shared" si="354"/>
        <v>2</v>
      </c>
      <c r="L435" s="94">
        <f t="shared" si="355"/>
        <v>2</v>
      </c>
      <c r="M435" s="105">
        <v>46100</v>
      </c>
      <c r="N435" s="193" t="s">
        <v>268</v>
      </c>
      <c r="O435" s="194"/>
      <c r="P435" s="195"/>
      <c r="Q435" s="196"/>
      <c r="R435" s="197"/>
      <c r="S435" s="198">
        <f t="shared" si="356"/>
        <v>0</v>
      </c>
      <c r="T435" s="194"/>
      <c r="U435" s="195"/>
      <c r="V435" s="196"/>
      <c r="W435" s="201">
        <v>2</v>
      </c>
      <c r="X435" s="202">
        <f t="shared" ref="X435:X438" si="359">SUM(T435:W435)</f>
        <v>2</v>
      </c>
      <c r="Y435" s="179">
        <f t="shared" si="358"/>
        <v>2</v>
      </c>
      <c r="Z435" s="180">
        <v>46093</v>
      </c>
      <c r="AA435" s="109"/>
    </row>
    <row r="436" spans="1:27" x14ac:dyDescent="0.15">
      <c r="A436" s="44" t="s">
        <v>27</v>
      </c>
      <c r="B436" s="15"/>
      <c r="C436" s="28"/>
      <c r="D436" s="16"/>
      <c r="E436" s="19"/>
      <c r="F436" s="42">
        <f t="shared" si="353"/>
        <v>0</v>
      </c>
      <c r="G436" s="15"/>
      <c r="H436" s="28">
        <v>1</v>
      </c>
      <c r="I436" s="16">
        <v>2</v>
      </c>
      <c r="J436" s="31">
        <v>1</v>
      </c>
      <c r="K436" s="79">
        <f t="shared" si="354"/>
        <v>4</v>
      </c>
      <c r="L436" s="94">
        <f t="shared" si="355"/>
        <v>4</v>
      </c>
      <c r="M436" s="105">
        <v>46104</v>
      </c>
      <c r="N436" s="44" t="s">
        <v>320</v>
      </c>
      <c r="O436" s="15"/>
      <c r="P436" s="28"/>
      <c r="Q436" s="16"/>
      <c r="R436" s="19">
        <v>2</v>
      </c>
      <c r="S436" s="42">
        <f t="shared" si="356"/>
        <v>2</v>
      </c>
      <c r="T436" s="15"/>
      <c r="U436" s="28"/>
      <c r="V436" s="16"/>
      <c r="W436" s="31">
        <v>2</v>
      </c>
      <c r="X436" s="9">
        <f t="shared" si="359"/>
        <v>2</v>
      </c>
      <c r="Y436" s="94">
        <f t="shared" si="358"/>
        <v>4</v>
      </c>
      <c r="Z436" s="104">
        <v>46101</v>
      </c>
    </row>
    <row r="437" spans="1:27" x14ac:dyDescent="0.15">
      <c r="A437" s="44" t="s">
        <v>27</v>
      </c>
      <c r="B437" s="15"/>
      <c r="C437" s="28"/>
      <c r="D437" s="16"/>
      <c r="E437" s="19"/>
      <c r="F437" s="42">
        <f t="shared" si="353"/>
        <v>0</v>
      </c>
      <c r="G437" s="15"/>
      <c r="H437" s="28"/>
      <c r="I437" s="16"/>
      <c r="J437" s="31">
        <v>1</v>
      </c>
      <c r="K437" s="79">
        <f t="shared" si="354"/>
        <v>1</v>
      </c>
      <c r="L437" s="94">
        <f t="shared" si="355"/>
        <v>1</v>
      </c>
      <c r="M437" s="104">
        <v>46106</v>
      </c>
      <c r="N437" s="11" t="s">
        <v>321</v>
      </c>
      <c r="O437" s="15"/>
      <c r="P437" s="28"/>
      <c r="Q437" s="16"/>
      <c r="R437" s="19"/>
      <c r="S437" s="42">
        <f t="shared" si="356"/>
        <v>0</v>
      </c>
      <c r="T437" s="15"/>
      <c r="U437" s="28"/>
      <c r="V437" s="16">
        <v>8</v>
      </c>
      <c r="W437" s="31"/>
      <c r="X437" s="9">
        <f t="shared" si="359"/>
        <v>8</v>
      </c>
      <c r="Y437" s="94">
        <f t="shared" si="358"/>
        <v>8</v>
      </c>
      <c r="Z437" s="104">
        <v>46104</v>
      </c>
    </row>
    <row r="438" spans="1:27" x14ac:dyDescent="0.15">
      <c r="A438" s="44" t="s">
        <v>63</v>
      </c>
      <c r="B438" s="15"/>
      <c r="C438" s="28"/>
      <c r="D438" s="16"/>
      <c r="E438" s="19"/>
      <c r="F438" s="42">
        <f t="shared" si="353"/>
        <v>0</v>
      </c>
      <c r="G438" s="15"/>
      <c r="H438" s="28"/>
      <c r="I438" s="16">
        <v>-3</v>
      </c>
      <c r="J438" s="31">
        <v>-3</v>
      </c>
      <c r="K438" s="79">
        <f t="shared" si="354"/>
        <v>-6</v>
      </c>
      <c r="L438" s="94">
        <f t="shared" si="355"/>
        <v>-6</v>
      </c>
      <c r="M438" s="104">
        <v>46107</v>
      </c>
      <c r="N438" s="193" t="s">
        <v>268</v>
      </c>
      <c r="O438" s="194"/>
      <c r="P438" s="195"/>
      <c r="Q438" s="196"/>
      <c r="R438" s="197"/>
      <c r="S438" s="198">
        <f t="shared" si="356"/>
        <v>0</v>
      </c>
      <c r="T438" s="194"/>
      <c r="U438" s="195">
        <v>2</v>
      </c>
      <c r="V438" s="196"/>
      <c r="W438" s="201"/>
      <c r="X438" s="202">
        <f t="shared" si="359"/>
        <v>2</v>
      </c>
      <c r="Y438" s="179">
        <f t="shared" si="358"/>
        <v>2</v>
      </c>
      <c r="Z438" s="180">
        <v>46099</v>
      </c>
    </row>
    <row r="439" spans="1:27" x14ac:dyDescent="0.15">
      <c r="A439" s="44" t="s">
        <v>325</v>
      </c>
      <c r="B439" s="15">
        <v>-1</v>
      </c>
      <c r="C439" s="28"/>
      <c r="D439" s="16"/>
      <c r="E439" s="19"/>
      <c r="F439" s="42">
        <f t="shared" si="353"/>
        <v>-1</v>
      </c>
      <c r="G439" s="15">
        <v>-1</v>
      </c>
      <c r="H439" s="28"/>
      <c r="I439" s="16"/>
      <c r="J439" s="31"/>
      <c r="K439" s="79">
        <f t="shared" si="354"/>
        <v>-1</v>
      </c>
      <c r="L439" s="94">
        <f t="shared" si="355"/>
        <v>-2</v>
      </c>
      <c r="M439" s="105">
        <v>46106</v>
      </c>
      <c r="N439" s="44" t="s">
        <v>324</v>
      </c>
      <c r="O439" s="15"/>
      <c r="P439" s="28"/>
      <c r="Q439" s="16">
        <v>2</v>
      </c>
      <c r="R439" s="19"/>
      <c r="S439" s="42">
        <f t="shared" ref="S439:S445" si="360">SUM(O439:R439)</f>
        <v>2</v>
      </c>
      <c r="T439" s="15"/>
      <c r="U439" s="28"/>
      <c r="V439" s="16"/>
      <c r="W439" s="31"/>
      <c r="X439" s="9">
        <f t="shared" ref="X439:X444" si="361">SUM(T439:W439)</f>
        <v>0</v>
      </c>
      <c r="Y439" s="94">
        <f t="shared" ref="Y439:Y445" si="362">S439+X439</f>
        <v>2</v>
      </c>
      <c r="Z439" s="104">
        <v>46111</v>
      </c>
    </row>
    <row r="440" spans="1:27" x14ac:dyDescent="0.15">
      <c r="A440" s="44" t="s">
        <v>327</v>
      </c>
      <c r="B440" s="15"/>
      <c r="C440" s="28"/>
      <c r="D440" s="16"/>
      <c r="E440" s="19"/>
      <c r="F440" s="42">
        <f t="shared" si="353"/>
        <v>0</v>
      </c>
      <c r="G440" s="15"/>
      <c r="H440" s="28">
        <v>-1</v>
      </c>
      <c r="I440" s="16"/>
      <c r="J440" s="31"/>
      <c r="K440" s="79">
        <f t="shared" si="354"/>
        <v>-1</v>
      </c>
      <c r="L440" s="94">
        <f t="shared" si="355"/>
        <v>-1</v>
      </c>
      <c r="M440" s="105">
        <v>46107</v>
      </c>
      <c r="N440" s="44" t="s">
        <v>268</v>
      </c>
      <c r="O440" s="15"/>
      <c r="P440" s="28"/>
      <c r="Q440" s="16"/>
      <c r="R440" s="19"/>
      <c r="S440" s="42">
        <f t="shared" si="360"/>
        <v>0</v>
      </c>
      <c r="T440" s="15"/>
      <c r="U440" s="28"/>
      <c r="V440" s="16">
        <v>3</v>
      </c>
      <c r="W440" s="31">
        <v>3</v>
      </c>
      <c r="X440" s="9">
        <f t="shared" si="361"/>
        <v>6</v>
      </c>
      <c r="Y440" s="94">
        <f t="shared" si="362"/>
        <v>6</v>
      </c>
      <c r="Z440" s="104">
        <v>46107</v>
      </c>
    </row>
    <row r="441" spans="1:27" x14ac:dyDescent="0.15">
      <c r="A441" s="44" t="s">
        <v>27</v>
      </c>
      <c r="B441" s="15"/>
      <c r="C441" s="28"/>
      <c r="D441" s="16"/>
      <c r="E441" s="19"/>
      <c r="F441" s="42">
        <f t="shared" si="353"/>
        <v>0</v>
      </c>
      <c r="G441" s="15"/>
      <c r="H441" s="28">
        <v>1</v>
      </c>
      <c r="I441" s="16"/>
      <c r="J441" s="31"/>
      <c r="K441" s="79">
        <f t="shared" si="354"/>
        <v>1</v>
      </c>
      <c r="L441" s="94">
        <f t="shared" si="355"/>
        <v>1</v>
      </c>
      <c r="M441" s="105">
        <v>46108</v>
      </c>
      <c r="N441" s="44" t="s">
        <v>328</v>
      </c>
      <c r="O441" s="15"/>
      <c r="P441" s="28"/>
      <c r="Q441" s="16"/>
      <c r="R441" s="19">
        <v>2</v>
      </c>
      <c r="S441" s="42">
        <f t="shared" si="360"/>
        <v>2</v>
      </c>
      <c r="T441" s="15"/>
      <c r="U441" s="28"/>
      <c r="V441" s="16"/>
      <c r="W441" s="31"/>
      <c r="X441" s="9">
        <f t="shared" si="361"/>
        <v>0</v>
      </c>
      <c r="Y441" s="94">
        <f t="shared" si="362"/>
        <v>2</v>
      </c>
      <c r="Z441" s="104">
        <v>46121</v>
      </c>
    </row>
    <row r="442" spans="1:27" x14ac:dyDescent="0.15">
      <c r="A442" s="44" t="s">
        <v>27</v>
      </c>
      <c r="B442" s="15"/>
      <c r="C442" s="28">
        <v>1</v>
      </c>
      <c r="D442" s="16"/>
      <c r="E442" s="19"/>
      <c r="F442" s="42">
        <f t="shared" si="353"/>
        <v>1</v>
      </c>
      <c r="G442" s="15"/>
      <c r="H442" s="28">
        <v>2</v>
      </c>
      <c r="I442" s="16"/>
      <c r="J442" s="31">
        <v>2</v>
      </c>
      <c r="K442" s="79">
        <f t="shared" si="354"/>
        <v>4</v>
      </c>
      <c r="L442" s="94">
        <f t="shared" si="355"/>
        <v>5</v>
      </c>
      <c r="M442" s="105">
        <v>46111</v>
      </c>
      <c r="N442" s="11" t="s">
        <v>330</v>
      </c>
      <c r="O442" s="15"/>
      <c r="P442" s="28"/>
      <c r="Q442" s="16"/>
      <c r="R442" s="19"/>
      <c r="S442" s="42">
        <f t="shared" si="360"/>
        <v>0</v>
      </c>
      <c r="T442" s="15"/>
      <c r="U442" s="28"/>
      <c r="V442" s="16"/>
      <c r="W442" s="31">
        <v>6</v>
      </c>
      <c r="X442" s="9">
        <f t="shared" si="361"/>
        <v>6</v>
      </c>
      <c r="Y442" s="94">
        <f t="shared" si="362"/>
        <v>6</v>
      </c>
      <c r="Z442" s="104">
        <v>46120</v>
      </c>
      <c r="AA442" s="109"/>
    </row>
    <row r="443" spans="1:27" x14ac:dyDescent="0.15">
      <c r="A443" s="193" t="s">
        <v>63</v>
      </c>
      <c r="B443" s="194"/>
      <c r="C443" s="195"/>
      <c r="D443" s="196"/>
      <c r="E443" s="197"/>
      <c r="F443" s="198">
        <f t="shared" si="353"/>
        <v>0</v>
      </c>
      <c r="G443" s="194"/>
      <c r="H443" s="195">
        <v>-3</v>
      </c>
      <c r="I443" s="196"/>
      <c r="J443" s="201">
        <v>-3</v>
      </c>
      <c r="K443" s="200">
        <f t="shared" si="354"/>
        <v>-6</v>
      </c>
      <c r="L443" s="179">
        <f t="shared" si="355"/>
        <v>-6</v>
      </c>
      <c r="M443" s="180">
        <v>46112</v>
      </c>
      <c r="N443" s="193" t="s">
        <v>268</v>
      </c>
      <c r="O443" s="194"/>
      <c r="P443" s="195"/>
      <c r="Q443" s="196"/>
      <c r="R443" s="197"/>
      <c r="S443" s="198">
        <f t="shared" si="360"/>
        <v>0</v>
      </c>
      <c r="T443" s="194"/>
      <c r="U443" s="195">
        <v>3</v>
      </c>
      <c r="V443" s="196"/>
      <c r="W443" s="201">
        <v>3</v>
      </c>
      <c r="X443" s="202">
        <f t="shared" si="361"/>
        <v>6</v>
      </c>
      <c r="Y443" s="179">
        <f t="shared" si="362"/>
        <v>6</v>
      </c>
      <c r="Z443" s="180">
        <v>46112</v>
      </c>
    </row>
    <row r="444" spans="1:27" x14ac:dyDescent="0.15">
      <c r="A444" s="11" t="s">
        <v>329</v>
      </c>
      <c r="B444" s="15"/>
      <c r="C444" s="28"/>
      <c r="D444" s="16"/>
      <c r="E444" s="19"/>
      <c r="F444" s="42">
        <f t="shared" si="353"/>
        <v>0</v>
      </c>
      <c r="G444" s="15">
        <v>1</v>
      </c>
      <c r="H444" s="28"/>
      <c r="I444" s="16"/>
      <c r="J444" s="31">
        <v>1</v>
      </c>
      <c r="K444" s="9">
        <f t="shared" si="354"/>
        <v>2</v>
      </c>
      <c r="L444" s="94">
        <f t="shared" si="355"/>
        <v>2</v>
      </c>
      <c r="M444" s="104">
        <v>46115</v>
      </c>
      <c r="N444" s="44" t="s">
        <v>331</v>
      </c>
      <c r="O444" s="15">
        <v>2</v>
      </c>
      <c r="P444" s="28"/>
      <c r="Q444" s="16"/>
      <c r="R444" s="19"/>
      <c r="S444" s="42">
        <f t="shared" si="360"/>
        <v>2</v>
      </c>
      <c r="T444" s="38"/>
      <c r="U444" s="39"/>
      <c r="V444" s="40">
        <v>2</v>
      </c>
      <c r="W444" s="52">
        <v>1</v>
      </c>
      <c r="X444" s="54">
        <f t="shared" si="361"/>
        <v>3</v>
      </c>
      <c r="Y444" s="94">
        <f t="shared" si="362"/>
        <v>5</v>
      </c>
      <c r="Z444" s="104">
        <v>46118</v>
      </c>
    </row>
    <row r="445" spans="1:27" x14ac:dyDescent="0.15">
      <c r="A445" s="44" t="s">
        <v>27</v>
      </c>
      <c r="B445" s="15"/>
      <c r="C445" s="28"/>
      <c r="D445" s="16"/>
      <c r="E445" s="19"/>
      <c r="F445" s="42">
        <f t="shared" si="353"/>
        <v>0</v>
      </c>
      <c r="G445" s="15"/>
      <c r="H445" s="28"/>
      <c r="I445" s="16"/>
      <c r="J445" s="31">
        <v>1</v>
      </c>
      <c r="K445" s="79">
        <f t="shared" si="354"/>
        <v>1</v>
      </c>
      <c r="L445" s="94">
        <f t="shared" si="355"/>
        <v>1</v>
      </c>
      <c r="M445" s="105">
        <v>46114</v>
      </c>
      <c r="N445" s="44" t="s">
        <v>334</v>
      </c>
      <c r="O445" s="15"/>
      <c r="P445" s="28"/>
      <c r="Q445" s="16"/>
      <c r="R445" s="19">
        <v>1</v>
      </c>
      <c r="S445" s="42">
        <f t="shared" si="360"/>
        <v>1</v>
      </c>
      <c r="T445" s="15"/>
      <c r="U445" s="28"/>
      <c r="V445" s="16"/>
      <c r="W445" s="31">
        <v>2</v>
      </c>
      <c r="X445" s="9">
        <f>SUM(T445:W445)</f>
        <v>2</v>
      </c>
      <c r="Y445" s="94">
        <f t="shared" si="362"/>
        <v>3</v>
      </c>
      <c r="Z445" s="104">
        <v>46134</v>
      </c>
    </row>
    <row r="446" spans="1:27" x14ac:dyDescent="0.15">
      <c r="A446" s="44" t="s">
        <v>27</v>
      </c>
      <c r="B446" s="15"/>
      <c r="C446" s="28"/>
      <c r="D446" s="16"/>
      <c r="E446" s="19"/>
      <c r="F446" s="42">
        <f t="shared" si="353"/>
        <v>0</v>
      </c>
      <c r="G446" s="15"/>
      <c r="H446" s="28">
        <v>2</v>
      </c>
      <c r="I446" s="16">
        <v>1</v>
      </c>
      <c r="J446" s="31"/>
      <c r="K446" s="79">
        <f>SUM(G446:J446)</f>
        <v>3</v>
      </c>
      <c r="L446" s="94">
        <f t="shared" si="355"/>
        <v>3</v>
      </c>
      <c r="M446" s="105">
        <v>46115</v>
      </c>
      <c r="N446" s="193" t="s">
        <v>268</v>
      </c>
      <c r="O446" s="194"/>
      <c r="P446" s="195"/>
      <c r="Q446" s="196"/>
      <c r="R446" s="197"/>
      <c r="S446" s="198">
        <f t="shared" si="356"/>
        <v>0</v>
      </c>
      <c r="T446" s="194"/>
      <c r="U446" s="195">
        <v>3</v>
      </c>
      <c r="V446" s="196"/>
      <c r="W446" s="201"/>
      <c r="X446" s="202">
        <f>SUM(T446:W446)</f>
        <v>3</v>
      </c>
      <c r="Y446" s="179">
        <f t="shared" si="358"/>
        <v>3</v>
      </c>
      <c r="Z446" s="180">
        <v>46119</v>
      </c>
    </row>
    <row r="447" spans="1:27" x14ac:dyDescent="0.15">
      <c r="A447" s="44" t="s">
        <v>27</v>
      </c>
      <c r="B447" s="15"/>
      <c r="C447" s="28"/>
      <c r="D447" s="16"/>
      <c r="E447" s="19"/>
      <c r="F447" s="42">
        <f t="shared" si="353"/>
        <v>0</v>
      </c>
      <c r="G447" s="15"/>
      <c r="H447" s="16"/>
      <c r="I447" s="28"/>
      <c r="J447" s="53">
        <v>1</v>
      </c>
      <c r="K447" s="79">
        <f t="shared" ref="K447:K453" si="363">SUM(G447:J447)</f>
        <v>1</v>
      </c>
      <c r="L447" s="94">
        <f t="shared" si="355"/>
        <v>1</v>
      </c>
      <c r="M447" s="105">
        <v>46118</v>
      </c>
      <c r="N447" s="11" t="s">
        <v>336</v>
      </c>
      <c r="O447" s="15"/>
      <c r="P447" s="28">
        <v>3</v>
      </c>
      <c r="Q447" s="16">
        <v>2</v>
      </c>
      <c r="R447" s="19">
        <v>2</v>
      </c>
      <c r="S447" s="42">
        <f t="shared" si="356"/>
        <v>7</v>
      </c>
      <c r="T447" s="15"/>
      <c r="U447" s="28"/>
      <c r="V447" s="16">
        <v>4</v>
      </c>
      <c r="W447" s="31">
        <v>5</v>
      </c>
      <c r="X447" s="9">
        <f t="shared" ref="X447:X453" si="364">SUM(T447:W447)</f>
        <v>9</v>
      </c>
      <c r="Y447" s="94">
        <f t="shared" si="358"/>
        <v>16</v>
      </c>
      <c r="Z447" s="104">
        <v>46121</v>
      </c>
    </row>
    <row r="448" spans="1:27" x14ac:dyDescent="0.15">
      <c r="A448" s="44" t="s">
        <v>335</v>
      </c>
      <c r="B448" s="15"/>
      <c r="C448" s="28"/>
      <c r="D448" s="16"/>
      <c r="E448" s="19"/>
      <c r="F448" s="42">
        <f t="shared" si="353"/>
        <v>0</v>
      </c>
      <c r="G448" s="15"/>
      <c r="H448" s="28"/>
      <c r="I448" s="16"/>
      <c r="J448" s="31">
        <v>-1</v>
      </c>
      <c r="K448" s="79">
        <f t="shared" si="363"/>
        <v>-1</v>
      </c>
      <c r="L448" s="94">
        <f t="shared" si="355"/>
        <v>-1</v>
      </c>
      <c r="M448" s="105">
        <v>46119</v>
      </c>
      <c r="N448" s="44" t="s">
        <v>268</v>
      </c>
      <c r="O448" s="15"/>
      <c r="P448" s="28"/>
      <c r="Q448" s="16"/>
      <c r="R448" s="19"/>
      <c r="S448" s="42">
        <f t="shared" ref="S448" si="365">SUM(O448:R448)</f>
        <v>0</v>
      </c>
      <c r="T448" s="15"/>
      <c r="U448" s="28"/>
      <c r="V448" s="16">
        <v>3</v>
      </c>
      <c r="W448" s="31">
        <v>3</v>
      </c>
      <c r="X448" s="9">
        <f t="shared" ref="X448" si="366">SUM(T448:W448)</f>
        <v>6</v>
      </c>
      <c r="Y448" s="94">
        <f t="shared" ref="Y448" si="367">S448+X448</f>
        <v>6</v>
      </c>
      <c r="Z448" s="104">
        <v>46121</v>
      </c>
    </row>
    <row r="449" spans="1:27" x14ac:dyDescent="0.15">
      <c r="A449" s="193" t="s">
        <v>63</v>
      </c>
      <c r="B449" s="194"/>
      <c r="C449" s="195"/>
      <c r="D449" s="196"/>
      <c r="E449" s="197"/>
      <c r="F449" s="198">
        <f t="shared" si="353"/>
        <v>0</v>
      </c>
      <c r="G449" s="214"/>
      <c r="H449" s="215">
        <v>-3</v>
      </c>
      <c r="I449" s="216"/>
      <c r="J449" s="223"/>
      <c r="K449" s="239">
        <f t="shared" si="363"/>
        <v>-3</v>
      </c>
      <c r="L449" s="179">
        <f t="shared" si="355"/>
        <v>-3</v>
      </c>
      <c r="M449" s="180">
        <v>46119</v>
      </c>
      <c r="N449" s="44" t="s">
        <v>268</v>
      </c>
      <c r="O449" s="15"/>
      <c r="P449" s="28"/>
      <c r="Q449" s="16"/>
      <c r="R449" s="19"/>
      <c r="S449" s="42">
        <f t="shared" ref="S449" si="368">SUM(O449:R449)</f>
        <v>0</v>
      </c>
      <c r="T449" s="15"/>
      <c r="U449" s="28">
        <v>3</v>
      </c>
      <c r="V449" s="16"/>
      <c r="W449" s="31"/>
      <c r="X449" s="9">
        <f t="shared" ref="X449" si="369">SUM(T449:W449)</f>
        <v>3</v>
      </c>
      <c r="Y449" s="94">
        <f t="shared" ref="Y449" si="370">S449+X449</f>
        <v>3</v>
      </c>
      <c r="Z449" s="104">
        <v>46122</v>
      </c>
      <c r="AA449" s="109"/>
    </row>
    <row r="450" spans="1:27" x14ac:dyDescent="0.15">
      <c r="A450" s="44" t="s">
        <v>27</v>
      </c>
      <c r="B450" s="15"/>
      <c r="C450" s="28">
        <v>1</v>
      </c>
      <c r="D450" s="16"/>
      <c r="E450" s="19"/>
      <c r="F450" s="42">
        <f t="shared" si="353"/>
        <v>1</v>
      </c>
      <c r="G450" s="15"/>
      <c r="H450" s="28"/>
      <c r="I450" s="16"/>
      <c r="J450" s="31"/>
      <c r="K450" s="79">
        <f t="shared" si="363"/>
        <v>0</v>
      </c>
      <c r="L450" s="94">
        <f t="shared" si="355"/>
        <v>1</v>
      </c>
      <c r="M450" s="105">
        <v>46119</v>
      </c>
      <c r="N450" s="44" t="s">
        <v>275</v>
      </c>
      <c r="O450" s="15"/>
      <c r="P450" s="28"/>
      <c r="Q450" s="16"/>
      <c r="R450" s="19"/>
      <c r="S450" s="42">
        <f>SUM(O450:R450)</f>
        <v>0</v>
      </c>
      <c r="T450" s="15"/>
      <c r="U450" s="28"/>
      <c r="V450" s="16"/>
      <c r="W450" s="31"/>
      <c r="X450" s="9">
        <f>SUM(T450:W450)</f>
        <v>0</v>
      </c>
      <c r="Y450" s="94">
        <f>S450+X450</f>
        <v>0</v>
      </c>
      <c r="Z450" s="133" t="s">
        <v>289</v>
      </c>
      <c r="AA450" s="109"/>
    </row>
    <row r="451" spans="1:27" x14ac:dyDescent="0.15">
      <c r="A451" s="44" t="s">
        <v>27</v>
      </c>
      <c r="B451" s="15"/>
      <c r="C451" s="28"/>
      <c r="D451" s="16"/>
      <c r="E451" s="19"/>
      <c r="F451" s="42">
        <f t="shared" si="353"/>
        <v>0</v>
      </c>
      <c r="G451" s="15"/>
      <c r="H451" s="28">
        <v>2</v>
      </c>
      <c r="I451" s="16">
        <v>1</v>
      </c>
      <c r="J451" s="31">
        <v>1</v>
      </c>
      <c r="K451" s="79">
        <f t="shared" si="363"/>
        <v>4</v>
      </c>
      <c r="L451" s="94">
        <f t="shared" si="355"/>
        <v>4</v>
      </c>
      <c r="M451" s="105">
        <v>46120</v>
      </c>
      <c r="N451" s="147" t="s">
        <v>255</v>
      </c>
      <c r="O451" s="148"/>
      <c r="P451" s="149"/>
      <c r="Q451" s="150"/>
      <c r="R451" s="221"/>
      <c r="S451" s="222">
        <f t="shared" si="356"/>
        <v>0</v>
      </c>
      <c r="T451" s="148"/>
      <c r="U451" s="149"/>
      <c r="V451" s="150"/>
      <c r="W451" s="151"/>
      <c r="X451" s="152">
        <f t="shared" si="364"/>
        <v>0</v>
      </c>
      <c r="Y451" s="120">
        <f t="shared" si="358"/>
        <v>0</v>
      </c>
      <c r="Z451" s="134"/>
      <c r="AA451" s="109"/>
    </row>
    <row r="452" spans="1:27" ht="14.25" thickBot="1" x14ac:dyDescent="0.2">
      <c r="A452" s="44" t="s">
        <v>27</v>
      </c>
      <c r="B452" s="34"/>
      <c r="C452" s="35"/>
      <c r="D452" s="36"/>
      <c r="E452" s="37"/>
      <c r="F452" s="42">
        <f t="shared" si="353"/>
        <v>0</v>
      </c>
      <c r="G452" s="34"/>
      <c r="H452" s="36">
        <v>1</v>
      </c>
      <c r="I452" s="35"/>
      <c r="J452" s="64"/>
      <c r="K452" s="80">
        <f t="shared" si="363"/>
        <v>1</v>
      </c>
      <c r="L452" s="106">
        <f t="shared" si="355"/>
        <v>1</v>
      </c>
      <c r="M452" s="105">
        <v>46121</v>
      </c>
      <c r="N452" s="166" t="s">
        <v>317</v>
      </c>
      <c r="O452" s="34"/>
      <c r="P452" s="35"/>
      <c r="Q452" s="36"/>
      <c r="R452" s="37"/>
      <c r="S452" s="43">
        <f t="shared" si="356"/>
        <v>0</v>
      </c>
      <c r="T452" s="34"/>
      <c r="U452" s="35"/>
      <c r="V452" s="36"/>
      <c r="W452" s="63"/>
      <c r="X452" s="10">
        <f t="shared" si="364"/>
        <v>0</v>
      </c>
      <c r="Y452" s="142">
        <f t="shared" si="358"/>
        <v>0</v>
      </c>
      <c r="Z452" s="133" t="s">
        <v>256</v>
      </c>
      <c r="AA452" s="109"/>
    </row>
    <row r="453" spans="1:27" ht="14.25" thickBot="1" x14ac:dyDescent="0.2">
      <c r="A453" s="12" t="s">
        <v>8</v>
      </c>
      <c r="B453" s="21">
        <f>SUM(B428:B452)</f>
        <v>0</v>
      </c>
      <c r="C453" s="29">
        <f>SUM(C428:C452)</f>
        <v>1</v>
      </c>
      <c r="D453" s="22">
        <f>SUM(D428:D452)</f>
        <v>0</v>
      </c>
      <c r="E453" s="23">
        <f>SUM(E428:E452)</f>
        <v>0</v>
      </c>
      <c r="F453" s="20">
        <f>SUM(B453:E453)</f>
        <v>1</v>
      </c>
      <c r="G453" s="21">
        <f>SUM(G428:G452)</f>
        <v>-1</v>
      </c>
      <c r="H453" s="29">
        <f>SUM(H428:H452)</f>
        <v>6</v>
      </c>
      <c r="I453" s="22">
        <f>SUM(I428:I452)</f>
        <v>2</v>
      </c>
      <c r="J453" s="23">
        <f>SUM(J428:J452)</f>
        <v>4</v>
      </c>
      <c r="K453" s="81">
        <f t="shared" si="363"/>
        <v>11</v>
      </c>
      <c r="L453" s="107">
        <f t="shared" si="355"/>
        <v>12</v>
      </c>
      <c r="N453" s="110" t="s">
        <v>8</v>
      </c>
      <c r="O453" s="21">
        <f>SUM(O428:O452)</f>
        <v>4</v>
      </c>
      <c r="P453" s="29">
        <f>SUM(P428:P452)</f>
        <v>15</v>
      </c>
      <c r="Q453" s="22">
        <f>SUM(Q428:Q452)</f>
        <v>18</v>
      </c>
      <c r="R453" s="23">
        <f>SUM(R428:R452)</f>
        <v>29</v>
      </c>
      <c r="S453" s="45">
        <f>SUM(O453:R453)</f>
        <v>66</v>
      </c>
      <c r="T453" s="21">
        <f>SUM(T428:T452)</f>
        <v>4</v>
      </c>
      <c r="U453" s="29">
        <f>SUM(U428:U452)</f>
        <v>32</v>
      </c>
      <c r="V453" s="22">
        <f>SUM(V428:V452)</f>
        <v>30</v>
      </c>
      <c r="W453" s="23">
        <f>SUM(W428:W452)</f>
        <v>60</v>
      </c>
      <c r="X453" s="45">
        <f t="shared" si="364"/>
        <v>126</v>
      </c>
      <c r="Y453" s="111">
        <f t="shared" si="358"/>
        <v>192</v>
      </c>
    </row>
    <row r="454" spans="1:27" ht="14.25" thickBot="1" x14ac:dyDescent="0.2">
      <c r="A454" s="13" t="s">
        <v>9</v>
      </c>
      <c r="B454" s="24">
        <f t="shared" ref="B454:K454" si="371">B427-B453</f>
        <v>2</v>
      </c>
      <c r="C454" s="30">
        <f t="shared" si="371"/>
        <v>3</v>
      </c>
      <c r="D454" s="25">
        <f t="shared" si="371"/>
        <v>3</v>
      </c>
      <c r="E454" s="26">
        <f t="shared" si="371"/>
        <v>5</v>
      </c>
      <c r="F454" s="71">
        <f t="shared" si="371"/>
        <v>13</v>
      </c>
      <c r="G454" s="24">
        <f t="shared" si="371"/>
        <v>5</v>
      </c>
      <c r="H454" s="30">
        <f t="shared" si="371"/>
        <v>2</v>
      </c>
      <c r="I454" s="25">
        <f t="shared" si="371"/>
        <v>2</v>
      </c>
      <c r="J454" s="26">
        <f t="shared" si="371"/>
        <v>2</v>
      </c>
      <c r="K454" s="82">
        <f t="shared" si="371"/>
        <v>11</v>
      </c>
      <c r="L454" s="86">
        <f t="shared" si="355"/>
        <v>24</v>
      </c>
      <c r="N454" s="13" t="s">
        <v>9</v>
      </c>
      <c r="O454" s="24">
        <f t="shared" ref="O454:X454" si="372">O427-O453</f>
        <v>79</v>
      </c>
      <c r="P454" s="30">
        <f t="shared" si="372"/>
        <v>38</v>
      </c>
      <c r="Q454" s="25">
        <f t="shared" si="372"/>
        <v>45</v>
      </c>
      <c r="R454" s="26">
        <f t="shared" si="372"/>
        <v>58</v>
      </c>
      <c r="S454" s="71">
        <f t="shared" si="372"/>
        <v>220</v>
      </c>
      <c r="T454" s="24">
        <f t="shared" si="372"/>
        <v>56</v>
      </c>
      <c r="U454" s="30">
        <f t="shared" si="372"/>
        <v>56</v>
      </c>
      <c r="V454" s="25">
        <f t="shared" si="372"/>
        <v>35</v>
      </c>
      <c r="W454" s="26">
        <f t="shared" si="372"/>
        <v>25</v>
      </c>
      <c r="X454" s="33">
        <f t="shared" si="372"/>
        <v>172</v>
      </c>
      <c r="Y454" s="86">
        <f t="shared" si="358"/>
        <v>392</v>
      </c>
      <c r="Z454" t="s">
        <v>300</v>
      </c>
    </row>
    <row r="457" spans="1:27" ht="19.5" thickBot="1" x14ac:dyDescent="0.25">
      <c r="A457" s="2" t="s">
        <v>15</v>
      </c>
      <c r="B457" s="2"/>
      <c r="C457" s="1"/>
      <c r="D457" s="1"/>
      <c r="E457" s="1"/>
      <c r="G457" s="72"/>
      <c r="H457" s="1"/>
      <c r="I457" s="1"/>
      <c r="J457" s="1"/>
      <c r="K457" s="72" t="s">
        <v>12</v>
      </c>
      <c r="N457" s="2" t="s">
        <v>16</v>
      </c>
      <c r="O457" s="2"/>
      <c r="P457" s="1"/>
      <c r="Q457" s="1"/>
      <c r="R457" s="1"/>
      <c r="U457" s="1"/>
      <c r="V457" s="1"/>
      <c r="W457" s="1"/>
      <c r="X457" s="72" t="s">
        <v>12</v>
      </c>
    </row>
    <row r="458" spans="1:27" ht="14.25" thickBot="1" x14ac:dyDescent="0.2">
      <c r="A458" s="5" t="s">
        <v>0</v>
      </c>
      <c r="B458" s="245" t="s">
        <v>34</v>
      </c>
      <c r="C458" s="246"/>
      <c r="D458" s="246"/>
      <c r="E458" s="246"/>
      <c r="F458" s="247"/>
      <c r="G458" s="248" t="s">
        <v>35</v>
      </c>
      <c r="H458" s="249"/>
      <c r="I458" s="249"/>
      <c r="J458" s="249"/>
      <c r="K458" s="249"/>
      <c r="L458" s="243" t="s">
        <v>14</v>
      </c>
      <c r="N458" s="5" t="s">
        <v>0</v>
      </c>
      <c r="O458" s="245" t="s">
        <v>58</v>
      </c>
      <c r="P458" s="246"/>
      <c r="Q458" s="246"/>
      <c r="R458" s="246"/>
      <c r="S458" s="247"/>
      <c r="T458" s="248" t="s">
        <v>59</v>
      </c>
      <c r="U458" s="249"/>
      <c r="V458" s="249"/>
      <c r="W458" s="249"/>
      <c r="X458" s="249"/>
      <c r="Y458" s="243" t="s">
        <v>14</v>
      </c>
    </row>
    <row r="459" spans="1:27" ht="14.25" thickBot="1" x14ac:dyDescent="0.2">
      <c r="A459" s="5" t="s">
        <v>1</v>
      </c>
      <c r="B459" s="3" t="s">
        <v>17</v>
      </c>
      <c r="C459" s="27" t="s">
        <v>18</v>
      </c>
      <c r="D459" s="4" t="s">
        <v>19</v>
      </c>
      <c r="E459" s="14" t="s">
        <v>20</v>
      </c>
      <c r="F459" s="18" t="s">
        <v>2</v>
      </c>
      <c r="G459" s="3" t="s">
        <v>17</v>
      </c>
      <c r="H459" s="27" t="s">
        <v>18</v>
      </c>
      <c r="I459" s="4" t="s">
        <v>19</v>
      </c>
      <c r="J459" s="14" t="s">
        <v>20</v>
      </c>
      <c r="K459" s="73" t="s">
        <v>2</v>
      </c>
      <c r="L459" s="244"/>
      <c r="N459" s="5" t="s">
        <v>1</v>
      </c>
      <c r="O459" s="3" t="s">
        <v>17</v>
      </c>
      <c r="P459" s="27" t="s">
        <v>18</v>
      </c>
      <c r="Q459" s="4" t="s">
        <v>19</v>
      </c>
      <c r="R459" s="14" t="s">
        <v>20</v>
      </c>
      <c r="S459" s="18" t="s">
        <v>2</v>
      </c>
      <c r="T459" s="3" t="s">
        <v>17</v>
      </c>
      <c r="U459" s="27" t="s">
        <v>18</v>
      </c>
      <c r="V459" s="4" t="s">
        <v>19</v>
      </c>
      <c r="W459" s="14" t="s">
        <v>20</v>
      </c>
      <c r="X459" s="18" t="s">
        <v>2</v>
      </c>
      <c r="Y459" s="244"/>
    </row>
    <row r="460" spans="1:27" x14ac:dyDescent="0.15">
      <c r="A460" s="66" t="s">
        <v>10</v>
      </c>
      <c r="B460" s="67">
        <f>B454</f>
        <v>2</v>
      </c>
      <c r="C460" s="68">
        <f>C454</f>
        <v>3</v>
      </c>
      <c r="D460" s="68">
        <f>D454</f>
        <v>3</v>
      </c>
      <c r="E460" s="69">
        <f>E454</f>
        <v>5</v>
      </c>
      <c r="F460" s="70">
        <f>SUM(B460:E460)</f>
        <v>13</v>
      </c>
      <c r="G460" s="67">
        <f>G454</f>
        <v>5</v>
      </c>
      <c r="H460" s="68">
        <f>H454</f>
        <v>2</v>
      </c>
      <c r="I460" s="68">
        <f>I454</f>
        <v>2</v>
      </c>
      <c r="J460" s="69">
        <f>J454</f>
        <v>2</v>
      </c>
      <c r="K460" s="74">
        <f>SUM(G460:J460)</f>
        <v>11</v>
      </c>
      <c r="L460" s="84">
        <f>F460+K460</f>
        <v>24</v>
      </c>
      <c r="N460" s="66" t="s">
        <v>10</v>
      </c>
      <c r="O460" s="67">
        <f>O454</f>
        <v>79</v>
      </c>
      <c r="P460" s="68">
        <f>P454</f>
        <v>38</v>
      </c>
      <c r="Q460" s="68">
        <f>Q454</f>
        <v>45</v>
      </c>
      <c r="R460" s="69">
        <f>R454</f>
        <v>58</v>
      </c>
      <c r="S460" s="70">
        <f>SUM(O460:R460)</f>
        <v>220</v>
      </c>
      <c r="T460" s="67">
        <f>T454</f>
        <v>56</v>
      </c>
      <c r="U460" s="68">
        <f>U454</f>
        <v>56</v>
      </c>
      <c r="V460" s="68">
        <f>V454</f>
        <v>35</v>
      </c>
      <c r="W460" s="87">
        <f>W454</f>
        <v>25</v>
      </c>
      <c r="X460" s="88">
        <f>SUM(T460:W460)</f>
        <v>172</v>
      </c>
      <c r="Y460" s="84">
        <f>S460+X460</f>
        <v>392</v>
      </c>
    </row>
    <row r="461" spans="1:27" x14ac:dyDescent="0.15">
      <c r="A461" s="44" t="s">
        <v>3</v>
      </c>
      <c r="B461" s="47"/>
      <c r="C461" s="48"/>
      <c r="D461" s="49"/>
      <c r="E461" s="50"/>
      <c r="F461" s="54">
        <f>SUM(B461:E461)</f>
        <v>0</v>
      </c>
      <c r="G461" s="38"/>
      <c r="H461" s="39"/>
      <c r="I461" s="40">
        <v>3</v>
      </c>
      <c r="J461" s="41">
        <v>3</v>
      </c>
      <c r="K461" s="75">
        <f>SUM(G461:J461)</f>
        <v>6</v>
      </c>
      <c r="L461" s="94">
        <f t="shared" ref="L461:L464" si="373">F461+K461</f>
        <v>6</v>
      </c>
      <c r="M461" s="104">
        <v>46121</v>
      </c>
      <c r="N461" s="44" t="s">
        <v>3</v>
      </c>
      <c r="O461" s="47"/>
      <c r="P461" s="48"/>
      <c r="Q461" s="49"/>
      <c r="R461" s="50"/>
      <c r="S461" s="54">
        <f>SUM(O461:R461)</f>
        <v>0</v>
      </c>
      <c r="T461" s="38"/>
      <c r="U461" s="39"/>
      <c r="V461" s="40"/>
      <c r="W461" s="41"/>
      <c r="X461" s="75">
        <f>SUM(T461:W461)</f>
        <v>0</v>
      </c>
      <c r="Y461" s="94">
        <f t="shared" ref="Y461:Y464" si="374">S461+X461</f>
        <v>0</v>
      </c>
    </row>
    <row r="462" spans="1:27" x14ac:dyDescent="0.15">
      <c r="A462" s="44" t="s">
        <v>4</v>
      </c>
      <c r="B462" s="47"/>
      <c r="C462" s="48"/>
      <c r="D462" s="49"/>
      <c r="E462" s="50"/>
      <c r="F462" s="54">
        <f t="shared" ref="F462:F463" si="375">SUM(B462:E462)</f>
        <v>0</v>
      </c>
      <c r="G462" s="38"/>
      <c r="H462" s="39">
        <v>3</v>
      </c>
      <c r="I462" s="40"/>
      <c r="J462" s="41"/>
      <c r="K462" s="75">
        <f t="shared" ref="K462:K463" si="376">SUM(G462:J462)</f>
        <v>3</v>
      </c>
      <c r="L462" s="94">
        <f t="shared" si="373"/>
        <v>3</v>
      </c>
      <c r="M462" s="104">
        <v>46122</v>
      </c>
      <c r="N462" s="44" t="s">
        <v>4</v>
      </c>
      <c r="O462" s="47"/>
      <c r="P462" s="48"/>
      <c r="Q462" s="49"/>
      <c r="R462" s="50"/>
      <c r="S462" s="54">
        <f t="shared" ref="S462:S463" si="377">SUM(O462:R462)</f>
        <v>0</v>
      </c>
      <c r="T462" s="38"/>
      <c r="U462" s="39"/>
      <c r="V462" s="40"/>
      <c r="W462" s="41"/>
      <c r="X462" s="75">
        <f t="shared" ref="X462:X463" si="378">SUM(T462:W462)</f>
        <v>0</v>
      </c>
      <c r="Y462" s="94">
        <f t="shared" ref="Y462:Y463" si="379">S462+X462</f>
        <v>0</v>
      </c>
    </row>
    <row r="463" spans="1:27" x14ac:dyDescent="0.15">
      <c r="A463" s="193" t="s">
        <v>5</v>
      </c>
      <c r="B463" s="209"/>
      <c r="C463" s="210"/>
      <c r="D463" s="211">
        <v>2</v>
      </c>
      <c r="E463" s="212"/>
      <c r="F463" s="213">
        <f t="shared" si="375"/>
        <v>2</v>
      </c>
      <c r="G463" s="214"/>
      <c r="H463" s="215"/>
      <c r="I463" s="216">
        <v>2</v>
      </c>
      <c r="J463" s="217">
        <v>2</v>
      </c>
      <c r="K463" s="218">
        <f t="shared" si="376"/>
        <v>4</v>
      </c>
      <c r="L463" s="179">
        <f t="shared" si="373"/>
        <v>6</v>
      </c>
      <c r="M463" s="180">
        <v>46135</v>
      </c>
      <c r="N463" s="44" t="s">
        <v>5</v>
      </c>
      <c r="O463" s="47"/>
      <c r="P463" s="48"/>
      <c r="Q463" s="49"/>
      <c r="R463" s="50"/>
      <c r="S463" s="54">
        <f t="shared" si="377"/>
        <v>0</v>
      </c>
      <c r="T463" s="38"/>
      <c r="U463" s="39"/>
      <c r="V463" s="40"/>
      <c r="W463" s="41"/>
      <c r="X463" s="75">
        <f t="shared" si="378"/>
        <v>0</v>
      </c>
      <c r="Y463" s="94">
        <f t="shared" si="379"/>
        <v>0</v>
      </c>
    </row>
    <row r="464" spans="1:27" ht="14.25" thickBot="1" x14ac:dyDescent="0.2">
      <c r="A464" s="168" t="s">
        <v>6</v>
      </c>
      <c r="B464" s="169"/>
      <c r="C464" s="170">
        <v>3</v>
      </c>
      <c r="D464" s="171"/>
      <c r="E464" s="172"/>
      <c r="F464" s="173">
        <f>SUM(B464:E464)</f>
        <v>3</v>
      </c>
      <c r="G464" s="174"/>
      <c r="H464" s="175"/>
      <c r="I464" s="176"/>
      <c r="J464" s="177">
        <v>3</v>
      </c>
      <c r="K464" s="178">
        <f>SUM(G464:J464)</f>
        <v>3</v>
      </c>
      <c r="L464" s="179">
        <f t="shared" si="373"/>
        <v>6</v>
      </c>
      <c r="M464" s="180">
        <v>46140</v>
      </c>
      <c r="N464" s="44" t="s">
        <v>6</v>
      </c>
      <c r="O464" s="47"/>
      <c r="P464" s="48"/>
      <c r="Q464" s="49"/>
      <c r="R464" s="50"/>
      <c r="S464" s="54">
        <f t="shared" ref="S464" si="380">SUM(O464:R464)</f>
        <v>0</v>
      </c>
      <c r="T464" s="38"/>
      <c r="U464" s="39"/>
      <c r="V464" s="40"/>
      <c r="W464" s="41"/>
      <c r="X464" s="75">
        <f t="shared" ref="X464" si="381">SUM(T464:W464)</f>
        <v>0</v>
      </c>
      <c r="Y464" s="94">
        <f t="shared" si="374"/>
        <v>0</v>
      </c>
    </row>
    <row r="465" spans="1:27" ht="14.25" thickBot="1" x14ac:dyDescent="0.2">
      <c r="A465" s="13" t="s">
        <v>7</v>
      </c>
      <c r="B465" s="55">
        <f t="shared" ref="B465:K465" si="382">SUM(B460:B464)</f>
        <v>2</v>
      </c>
      <c r="C465" s="56">
        <f t="shared" si="382"/>
        <v>6</v>
      </c>
      <c r="D465" s="57">
        <f t="shared" si="382"/>
        <v>5</v>
      </c>
      <c r="E465" s="58">
        <f t="shared" si="382"/>
        <v>5</v>
      </c>
      <c r="F465" s="59">
        <f t="shared" si="382"/>
        <v>18</v>
      </c>
      <c r="G465" s="24">
        <f t="shared" si="382"/>
        <v>5</v>
      </c>
      <c r="H465" s="30">
        <f t="shared" si="382"/>
        <v>5</v>
      </c>
      <c r="I465" s="25">
        <f t="shared" si="382"/>
        <v>7</v>
      </c>
      <c r="J465" s="60">
        <f t="shared" si="382"/>
        <v>10</v>
      </c>
      <c r="K465" s="78">
        <f t="shared" si="382"/>
        <v>27</v>
      </c>
      <c r="L465" s="85">
        <f>F465+K465</f>
        <v>45</v>
      </c>
      <c r="N465" s="13" t="s">
        <v>7</v>
      </c>
      <c r="O465" s="55">
        <f t="shared" ref="O465:X465" si="383">SUM(O460:O464)</f>
        <v>79</v>
      </c>
      <c r="P465" s="56">
        <f t="shared" si="383"/>
        <v>38</v>
      </c>
      <c r="Q465" s="57">
        <f t="shared" si="383"/>
        <v>45</v>
      </c>
      <c r="R465" s="58">
        <f t="shared" si="383"/>
        <v>58</v>
      </c>
      <c r="S465" s="59">
        <f t="shared" si="383"/>
        <v>220</v>
      </c>
      <c r="T465" s="24">
        <f t="shared" si="383"/>
        <v>56</v>
      </c>
      <c r="U465" s="30">
        <f t="shared" si="383"/>
        <v>56</v>
      </c>
      <c r="V465" s="25">
        <f t="shared" si="383"/>
        <v>35</v>
      </c>
      <c r="W465" s="60">
        <f t="shared" si="383"/>
        <v>25</v>
      </c>
      <c r="X465" s="61">
        <f t="shared" si="383"/>
        <v>172</v>
      </c>
      <c r="Y465" s="85">
        <f>S465+X465</f>
        <v>392</v>
      </c>
    </row>
    <row r="466" spans="1:27" x14ac:dyDescent="0.15">
      <c r="A466" s="44" t="s">
        <v>27</v>
      </c>
      <c r="B466" s="15"/>
      <c r="C466" s="28"/>
      <c r="D466" s="16"/>
      <c r="E466" s="19"/>
      <c r="F466" s="42">
        <f t="shared" ref="F466:F489" si="384">SUM(B466:E466)</f>
        <v>0</v>
      </c>
      <c r="G466" s="15"/>
      <c r="H466" s="28"/>
      <c r="I466" s="16"/>
      <c r="J466" s="31">
        <v>1</v>
      </c>
      <c r="K466" s="79">
        <f t="shared" ref="K466:K483" si="385">SUM(G466:J466)</f>
        <v>1</v>
      </c>
      <c r="L466" s="94">
        <f t="shared" ref="L466:L492" si="386">F466+K466</f>
        <v>1</v>
      </c>
      <c r="M466" s="105">
        <v>46125</v>
      </c>
      <c r="N466" s="240" t="s">
        <v>74</v>
      </c>
      <c r="O466" s="15"/>
      <c r="P466" s="28">
        <v>2</v>
      </c>
      <c r="Q466" s="16">
        <v>2</v>
      </c>
      <c r="R466" s="19"/>
      <c r="S466" s="42">
        <f t="shared" ref="S466:S482" si="387">SUM(O466:R466)</f>
        <v>4</v>
      </c>
      <c r="T466" s="15">
        <v>2</v>
      </c>
      <c r="U466" s="28"/>
      <c r="V466" s="16"/>
      <c r="W466" s="31">
        <v>2</v>
      </c>
      <c r="X466" s="9">
        <f t="shared" ref="X466:X471" si="388">SUM(T466:W466)</f>
        <v>4</v>
      </c>
      <c r="Y466" s="94">
        <f>S466+X466</f>
        <v>8</v>
      </c>
      <c r="Z466" s="104">
        <v>46125</v>
      </c>
      <c r="AA466" s="109"/>
    </row>
    <row r="467" spans="1:27" x14ac:dyDescent="0.15">
      <c r="A467" s="44" t="s">
        <v>27</v>
      </c>
      <c r="B467" s="15"/>
      <c r="C467" s="28"/>
      <c r="D467" s="16"/>
      <c r="E467" s="19"/>
      <c r="F467" s="42">
        <f t="shared" si="384"/>
        <v>0</v>
      </c>
      <c r="G467" s="15"/>
      <c r="H467" s="28"/>
      <c r="I467" s="16">
        <v>1</v>
      </c>
      <c r="J467" s="31"/>
      <c r="K467" s="79">
        <f t="shared" si="385"/>
        <v>1</v>
      </c>
      <c r="L467" s="94">
        <f t="shared" si="386"/>
        <v>1</v>
      </c>
      <c r="M467" s="105">
        <v>46127</v>
      </c>
      <c r="N467" s="11" t="s">
        <v>337</v>
      </c>
      <c r="O467" s="15"/>
      <c r="P467" s="28"/>
      <c r="Q467" s="16"/>
      <c r="R467" s="19">
        <v>1</v>
      </c>
      <c r="S467" s="42">
        <f t="shared" si="387"/>
        <v>1</v>
      </c>
      <c r="T467" s="15"/>
      <c r="U467" s="28"/>
      <c r="V467" s="16"/>
      <c r="W467" s="31"/>
      <c r="X467" s="9">
        <f t="shared" si="388"/>
        <v>0</v>
      </c>
      <c r="Y467" s="94">
        <f>S467+X467</f>
        <v>1</v>
      </c>
      <c r="Z467" s="104">
        <v>46126</v>
      </c>
    </row>
    <row r="468" spans="1:27" x14ac:dyDescent="0.15">
      <c r="A468" s="44" t="s">
        <v>27</v>
      </c>
      <c r="B468" s="15"/>
      <c r="C468" s="28"/>
      <c r="D468" s="16"/>
      <c r="E468" s="19"/>
      <c r="F468" s="42">
        <f t="shared" si="384"/>
        <v>0</v>
      </c>
      <c r="G468" s="15"/>
      <c r="H468" s="28">
        <v>1</v>
      </c>
      <c r="I468" s="16">
        <v>1</v>
      </c>
      <c r="J468" s="31"/>
      <c r="K468" s="79">
        <f t="shared" si="385"/>
        <v>2</v>
      </c>
      <c r="L468" s="94">
        <f t="shared" si="386"/>
        <v>2</v>
      </c>
      <c r="M468" s="105">
        <v>46128</v>
      </c>
      <c r="N468" s="11" t="s">
        <v>338</v>
      </c>
      <c r="O468" s="15"/>
      <c r="P468" s="28"/>
      <c r="Q468" s="16"/>
      <c r="R468" s="19">
        <v>1</v>
      </c>
      <c r="S468" s="42">
        <f t="shared" si="387"/>
        <v>1</v>
      </c>
      <c r="T468" s="15"/>
      <c r="U468" s="28"/>
      <c r="V468" s="16"/>
      <c r="W468" s="31"/>
      <c r="X468" s="9">
        <f t="shared" si="388"/>
        <v>0</v>
      </c>
      <c r="Y468" s="94">
        <f>S468+X468</f>
        <v>1</v>
      </c>
      <c r="Z468" s="104">
        <v>46127</v>
      </c>
    </row>
    <row r="469" spans="1:27" x14ac:dyDescent="0.15">
      <c r="A469" s="44" t="s">
        <v>27</v>
      </c>
      <c r="B469" s="15"/>
      <c r="C469" s="28"/>
      <c r="D469" s="16"/>
      <c r="E469" s="19"/>
      <c r="F469" s="42">
        <f t="shared" si="384"/>
        <v>0</v>
      </c>
      <c r="G469" s="15"/>
      <c r="H469" s="28">
        <v>1</v>
      </c>
      <c r="I469" s="16">
        <v>1</v>
      </c>
      <c r="J469" s="31">
        <v>2</v>
      </c>
      <c r="K469" s="79">
        <f t="shared" si="385"/>
        <v>4</v>
      </c>
      <c r="L469" s="94">
        <f t="shared" si="386"/>
        <v>4</v>
      </c>
      <c r="M469" s="105">
        <v>46132</v>
      </c>
      <c r="N469" s="11" t="s">
        <v>339</v>
      </c>
      <c r="O469" s="15"/>
      <c r="P469" s="28"/>
      <c r="Q469" s="16"/>
      <c r="R469" s="19"/>
      <c r="S469" s="42">
        <f t="shared" si="387"/>
        <v>0</v>
      </c>
      <c r="T469" s="15">
        <v>2</v>
      </c>
      <c r="U469" s="28"/>
      <c r="V469" s="16"/>
      <c r="W469" s="31"/>
      <c r="X469" s="9">
        <f t="shared" si="388"/>
        <v>2</v>
      </c>
      <c r="Y469" s="94">
        <f t="shared" ref="Y469:Y492" si="389">S469+X469</f>
        <v>2</v>
      </c>
      <c r="Z469" s="104">
        <v>46127</v>
      </c>
    </row>
    <row r="470" spans="1:27" x14ac:dyDescent="0.15">
      <c r="A470" s="44" t="s">
        <v>27</v>
      </c>
      <c r="B470" s="15"/>
      <c r="C470" s="28"/>
      <c r="D470" s="16">
        <v>1</v>
      </c>
      <c r="E470" s="19"/>
      <c r="F470" s="42">
        <f t="shared" si="384"/>
        <v>1</v>
      </c>
      <c r="G470" s="15"/>
      <c r="H470" s="28"/>
      <c r="I470" s="16"/>
      <c r="J470" s="31"/>
      <c r="K470" s="79">
        <f t="shared" si="385"/>
        <v>0</v>
      </c>
      <c r="L470" s="94">
        <f t="shared" si="386"/>
        <v>1</v>
      </c>
      <c r="M470" s="105">
        <v>46133</v>
      </c>
      <c r="N470" s="135" t="s">
        <v>340</v>
      </c>
      <c r="O470" s="15"/>
      <c r="P470" s="28"/>
      <c r="Q470" s="16"/>
      <c r="R470" s="19">
        <v>1</v>
      </c>
      <c r="S470" s="42">
        <f t="shared" si="387"/>
        <v>1</v>
      </c>
      <c r="T470" s="15"/>
      <c r="U470" s="28"/>
      <c r="V470" s="16"/>
      <c r="W470" s="31">
        <v>1</v>
      </c>
      <c r="X470" s="9">
        <f t="shared" si="388"/>
        <v>1</v>
      </c>
      <c r="Y470" s="94">
        <f t="shared" si="389"/>
        <v>2</v>
      </c>
      <c r="Z470" s="104">
        <v>46132</v>
      </c>
    </row>
    <row r="471" spans="1:27" x14ac:dyDescent="0.15">
      <c r="A471" s="44" t="s">
        <v>27</v>
      </c>
      <c r="B471" s="15"/>
      <c r="C471" s="28"/>
      <c r="D471" s="16"/>
      <c r="E471" s="19">
        <v>1</v>
      </c>
      <c r="F471" s="42">
        <f t="shared" si="384"/>
        <v>1</v>
      </c>
      <c r="G471" s="15"/>
      <c r="H471" s="28"/>
      <c r="I471" s="16"/>
      <c r="J471" s="31"/>
      <c r="K471" s="79">
        <f t="shared" si="385"/>
        <v>0</v>
      </c>
      <c r="L471" s="94">
        <f t="shared" si="386"/>
        <v>1</v>
      </c>
      <c r="M471" s="105">
        <v>46135</v>
      </c>
      <c r="N471" s="32" t="s">
        <v>91</v>
      </c>
      <c r="O471" s="15">
        <v>2</v>
      </c>
      <c r="P471" s="28">
        <v>4</v>
      </c>
      <c r="Q471" s="16">
        <v>1</v>
      </c>
      <c r="R471" s="19">
        <v>2</v>
      </c>
      <c r="S471" s="42">
        <f t="shared" si="387"/>
        <v>9</v>
      </c>
      <c r="T471" s="15"/>
      <c r="U471" s="28">
        <v>5</v>
      </c>
      <c r="V471" s="16">
        <v>3</v>
      </c>
      <c r="W471" s="31">
        <v>2</v>
      </c>
      <c r="X471" s="9">
        <f t="shared" si="388"/>
        <v>10</v>
      </c>
      <c r="Y471" s="94">
        <f t="shared" si="389"/>
        <v>19</v>
      </c>
      <c r="Z471" s="104">
        <v>46132</v>
      </c>
    </row>
    <row r="472" spans="1:27" x14ac:dyDescent="0.15">
      <c r="A472" s="44" t="s">
        <v>27</v>
      </c>
      <c r="B472" s="15"/>
      <c r="C472" s="28">
        <v>1</v>
      </c>
      <c r="D472" s="16"/>
      <c r="E472" s="19"/>
      <c r="F472" s="42">
        <f t="shared" si="384"/>
        <v>1</v>
      </c>
      <c r="G472" s="15"/>
      <c r="H472" s="28"/>
      <c r="I472" s="16"/>
      <c r="J472" s="31"/>
      <c r="K472" s="79">
        <f t="shared" si="385"/>
        <v>0</v>
      </c>
      <c r="L472" s="94">
        <f t="shared" si="386"/>
        <v>1</v>
      </c>
      <c r="M472" s="105">
        <v>46136</v>
      </c>
      <c r="N472" s="11" t="s">
        <v>341</v>
      </c>
      <c r="O472" s="15"/>
      <c r="P472" s="28"/>
      <c r="Q472" s="16"/>
      <c r="R472" s="19"/>
      <c r="S472" s="42">
        <f t="shared" si="387"/>
        <v>0</v>
      </c>
      <c r="T472" s="15"/>
      <c r="U472" s="28">
        <v>3</v>
      </c>
      <c r="V472" s="16"/>
      <c r="W472" s="31"/>
      <c r="X472" s="9">
        <f>SUM(T472:W472)</f>
        <v>3</v>
      </c>
      <c r="Y472" s="94">
        <f t="shared" si="389"/>
        <v>3</v>
      </c>
      <c r="Z472" s="104">
        <v>46132</v>
      </c>
    </row>
    <row r="473" spans="1:27" x14ac:dyDescent="0.15">
      <c r="A473" s="44" t="s">
        <v>27</v>
      </c>
      <c r="B473" s="15"/>
      <c r="C473" s="28">
        <v>1</v>
      </c>
      <c r="D473" s="16"/>
      <c r="E473" s="19"/>
      <c r="F473" s="42">
        <f t="shared" si="384"/>
        <v>1</v>
      </c>
      <c r="G473" s="15"/>
      <c r="H473" s="28"/>
      <c r="I473" s="16"/>
      <c r="J473" s="31">
        <v>3</v>
      </c>
      <c r="K473" s="79">
        <f t="shared" si="385"/>
        <v>3</v>
      </c>
      <c r="L473" s="94">
        <f t="shared" si="386"/>
        <v>4</v>
      </c>
      <c r="M473" s="105">
        <v>46139</v>
      </c>
      <c r="N473" s="193" t="s">
        <v>268</v>
      </c>
      <c r="O473" s="194"/>
      <c r="P473" s="195"/>
      <c r="Q473" s="196">
        <v>2</v>
      </c>
      <c r="R473" s="197"/>
      <c r="S473" s="198">
        <f t="shared" si="387"/>
        <v>2</v>
      </c>
      <c r="T473" s="194"/>
      <c r="U473" s="195"/>
      <c r="V473" s="196">
        <v>2</v>
      </c>
      <c r="W473" s="201">
        <v>2</v>
      </c>
      <c r="X473" s="202">
        <f t="shared" ref="X473:X477" si="390">SUM(T473:W473)</f>
        <v>4</v>
      </c>
      <c r="Y473" s="179">
        <f t="shared" si="389"/>
        <v>6</v>
      </c>
      <c r="Z473" s="180">
        <v>46135</v>
      </c>
    </row>
    <row r="474" spans="1:27" x14ac:dyDescent="0.15">
      <c r="A474" s="44" t="s">
        <v>343</v>
      </c>
      <c r="B474" s="15">
        <v>2</v>
      </c>
      <c r="C474" s="28">
        <v>-1</v>
      </c>
      <c r="D474" s="16">
        <v>-1</v>
      </c>
      <c r="E474" s="19"/>
      <c r="F474" s="42">
        <f t="shared" si="384"/>
        <v>0</v>
      </c>
      <c r="G474" s="15"/>
      <c r="H474" s="28"/>
      <c r="I474" s="16"/>
      <c r="J474" s="31"/>
      <c r="K474" s="79">
        <f t="shared" si="385"/>
        <v>0</v>
      </c>
      <c r="L474" s="94">
        <f t="shared" si="386"/>
        <v>0</v>
      </c>
      <c r="M474" s="105">
        <v>46142</v>
      </c>
      <c r="N474" s="44" t="s">
        <v>268</v>
      </c>
      <c r="O474" s="15"/>
      <c r="P474" s="28">
        <v>3</v>
      </c>
      <c r="Q474" s="16"/>
      <c r="R474" s="19"/>
      <c r="S474" s="42">
        <f t="shared" si="387"/>
        <v>3</v>
      </c>
      <c r="T474" s="15"/>
      <c r="U474" s="28"/>
      <c r="V474" s="16"/>
      <c r="W474" s="31">
        <v>3</v>
      </c>
      <c r="X474" s="9">
        <f t="shared" si="390"/>
        <v>3</v>
      </c>
      <c r="Y474" s="94">
        <f t="shared" si="389"/>
        <v>6</v>
      </c>
      <c r="Z474" s="104">
        <v>46140</v>
      </c>
    </row>
    <row r="475" spans="1:27" x14ac:dyDescent="0.15">
      <c r="A475" s="44" t="s">
        <v>345</v>
      </c>
      <c r="B475" s="15">
        <v>-5</v>
      </c>
      <c r="C475" s="28"/>
      <c r="D475" s="16"/>
      <c r="E475" s="19"/>
      <c r="F475" s="42">
        <f t="shared" si="384"/>
        <v>-5</v>
      </c>
      <c r="G475" s="15"/>
      <c r="H475" s="28"/>
      <c r="I475" s="16"/>
      <c r="J475" s="31"/>
      <c r="K475" s="79">
        <f t="shared" si="385"/>
        <v>0</v>
      </c>
      <c r="L475" s="94">
        <f t="shared" si="386"/>
        <v>-5</v>
      </c>
      <c r="M475" s="104">
        <v>46142</v>
      </c>
      <c r="N475" s="44" t="s">
        <v>268</v>
      </c>
      <c r="O475" s="15">
        <v>5</v>
      </c>
      <c r="P475" s="28"/>
      <c r="Q475" s="16"/>
      <c r="R475" s="19"/>
      <c r="S475" s="42">
        <f t="shared" si="387"/>
        <v>5</v>
      </c>
      <c r="T475" s="15"/>
      <c r="U475" s="28"/>
      <c r="V475" s="16"/>
      <c r="W475" s="31"/>
      <c r="X475" s="9">
        <f t="shared" si="390"/>
        <v>0</v>
      </c>
      <c r="Y475" s="94">
        <f t="shared" si="389"/>
        <v>5</v>
      </c>
      <c r="Z475" s="104">
        <v>46142</v>
      </c>
    </row>
    <row r="476" spans="1:27" x14ac:dyDescent="0.15">
      <c r="A476" s="44" t="s">
        <v>27</v>
      </c>
      <c r="B476" s="15"/>
      <c r="C476" s="28"/>
      <c r="D476" s="16"/>
      <c r="E476" s="19"/>
      <c r="F476" s="42">
        <f t="shared" si="384"/>
        <v>0</v>
      </c>
      <c r="G476" s="15"/>
      <c r="H476" s="28">
        <v>1</v>
      </c>
      <c r="I476" s="16">
        <v>1</v>
      </c>
      <c r="J476" s="31"/>
      <c r="K476" s="79">
        <f t="shared" si="385"/>
        <v>2</v>
      </c>
      <c r="L476" s="94">
        <f t="shared" si="386"/>
        <v>2</v>
      </c>
      <c r="M476" s="105">
        <v>46140</v>
      </c>
      <c r="N476" s="44" t="s">
        <v>268</v>
      </c>
      <c r="O476" s="15"/>
      <c r="P476" s="28"/>
      <c r="Q476" s="16"/>
      <c r="R476" s="19">
        <v>3</v>
      </c>
      <c r="S476" s="42">
        <f t="shared" ref="S476" si="391">SUM(O476:R476)</f>
        <v>3</v>
      </c>
      <c r="T476" s="15"/>
      <c r="U476" s="28">
        <v>3</v>
      </c>
      <c r="V476" s="16">
        <v>5</v>
      </c>
      <c r="W476" s="31">
        <v>3</v>
      </c>
      <c r="X476" s="9">
        <f t="shared" ref="X476" si="392">SUM(T476:W476)</f>
        <v>11</v>
      </c>
      <c r="Y476" s="94">
        <f t="shared" ref="Y476" si="393">S476+X476</f>
        <v>14</v>
      </c>
      <c r="Z476" s="104">
        <v>46144</v>
      </c>
    </row>
    <row r="477" spans="1:27" x14ac:dyDescent="0.15">
      <c r="A477" s="44" t="s">
        <v>27</v>
      </c>
      <c r="B477" s="15"/>
      <c r="C477" s="28"/>
      <c r="D477" s="16"/>
      <c r="E477" s="19">
        <v>1</v>
      </c>
      <c r="F477" s="42">
        <f t="shared" si="384"/>
        <v>1</v>
      </c>
      <c r="G477" s="15"/>
      <c r="H477" s="28"/>
      <c r="I477" s="16">
        <v>1</v>
      </c>
      <c r="J477" s="31"/>
      <c r="K477" s="79">
        <f t="shared" si="385"/>
        <v>1</v>
      </c>
      <c r="L477" s="94">
        <f t="shared" si="386"/>
        <v>2</v>
      </c>
      <c r="M477" s="105">
        <v>46142</v>
      </c>
      <c r="N477" s="193" t="s">
        <v>268</v>
      </c>
      <c r="O477" s="194"/>
      <c r="P477" s="195"/>
      <c r="Q477" s="196"/>
      <c r="R477" s="197"/>
      <c r="S477" s="198">
        <f t="shared" si="387"/>
        <v>0</v>
      </c>
      <c r="T477" s="194">
        <v>3</v>
      </c>
      <c r="U477" s="195"/>
      <c r="V477" s="196">
        <v>5</v>
      </c>
      <c r="W477" s="201">
        <v>3</v>
      </c>
      <c r="X477" s="202">
        <f t="shared" si="390"/>
        <v>11</v>
      </c>
      <c r="Y477" s="179">
        <f t="shared" si="389"/>
        <v>11</v>
      </c>
      <c r="Z477" s="180">
        <v>46153</v>
      </c>
    </row>
    <row r="478" spans="1:27" x14ac:dyDescent="0.15">
      <c r="A478" s="44" t="s">
        <v>335</v>
      </c>
      <c r="B478" s="15"/>
      <c r="C478" s="28"/>
      <c r="D478" s="16">
        <v>-1</v>
      </c>
      <c r="E478" s="19"/>
      <c r="F478" s="42">
        <f t="shared" si="384"/>
        <v>-1</v>
      </c>
      <c r="G478" s="15"/>
      <c r="H478" s="28"/>
      <c r="I478" s="16"/>
      <c r="J478" s="31"/>
      <c r="K478" s="79">
        <f t="shared" si="385"/>
        <v>0</v>
      </c>
      <c r="L478" s="94">
        <f t="shared" si="386"/>
        <v>-1</v>
      </c>
      <c r="M478" s="105">
        <v>46142</v>
      </c>
      <c r="N478" s="44"/>
      <c r="O478" s="15"/>
      <c r="P478" s="28"/>
      <c r="Q478" s="16"/>
      <c r="R478" s="19"/>
      <c r="S478" s="42">
        <f t="shared" ref="S478" si="394">SUM(O478:R478)</f>
        <v>0</v>
      </c>
      <c r="T478" s="15"/>
      <c r="U478" s="28"/>
      <c r="V478" s="16"/>
      <c r="W478" s="31"/>
      <c r="X478" s="9">
        <f>SUM(T478:W478)</f>
        <v>0</v>
      </c>
      <c r="Y478" s="94">
        <f t="shared" ref="Y478" si="395">S478+X478</f>
        <v>0</v>
      </c>
    </row>
    <row r="479" spans="1:27" x14ac:dyDescent="0.15">
      <c r="A479" s="44" t="s">
        <v>63</v>
      </c>
      <c r="B479" s="15"/>
      <c r="C479" s="28"/>
      <c r="D479" s="16"/>
      <c r="E479" s="19">
        <v>-3</v>
      </c>
      <c r="F479" s="42">
        <f t="shared" si="384"/>
        <v>-3</v>
      </c>
      <c r="G479" s="15"/>
      <c r="H479" s="28">
        <v>-3</v>
      </c>
      <c r="I479" s="16">
        <v>-5</v>
      </c>
      <c r="J479" s="31">
        <v>-3</v>
      </c>
      <c r="K479" s="79">
        <f t="shared" si="385"/>
        <v>-11</v>
      </c>
      <c r="L479" s="94">
        <f t="shared" si="386"/>
        <v>-14</v>
      </c>
      <c r="M479" s="104">
        <v>46144</v>
      </c>
      <c r="N479" s="44"/>
      <c r="O479" s="15"/>
      <c r="P479" s="28"/>
      <c r="Q479" s="16"/>
      <c r="R479" s="19"/>
      <c r="S479" s="42">
        <f t="shared" si="387"/>
        <v>0</v>
      </c>
      <c r="T479" s="15"/>
      <c r="U479" s="28"/>
      <c r="V479" s="16"/>
      <c r="W479" s="31"/>
      <c r="X479" s="9">
        <f>SUM(T479:W479)</f>
        <v>0</v>
      </c>
      <c r="Y479" s="94">
        <f t="shared" si="389"/>
        <v>0</v>
      </c>
    </row>
    <row r="480" spans="1:27" x14ac:dyDescent="0.15">
      <c r="A480" s="44" t="s">
        <v>27</v>
      </c>
      <c r="B480" s="15"/>
      <c r="C480" s="28"/>
      <c r="D480" s="16"/>
      <c r="E480" s="19"/>
      <c r="F480" s="42">
        <f t="shared" si="384"/>
        <v>0</v>
      </c>
      <c r="G480" s="15"/>
      <c r="H480" s="28"/>
      <c r="I480" s="16">
        <v>2</v>
      </c>
      <c r="J480" s="31">
        <v>1</v>
      </c>
      <c r="K480" s="79">
        <f t="shared" si="385"/>
        <v>3</v>
      </c>
      <c r="L480" s="94">
        <f t="shared" si="386"/>
        <v>3</v>
      </c>
      <c r="M480" s="105">
        <v>46143</v>
      </c>
      <c r="N480" s="32"/>
      <c r="O480" s="15"/>
      <c r="P480" s="28"/>
      <c r="Q480" s="16"/>
      <c r="R480" s="19"/>
      <c r="S480" s="42">
        <f t="shared" si="387"/>
        <v>0</v>
      </c>
      <c r="T480" s="15"/>
      <c r="U480" s="28"/>
      <c r="V480" s="16"/>
      <c r="W480" s="31"/>
      <c r="X480" s="9">
        <f t="shared" ref="X480:X482" si="396">SUM(T480:W480)</f>
        <v>0</v>
      </c>
      <c r="Y480" s="94">
        <f t="shared" si="389"/>
        <v>0</v>
      </c>
    </row>
    <row r="481" spans="1:26" x14ac:dyDescent="0.15">
      <c r="A481" s="44" t="s">
        <v>349</v>
      </c>
      <c r="B481" s="15"/>
      <c r="C481" s="28"/>
      <c r="D481" s="16"/>
      <c r="E481" s="19"/>
      <c r="F481" s="42">
        <f t="shared" si="384"/>
        <v>0</v>
      </c>
      <c r="G481" s="15"/>
      <c r="H481" s="28"/>
      <c r="I481" s="16">
        <v>1</v>
      </c>
      <c r="J481" s="31"/>
      <c r="K481" s="79">
        <f t="shared" si="385"/>
        <v>1</v>
      </c>
      <c r="L481" s="94">
        <f t="shared" si="386"/>
        <v>1</v>
      </c>
      <c r="M481" s="104">
        <v>46150</v>
      </c>
      <c r="N481" s="44"/>
      <c r="O481" s="15"/>
      <c r="P481" s="28"/>
      <c r="Q481" s="16"/>
      <c r="R481" s="19"/>
      <c r="S481" s="42">
        <f t="shared" si="387"/>
        <v>0</v>
      </c>
      <c r="T481" s="15"/>
      <c r="U481" s="28"/>
      <c r="V481" s="16"/>
      <c r="W481" s="31"/>
      <c r="X481" s="9">
        <f t="shared" si="396"/>
        <v>0</v>
      </c>
      <c r="Y481" s="94">
        <f t="shared" si="389"/>
        <v>0</v>
      </c>
    </row>
    <row r="482" spans="1:26" x14ac:dyDescent="0.15">
      <c r="A482" s="44" t="s">
        <v>120</v>
      </c>
      <c r="B482" s="15"/>
      <c r="C482" s="28"/>
      <c r="D482" s="16"/>
      <c r="E482" s="19"/>
      <c r="F482" s="42">
        <f t="shared" si="384"/>
        <v>0</v>
      </c>
      <c r="G482" s="15">
        <v>1</v>
      </c>
      <c r="H482" s="28">
        <v>-1</v>
      </c>
      <c r="I482" s="16"/>
      <c r="J482" s="31"/>
      <c r="K482" s="79">
        <f t="shared" si="385"/>
        <v>0</v>
      </c>
      <c r="L482" s="94">
        <f t="shared" si="386"/>
        <v>0</v>
      </c>
      <c r="M482" s="105">
        <v>46149</v>
      </c>
      <c r="N482" s="44"/>
      <c r="O482" s="15"/>
      <c r="P482" s="28"/>
      <c r="Q482" s="16"/>
      <c r="R482" s="19"/>
      <c r="S482" s="42">
        <f t="shared" si="387"/>
        <v>0</v>
      </c>
      <c r="T482" s="15"/>
      <c r="U482" s="28"/>
      <c r="V482" s="16"/>
      <c r="W482" s="31"/>
      <c r="X482" s="9">
        <f t="shared" si="396"/>
        <v>0</v>
      </c>
      <c r="Y482" s="94">
        <f t="shared" si="389"/>
        <v>0</v>
      </c>
    </row>
    <row r="483" spans="1:26" x14ac:dyDescent="0.15">
      <c r="A483" s="44" t="s">
        <v>27</v>
      </c>
      <c r="B483" s="15"/>
      <c r="C483" s="28"/>
      <c r="D483" s="16"/>
      <c r="E483" s="19">
        <v>1</v>
      </c>
      <c r="F483" s="42">
        <f t="shared" si="384"/>
        <v>1</v>
      </c>
      <c r="G483" s="15"/>
      <c r="H483" s="28"/>
      <c r="I483" s="16">
        <v>2</v>
      </c>
      <c r="J483" s="31">
        <v>3</v>
      </c>
      <c r="K483" s="79">
        <f t="shared" si="385"/>
        <v>5</v>
      </c>
      <c r="L483" s="94">
        <f t="shared" si="386"/>
        <v>6</v>
      </c>
      <c r="M483" s="105">
        <v>46149</v>
      </c>
      <c r="N483" s="44"/>
      <c r="O483" s="15"/>
      <c r="P483" s="28"/>
      <c r="Q483" s="16"/>
      <c r="R483" s="19"/>
      <c r="S483" s="42">
        <f t="shared" ref="S483:S486" si="397">SUM(O483:R483)</f>
        <v>0</v>
      </c>
      <c r="T483" s="15"/>
      <c r="U483" s="28"/>
      <c r="V483" s="16"/>
      <c r="W483" s="31"/>
      <c r="X483" s="9">
        <f t="shared" ref="X483:X486" si="398">SUM(T483:W483)</f>
        <v>0</v>
      </c>
      <c r="Y483" s="94">
        <f t="shared" ref="Y483:Y486" si="399">S483+X483</f>
        <v>0</v>
      </c>
    </row>
    <row r="484" spans="1:26" x14ac:dyDescent="0.15">
      <c r="A484" s="193" t="s">
        <v>350</v>
      </c>
      <c r="B484" s="194"/>
      <c r="C484" s="195"/>
      <c r="D484" s="196"/>
      <c r="E484" s="197"/>
      <c r="F484" s="198">
        <f t="shared" si="384"/>
        <v>0</v>
      </c>
      <c r="G484" s="194">
        <v>-3</v>
      </c>
      <c r="H484" s="195"/>
      <c r="I484" s="196">
        <v>-5</v>
      </c>
      <c r="J484" s="201">
        <v>-3</v>
      </c>
      <c r="K484" s="200">
        <f>SUM(G484:J484)</f>
        <v>-11</v>
      </c>
      <c r="L484" s="179">
        <f t="shared" si="386"/>
        <v>-11</v>
      </c>
      <c r="M484" s="180">
        <v>46153</v>
      </c>
      <c r="N484" s="44"/>
      <c r="O484" s="15"/>
      <c r="P484" s="28"/>
      <c r="Q484" s="16"/>
      <c r="R484" s="19"/>
      <c r="S484" s="42">
        <f t="shared" si="397"/>
        <v>0</v>
      </c>
      <c r="T484" s="15"/>
      <c r="U484" s="28"/>
      <c r="V484" s="16"/>
      <c r="W484" s="31"/>
      <c r="X484" s="9">
        <f t="shared" si="398"/>
        <v>0</v>
      </c>
      <c r="Y484" s="94">
        <f t="shared" si="399"/>
        <v>0</v>
      </c>
    </row>
    <row r="485" spans="1:26" x14ac:dyDescent="0.15">
      <c r="A485" s="44" t="s">
        <v>27</v>
      </c>
      <c r="B485" s="15"/>
      <c r="C485" s="28"/>
      <c r="D485" s="16">
        <v>1</v>
      </c>
      <c r="E485" s="19"/>
      <c r="F485" s="42">
        <f t="shared" ref="F485:F488" si="400">SUM(B485:E485)</f>
        <v>1</v>
      </c>
      <c r="G485" s="15"/>
      <c r="H485" s="28">
        <v>1</v>
      </c>
      <c r="I485" s="16"/>
      <c r="J485" s="31">
        <v>1</v>
      </c>
      <c r="K485" s="79">
        <f t="shared" ref="K485:K488" si="401">SUM(G485:J485)</f>
        <v>2</v>
      </c>
      <c r="L485" s="94">
        <f t="shared" ref="L485:L488" si="402">F485+K485</f>
        <v>3</v>
      </c>
      <c r="M485" s="105">
        <v>46153</v>
      </c>
      <c r="N485" s="44"/>
      <c r="O485" s="15"/>
      <c r="P485" s="28"/>
      <c r="Q485" s="16"/>
      <c r="R485" s="19"/>
      <c r="S485" s="42">
        <f t="shared" si="397"/>
        <v>0</v>
      </c>
      <c r="T485" s="15"/>
      <c r="U485" s="28"/>
      <c r="V485" s="16"/>
      <c r="W485" s="31"/>
      <c r="X485" s="9">
        <f t="shared" si="398"/>
        <v>0</v>
      </c>
      <c r="Y485" s="94">
        <f t="shared" si="399"/>
        <v>0</v>
      </c>
    </row>
    <row r="486" spans="1:26" x14ac:dyDescent="0.15">
      <c r="A486" s="44" t="s">
        <v>120</v>
      </c>
      <c r="B486" s="15">
        <v>-1</v>
      </c>
      <c r="C486" s="28"/>
      <c r="D486" s="16"/>
      <c r="E486" s="19"/>
      <c r="F486" s="42">
        <f t="shared" si="400"/>
        <v>-1</v>
      </c>
      <c r="G486" s="38">
        <v>1</v>
      </c>
      <c r="H486" s="39"/>
      <c r="I486" s="40"/>
      <c r="J486" s="52"/>
      <c r="K486" s="83">
        <f t="shared" si="401"/>
        <v>1</v>
      </c>
      <c r="L486" s="94">
        <f t="shared" si="402"/>
        <v>0</v>
      </c>
      <c r="M486" s="105">
        <v>46149</v>
      </c>
      <c r="N486" s="44"/>
      <c r="O486" s="15"/>
      <c r="P486" s="28"/>
      <c r="Q486" s="16"/>
      <c r="R486" s="19"/>
      <c r="S486" s="42">
        <f t="shared" si="397"/>
        <v>0</v>
      </c>
      <c r="T486" s="15"/>
      <c r="U486" s="28"/>
      <c r="V486" s="16"/>
      <c r="W486" s="31"/>
      <c r="X486" s="9">
        <f t="shared" si="398"/>
        <v>0</v>
      </c>
      <c r="Y486" s="94">
        <f t="shared" si="399"/>
        <v>0</v>
      </c>
    </row>
    <row r="487" spans="1:26" x14ac:dyDescent="0.15">
      <c r="A487" s="44" t="s">
        <v>27</v>
      </c>
      <c r="B487" s="15"/>
      <c r="C487" s="28"/>
      <c r="D487" s="16"/>
      <c r="E487" s="19"/>
      <c r="F487" s="42">
        <f t="shared" si="400"/>
        <v>0</v>
      </c>
      <c r="G487" s="15"/>
      <c r="H487" s="28">
        <v>1</v>
      </c>
      <c r="I487" s="16"/>
      <c r="J487" s="31"/>
      <c r="K487" s="79">
        <f t="shared" si="401"/>
        <v>1</v>
      </c>
      <c r="L487" s="94">
        <f t="shared" si="402"/>
        <v>1</v>
      </c>
      <c r="M487" s="105">
        <v>46155</v>
      </c>
      <c r="N487" s="224" t="s">
        <v>277</v>
      </c>
      <c r="O487" s="182">
        <v>-15</v>
      </c>
      <c r="P487" s="183">
        <v>-10</v>
      </c>
      <c r="Q487" s="184">
        <v>-10</v>
      </c>
      <c r="R487" s="185">
        <v>-5</v>
      </c>
      <c r="S487" s="186">
        <f t="shared" ref="S487:S488" si="403">SUM(O487:R487)</f>
        <v>-40</v>
      </c>
      <c r="T487" s="182">
        <v>-15</v>
      </c>
      <c r="U487" s="183">
        <v>-10</v>
      </c>
      <c r="V487" s="184">
        <v>-10</v>
      </c>
      <c r="W487" s="187">
        <v>-5</v>
      </c>
      <c r="X487" s="181">
        <f t="shared" ref="X487:X489" si="404">SUM(T487:W487)</f>
        <v>-40</v>
      </c>
      <c r="Y487" s="164">
        <f t="shared" ref="Y487:Y489" si="405">S487+X487</f>
        <v>-80</v>
      </c>
      <c r="Z487" s="132"/>
    </row>
    <row r="488" spans="1:26" x14ac:dyDescent="0.15">
      <c r="A488" s="44" t="s">
        <v>351</v>
      </c>
      <c r="B488" s="15"/>
      <c r="C488" s="28"/>
      <c r="D488" s="16"/>
      <c r="E488" s="19"/>
      <c r="F488" s="42">
        <f t="shared" si="400"/>
        <v>0</v>
      </c>
      <c r="G488" s="15"/>
      <c r="H488" s="28">
        <v>-1</v>
      </c>
      <c r="I488" s="16"/>
      <c r="J488" s="31"/>
      <c r="K488" s="79">
        <f t="shared" si="401"/>
        <v>-1</v>
      </c>
      <c r="L488" s="94">
        <f t="shared" si="402"/>
        <v>-1</v>
      </c>
      <c r="M488" s="105">
        <v>46154</v>
      </c>
      <c r="N488" s="89" t="s">
        <v>276</v>
      </c>
      <c r="O488" s="90">
        <v>20</v>
      </c>
      <c r="P488" s="91">
        <f>20-3</f>
        <v>17</v>
      </c>
      <c r="Q488" s="92">
        <f>20-2</f>
        <v>18</v>
      </c>
      <c r="R488" s="161">
        <f>20-2</f>
        <v>18</v>
      </c>
      <c r="S488" s="162">
        <f t="shared" si="403"/>
        <v>73</v>
      </c>
      <c r="T488" s="90">
        <v>20</v>
      </c>
      <c r="U488" s="91">
        <v>20</v>
      </c>
      <c r="V488" s="92">
        <f>20-4</f>
        <v>16</v>
      </c>
      <c r="W488" s="95">
        <f>20-5-5</f>
        <v>10</v>
      </c>
      <c r="X488" s="93">
        <f t="shared" si="404"/>
        <v>66</v>
      </c>
      <c r="Y488" s="160">
        <f t="shared" si="405"/>
        <v>139</v>
      </c>
      <c r="Z488" s="132" t="s">
        <v>278</v>
      </c>
    </row>
    <row r="489" spans="1:26" x14ac:dyDescent="0.15">
      <c r="A489" s="44" t="s">
        <v>352</v>
      </c>
      <c r="B489" s="15">
        <v>-1</v>
      </c>
      <c r="C489" s="28"/>
      <c r="D489" s="16">
        <v>-1</v>
      </c>
      <c r="E489" s="19"/>
      <c r="F489" s="42">
        <f t="shared" si="384"/>
        <v>-2</v>
      </c>
      <c r="G489" s="15"/>
      <c r="H489" s="28"/>
      <c r="I489" s="16"/>
      <c r="J489" s="31"/>
      <c r="K489" s="79">
        <f t="shared" ref="K489:K491" si="406">SUM(G489:J489)</f>
        <v>0</v>
      </c>
      <c r="L489" s="94">
        <f t="shared" si="386"/>
        <v>-2</v>
      </c>
      <c r="M489" s="105">
        <v>46155</v>
      </c>
      <c r="N489" s="159" t="s">
        <v>306</v>
      </c>
      <c r="O489" s="90">
        <f>5-2</f>
        <v>3</v>
      </c>
      <c r="P489" s="91">
        <v>10</v>
      </c>
      <c r="Q489" s="92">
        <v>10</v>
      </c>
      <c r="R489" s="161">
        <v>10</v>
      </c>
      <c r="S489" s="162">
        <f>SUM(O489:R489)</f>
        <v>33</v>
      </c>
      <c r="T489" s="90">
        <v>5</v>
      </c>
      <c r="U489" s="91">
        <v>5</v>
      </c>
      <c r="V489" s="92">
        <f>5-2</f>
        <v>3</v>
      </c>
      <c r="W489" s="95">
        <f>10-1</f>
        <v>9</v>
      </c>
      <c r="X489" s="93">
        <f t="shared" si="404"/>
        <v>22</v>
      </c>
      <c r="Y489" s="84">
        <f t="shared" si="405"/>
        <v>55</v>
      </c>
      <c r="Z489" s="132" t="s">
        <v>307</v>
      </c>
    </row>
    <row r="490" spans="1:26" ht="14.25" thickBot="1" x14ac:dyDescent="0.2">
      <c r="A490" s="44" t="s">
        <v>27</v>
      </c>
      <c r="B490" s="34"/>
      <c r="C490" s="35">
        <v>1</v>
      </c>
      <c r="D490" s="36"/>
      <c r="E490" s="37">
        <v>1</v>
      </c>
      <c r="F490" s="42"/>
      <c r="G490" s="34"/>
      <c r="H490" s="36"/>
      <c r="I490" s="35">
        <v>1</v>
      </c>
      <c r="J490" s="64">
        <v>4</v>
      </c>
      <c r="K490" s="80"/>
      <c r="L490" s="106"/>
      <c r="M490" s="105">
        <v>46160</v>
      </c>
      <c r="N490" s="220" t="s">
        <v>39</v>
      </c>
      <c r="O490" s="188">
        <f>5-2</f>
        <v>3</v>
      </c>
      <c r="P490" s="189">
        <f>10-2-4</f>
        <v>4</v>
      </c>
      <c r="Q490" s="190">
        <f>10-2-1</f>
        <v>7</v>
      </c>
      <c r="R490" s="191">
        <f>10-2</f>
        <v>8</v>
      </c>
      <c r="S490" s="138">
        <f>SUM(O490:R490)</f>
        <v>22</v>
      </c>
      <c r="T490" s="188">
        <f>5-2</f>
        <v>3</v>
      </c>
      <c r="U490" s="189">
        <f>5-5</f>
        <v>0</v>
      </c>
      <c r="V490" s="190">
        <f>5-3</f>
        <v>2</v>
      </c>
      <c r="W490" s="192">
        <f>10-2-2</f>
        <v>6</v>
      </c>
      <c r="X490" s="139">
        <f>SUM(T490:W490)</f>
        <v>11</v>
      </c>
      <c r="Y490" s="140">
        <f>S490+X490</f>
        <v>33</v>
      </c>
      <c r="Z490" s="132" t="s">
        <v>288</v>
      </c>
    </row>
    <row r="491" spans="1:26" ht="14.25" thickBot="1" x14ac:dyDescent="0.2">
      <c r="A491" s="12" t="s">
        <v>8</v>
      </c>
      <c r="B491" s="21">
        <f>SUM(B466:B490)</f>
        <v>-5</v>
      </c>
      <c r="C491" s="29">
        <f>SUM(C466:C490)</f>
        <v>2</v>
      </c>
      <c r="D491" s="22">
        <f>SUM(D466:D490)</f>
        <v>-1</v>
      </c>
      <c r="E491" s="23">
        <f>SUM(E466:E490)</f>
        <v>1</v>
      </c>
      <c r="F491" s="20">
        <f>SUM(B491:E491)</f>
        <v>-3</v>
      </c>
      <c r="G491" s="21">
        <f>SUM(G466:G490)</f>
        <v>-1</v>
      </c>
      <c r="H491" s="29">
        <f>SUM(H466:H490)</f>
        <v>0</v>
      </c>
      <c r="I491" s="22">
        <f>SUM(I466:I490)</f>
        <v>1</v>
      </c>
      <c r="J491" s="23">
        <f>SUM(J466:J490)</f>
        <v>9</v>
      </c>
      <c r="K491" s="81">
        <f t="shared" si="406"/>
        <v>9</v>
      </c>
      <c r="L491" s="107">
        <f t="shared" si="386"/>
        <v>6</v>
      </c>
      <c r="N491" s="110" t="s">
        <v>8</v>
      </c>
      <c r="O491" s="21">
        <f>SUM(O466:O490)</f>
        <v>18</v>
      </c>
      <c r="P491" s="29">
        <f>SUM(P466:P490)</f>
        <v>30</v>
      </c>
      <c r="Q491" s="22">
        <f>SUM(Q466:Q490)</f>
        <v>30</v>
      </c>
      <c r="R491" s="23">
        <f>SUM(R466:R490)</f>
        <v>39</v>
      </c>
      <c r="S491" s="45">
        <f>SUM(O491:R491)</f>
        <v>117</v>
      </c>
      <c r="T491" s="21">
        <f>SUM(T466:T490)</f>
        <v>20</v>
      </c>
      <c r="U491" s="29">
        <f>SUM(U466:U490)</f>
        <v>26</v>
      </c>
      <c r="V491" s="22">
        <f>SUM(V466:V490)</f>
        <v>26</v>
      </c>
      <c r="W491" s="23">
        <f>SUM(W466:W490)</f>
        <v>36</v>
      </c>
      <c r="X491" s="45">
        <f t="shared" ref="X491" si="407">SUM(T491:W491)</f>
        <v>108</v>
      </c>
      <c r="Y491" s="111">
        <f t="shared" si="389"/>
        <v>225</v>
      </c>
    </row>
    <row r="492" spans="1:26" ht="14.25" thickBot="1" x14ac:dyDescent="0.2">
      <c r="A492" s="13" t="s">
        <v>9</v>
      </c>
      <c r="B492" s="24">
        <f t="shared" ref="B492:K492" si="408">B465-B491</f>
        <v>7</v>
      </c>
      <c r="C492" s="30">
        <f t="shared" si="408"/>
        <v>4</v>
      </c>
      <c r="D492" s="25">
        <f t="shared" si="408"/>
        <v>6</v>
      </c>
      <c r="E492" s="26">
        <f t="shared" si="408"/>
        <v>4</v>
      </c>
      <c r="F492" s="71">
        <f t="shared" si="408"/>
        <v>21</v>
      </c>
      <c r="G492" s="24">
        <f t="shared" si="408"/>
        <v>6</v>
      </c>
      <c r="H492" s="30">
        <f t="shared" si="408"/>
        <v>5</v>
      </c>
      <c r="I492" s="25">
        <f t="shared" si="408"/>
        <v>6</v>
      </c>
      <c r="J492" s="26">
        <f t="shared" si="408"/>
        <v>1</v>
      </c>
      <c r="K492" s="82">
        <f t="shared" si="408"/>
        <v>18</v>
      </c>
      <c r="L492" s="86">
        <f t="shared" si="386"/>
        <v>39</v>
      </c>
      <c r="N492" s="13" t="s">
        <v>9</v>
      </c>
      <c r="O492" s="24">
        <f t="shared" ref="O492:X492" si="409">O465-O491</f>
        <v>61</v>
      </c>
      <c r="P492" s="30">
        <f t="shared" si="409"/>
        <v>8</v>
      </c>
      <c r="Q492" s="25">
        <f t="shared" si="409"/>
        <v>15</v>
      </c>
      <c r="R492" s="26">
        <f t="shared" si="409"/>
        <v>19</v>
      </c>
      <c r="S492" s="71">
        <f t="shared" si="409"/>
        <v>103</v>
      </c>
      <c r="T492" s="24">
        <f t="shared" si="409"/>
        <v>36</v>
      </c>
      <c r="U492" s="30">
        <f t="shared" si="409"/>
        <v>30</v>
      </c>
      <c r="V492" s="25">
        <f t="shared" si="409"/>
        <v>9</v>
      </c>
      <c r="W492" s="26">
        <f t="shared" si="409"/>
        <v>-11</v>
      </c>
      <c r="X492" s="33">
        <f t="shared" si="409"/>
        <v>64</v>
      </c>
      <c r="Y492" s="86">
        <f t="shared" si="389"/>
        <v>167</v>
      </c>
      <c r="Z492" s="155" t="s">
        <v>318</v>
      </c>
    </row>
    <row r="495" spans="1:26" ht="19.5" thickBot="1" x14ac:dyDescent="0.25">
      <c r="A495" s="2" t="s">
        <v>15</v>
      </c>
      <c r="B495" s="2"/>
      <c r="C495" s="1"/>
      <c r="D495" s="1"/>
      <c r="E495" s="1"/>
      <c r="G495" s="72"/>
      <c r="H495" s="1"/>
      <c r="I495" s="1"/>
      <c r="J495" s="1"/>
      <c r="K495" s="72" t="s">
        <v>12</v>
      </c>
      <c r="N495" s="2" t="s">
        <v>16</v>
      </c>
      <c r="O495" s="2"/>
      <c r="P495" s="1"/>
      <c r="Q495" s="1"/>
      <c r="R495" s="1"/>
      <c r="U495" s="1"/>
      <c r="V495" s="1"/>
      <c r="W495" s="1"/>
      <c r="X495" s="72" t="s">
        <v>12</v>
      </c>
    </row>
    <row r="496" spans="1:26" ht="14.25" thickBot="1" x14ac:dyDescent="0.2">
      <c r="A496" s="5" t="s">
        <v>0</v>
      </c>
      <c r="B496" s="245" t="s">
        <v>34</v>
      </c>
      <c r="C496" s="246"/>
      <c r="D496" s="246"/>
      <c r="E496" s="246"/>
      <c r="F496" s="247"/>
      <c r="G496" s="248" t="s">
        <v>35</v>
      </c>
      <c r="H496" s="249"/>
      <c r="I496" s="249"/>
      <c r="J496" s="249"/>
      <c r="K496" s="249"/>
      <c r="L496" s="243" t="s">
        <v>14</v>
      </c>
      <c r="N496" s="5" t="s">
        <v>0</v>
      </c>
      <c r="O496" s="245" t="s">
        <v>58</v>
      </c>
      <c r="P496" s="246"/>
      <c r="Q496" s="246"/>
      <c r="R496" s="246"/>
      <c r="S496" s="247"/>
      <c r="T496" s="248" t="s">
        <v>59</v>
      </c>
      <c r="U496" s="249"/>
      <c r="V496" s="249"/>
      <c r="W496" s="249"/>
      <c r="X496" s="249"/>
      <c r="Y496" s="243" t="s">
        <v>14</v>
      </c>
    </row>
    <row r="497" spans="1:27" ht="14.25" thickBot="1" x14ac:dyDescent="0.2">
      <c r="A497" s="5" t="s">
        <v>1</v>
      </c>
      <c r="B497" s="3" t="s">
        <v>17</v>
      </c>
      <c r="C497" s="27" t="s">
        <v>18</v>
      </c>
      <c r="D497" s="4" t="s">
        <v>19</v>
      </c>
      <c r="E497" s="14" t="s">
        <v>20</v>
      </c>
      <c r="F497" s="18" t="s">
        <v>2</v>
      </c>
      <c r="G497" s="3" t="s">
        <v>17</v>
      </c>
      <c r="H497" s="27" t="s">
        <v>18</v>
      </c>
      <c r="I497" s="4" t="s">
        <v>19</v>
      </c>
      <c r="J497" s="14" t="s">
        <v>20</v>
      </c>
      <c r="K497" s="73" t="s">
        <v>2</v>
      </c>
      <c r="L497" s="244"/>
      <c r="N497" s="5" t="s">
        <v>1</v>
      </c>
      <c r="O497" s="3" t="s">
        <v>17</v>
      </c>
      <c r="P497" s="27" t="s">
        <v>18</v>
      </c>
      <c r="Q497" s="4" t="s">
        <v>19</v>
      </c>
      <c r="R497" s="14" t="s">
        <v>20</v>
      </c>
      <c r="S497" s="18" t="s">
        <v>2</v>
      </c>
      <c r="T497" s="3" t="s">
        <v>17</v>
      </c>
      <c r="U497" s="27" t="s">
        <v>18</v>
      </c>
      <c r="V497" s="4" t="s">
        <v>19</v>
      </c>
      <c r="W497" s="14" t="s">
        <v>20</v>
      </c>
      <c r="X497" s="18" t="s">
        <v>2</v>
      </c>
      <c r="Y497" s="244"/>
    </row>
    <row r="498" spans="1:27" x14ac:dyDescent="0.15">
      <c r="A498" s="66" t="s">
        <v>10</v>
      </c>
      <c r="B498" s="67">
        <f>B492</f>
        <v>7</v>
      </c>
      <c r="C498" s="68">
        <f>C492</f>
        <v>4</v>
      </c>
      <c r="D498" s="68">
        <f>D492</f>
        <v>6</v>
      </c>
      <c r="E498" s="69">
        <f>E492</f>
        <v>4</v>
      </c>
      <c r="F498" s="70">
        <f>SUM(B498:E498)</f>
        <v>21</v>
      </c>
      <c r="G498" s="67">
        <f>G492</f>
        <v>6</v>
      </c>
      <c r="H498" s="68">
        <f>H492</f>
        <v>5</v>
      </c>
      <c r="I498" s="68">
        <f>I492</f>
        <v>6</v>
      </c>
      <c r="J498" s="69">
        <f>J492</f>
        <v>1</v>
      </c>
      <c r="K498" s="74">
        <f>SUM(G498:J498)</f>
        <v>18</v>
      </c>
      <c r="L498" s="84">
        <f>F498+K498</f>
        <v>39</v>
      </c>
      <c r="N498" s="66" t="s">
        <v>10</v>
      </c>
      <c r="O498" s="67">
        <f>O492</f>
        <v>61</v>
      </c>
      <c r="P498" s="68">
        <f>P492</f>
        <v>8</v>
      </c>
      <c r="Q498" s="68">
        <f>Q492</f>
        <v>15</v>
      </c>
      <c r="R498" s="69">
        <f>R492</f>
        <v>19</v>
      </c>
      <c r="S498" s="70">
        <f>SUM(O498:R498)</f>
        <v>103</v>
      </c>
      <c r="T498" s="67">
        <f>T492</f>
        <v>36</v>
      </c>
      <c r="U498" s="68">
        <f>U492</f>
        <v>30</v>
      </c>
      <c r="V498" s="68">
        <f>V492</f>
        <v>9</v>
      </c>
      <c r="W498" s="87">
        <f>W492</f>
        <v>-11</v>
      </c>
      <c r="X498" s="88">
        <f>SUM(T498:W498)</f>
        <v>64</v>
      </c>
      <c r="Y498" s="84">
        <f>S498+X498</f>
        <v>167</v>
      </c>
    </row>
    <row r="499" spans="1:27" x14ac:dyDescent="0.15">
      <c r="A499" s="193" t="s">
        <v>3</v>
      </c>
      <c r="B499" s="209"/>
      <c r="C499" s="210"/>
      <c r="D499" s="211"/>
      <c r="E499" s="212"/>
      <c r="F499" s="213">
        <f>SUM(B499:E499)</f>
        <v>0</v>
      </c>
      <c r="G499" s="214"/>
      <c r="H499" s="215"/>
      <c r="I499" s="216"/>
      <c r="J499" s="217">
        <v>5</v>
      </c>
      <c r="K499" s="218">
        <f>SUM(G499:J499)</f>
        <v>5</v>
      </c>
      <c r="L499" s="179">
        <f t="shared" ref="L499:L502" si="410">F499+K499</f>
        <v>5</v>
      </c>
      <c r="M499" s="180">
        <v>46161</v>
      </c>
      <c r="N499" s="44" t="s">
        <v>3</v>
      </c>
      <c r="O499" s="47"/>
      <c r="P499" s="48"/>
      <c r="Q499" s="49"/>
      <c r="R499" s="50"/>
      <c r="S499" s="54">
        <f>SUM(O499:R499)</f>
        <v>0</v>
      </c>
      <c r="T499" s="38"/>
      <c r="U499" s="39"/>
      <c r="V499" s="40"/>
      <c r="W499" s="41"/>
      <c r="X499" s="75">
        <f>SUM(T499:W499)</f>
        <v>0</v>
      </c>
      <c r="Y499" s="94">
        <f t="shared" ref="Y499:Y502" si="411">S499+X499</f>
        <v>0</v>
      </c>
    </row>
    <row r="500" spans="1:27" x14ac:dyDescent="0.15">
      <c r="A500" s="44" t="s">
        <v>4</v>
      </c>
      <c r="B500" s="47"/>
      <c r="C500" s="48"/>
      <c r="D500" s="49"/>
      <c r="E500" s="50"/>
      <c r="F500" s="54">
        <f t="shared" ref="F500:F501" si="412">SUM(B500:E500)</f>
        <v>0</v>
      </c>
      <c r="G500" s="38"/>
      <c r="H500" s="39"/>
      <c r="I500" s="40">
        <v>3</v>
      </c>
      <c r="J500" s="41">
        <v>5</v>
      </c>
      <c r="K500" s="75">
        <f t="shared" ref="K500:K501" si="413">SUM(G500:J500)</f>
        <v>8</v>
      </c>
      <c r="L500" s="94">
        <f t="shared" si="410"/>
        <v>8</v>
      </c>
      <c r="M500" s="104">
        <v>46170</v>
      </c>
      <c r="N500" s="11" t="s">
        <v>305</v>
      </c>
      <c r="O500" s="15">
        <v>20</v>
      </c>
      <c r="P500" s="28">
        <v>110</v>
      </c>
      <c r="Q500" s="16">
        <v>110</v>
      </c>
      <c r="R500" s="31">
        <v>60</v>
      </c>
      <c r="S500" s="9">
        <f>SUM(O500:R500)</f>
        <v>300</v>
      </c>
      <c r="T500" s="15">
        <v>30</v>
      </c>
      <c r="U500" s="28">
        <v>90</v>
      </c>
      <c r="V500" s="16">
        <v>90</v>
      </c>
      <c r="W500" s="31">
        <v>150</v>
      </c>
      <c r="X500" s="9">
        <f>SUM(T500:W500)</f>
        <v>360</v>
      </c>
      <c r="Y500" s="94">
        <f t="shared" si="411"/>
        <v>660</v>
      </c>
      <c r="Z500" s="104" t="s">
        <v>348</v>
      </c>
    </row>
    <row r="501" spans="1:27" x14ac:dyDescent="0.15">
      <c r="A501" s="193" t="s">
        <v>5</v>
      </c>
      <c r="B501" s="209"/>
      <c r="C501" s="210"/>
      <c r="D501" s="211"/>
      <c r="E501" s="212"/>
      <c r="F501" s="213">
        <f t="shared" si="412"/>
        <v>0</v>
      </c>
      <c r="G501" s="214"/>
      <c r="H501" s="215"/>
      <c r="I501" s="216"/>
      <c r="J501" s="217">
        <v>5</v>
      </c>
      <c r="K501" s="218">
        <f t="shared" si="413"/>
        <v>5</v>
      </c>
      <c r="L501" s="179">
        <f t="shared" si="410"/>
        <v>5</v>
      </c>
      <c r="M501" s="180">
        <v>46175</v>
      </c>
      <c r="N501" s="44" t="s">
        <v>332</v>
      </c>
      <c r="O501" s="47"/>
      <c r="P501" s="48">
        <v>-1</v>
      </c>
      <c r="Q501" s="49">
        <v>-1</v>
      </c>
      <c r="R501" s="50">
        <v>-3</v>
      </c>
      <c r="S501" s="54">
        <f t="shared" ref="S501" si="414">SUM(O501:R501)</f>
        <v>-5</v>
      </c>
      <c r="T501" s="38">
        <v>2</v>
      </c>
      <c r="U501" s="39">
        <v>-2</v>
      </c>
      <c r="V501" s="40"/>
      <c r="W501" s="41">
        <v>-8</v>
      </c>
      <c r="X501" s="75">
        <f t="shared" ref="X501" si="415">SUM(T501:W501)</f>
        <v>-8</v>
      </c>
      <c r="Y501" s="94">
        <f t="shared" si="411"/>
        <v>-13</v>
      </c>
      <c r="Z501" s="133" t="s">
        <v>333</v>
      </c>
    </row>
    <row r="502" spans="1:27" ht="14.25" thickBot="1" x14ac:dyDescent="0.2">
      <c r="A502" s="11" t="s">
        <v>6</v>
      </c>
      <c r="B502" s="6"/>
      <c r="C502" s="17"/>
      <c r="D502" s="7"/>
      <c r="E502" s="8"/>
      <c r="F502" s="10">
        <f>SUM(B502:E502)</f>
        <v>0</v>
      </c>
      <c r="G502" s="34"/>
      <c r="H502" s="35">
        <v>3</v>
      </c>
      <c r="I502" s="36"/>
      <c r="J502" s="37"/>
      <c r="K502" s="77">
        <f>SUM(G502:J502)</f>
        <v>3</v>
      </c>
      <c r="L502" s="94">
        <f t="shared" si="410"/>
        <v>3</v>
      </c>
      <c r="M502" s="104">
        <v>46178</v>
      </c>
      <c r="N502" s="44" t="s">
        <v>6</v>
      </c>
      <c r="O502" s="47"/>
      <c r="P502" s="48"/>
      <c r="Q502" s="49"/>
      <c r="R502" s="50"/>
      <c r="S502" s="54">
        <f t="shared" ref="S502" si="416">SUM(O502:R502)</f>
        <v>0</v>
      </c>
      <c r="T502" s="38"/>
      <c r="U502" s="39"/>
      <c r="V502" s="40"/>
      <c r="W502" s="41"/>
      <c r="X502" s="75">
        <f t="shared" ref="X502" si="417">SUM(T502:W502)</f>
        <v>0</v>
      </c>
      <c r="Y502" s="94">
        <f t="shared" si="411"/>
        <v>0</v>
      </c>
    </row>
    <row r="503" spans="1:27" ht="14.25" thickBot="1" x14ac:dyDescent="0.2">
      <c r="A503" s="13" t="s">
        <v>7</v>
      </c>
      <c r="B503" s="55">
        <f t="shared" ref="B503:K503" si="418">SUM(B498:B502)</f>
        <v>7</v>
      </c>
      <c r="C503" s="56">
        <f t="shared" si="418"/>
        <v>4</v>
      </c>
      <c r="D503" s="57">
        <f t="shared" si="418"/>
        <v>6</v>
      </c>
      <c r="E503" s="58">
        <f t="shared" si="418"/>
        <v>4</v>
      </c>
      <c r="F503" s="59">
        <f t="shared" si="418"/>
        <v>21</v>
      </c>
      <c r="G503" s="24">
        <f t="shared" si="418"/>
        <v>6</v>
      </c>
      <c r="H503" s="30">
        <f t="shared" si="418"/>
        <v>8</v>
      </c>
      <c r="I503" s="25">
        <f t="shared" si="418"/>
        <v>9</v>
      </c>
      <c r="J503" s="60">
        <f t="shared" si="418"/>
        <v>16</v>
      </c>
      <c r="K503" s="78">
        <f t="shared" si="418"/>
        <v>39</v>
      </c>
      <c r="L503" s="85">
        <f>F503+K503</f>
        <v>60</v>
      </c>
      <c r="N503" s="13" t="s">
        <v>7</v>
      </c>
      <c r="O503" s="55">
        <f t="shared" ref="O503:X503" si="419">SUM(O498:O502)</f>
        <v>81</v>
      </c>
      <c r="P503" s="56">
        <f t="shared" si="419"/>
        <v>117</v>
      </c>
      <c r="Q503" s="57">
        <f t="shared" si="419"/>
        <v>124</v>
      </c>
      <c r="R503" s="58">
        <f t="shared" si="419"/>
        <v>76</v>
      </c>
      <c r="S503" s="59">
        <f t="shared" si="419"/>
        <v>398</v>
      </c>
      <c r="T503" s="24">
        <f t="shared" si="419"/>
        <v>68</v>
      </c>
      <c r="U503" s="30">
        <f t="shared" si="419"/>
        <v>118</v>
      </c>
      <c r="V503" s="25">
        <f t="shared" si="419"/>
        <v>99</v>
      </c>
      <c r="W503" s="60">
        <f t="shared" si="419"/>
        <v>131</v>
      </c>
      <c r="X503" s="61">
        <f t="shared" si="419"/>
        <v>416</v>
      </c>
      <c r="Y503" s="85">
        <f>S503+X503</f>
        <v>814</v>
      </c>
    </row>
    <row r="504" spans="1:27" x14ac:dyDescent="0.15">
      <c r="A504" s="44" t="s">
        <v>355</v>
      </c>
      <c r="B504" s="15"/>
      <c r="C504" s="28"/>
      <c r="D504" s="16"/>
      <c r="E504" s="19">
        <v>-1</v>
      </c>
      <c r="F504" s="42">
        <f t="shared" ref="F504:F528" si="420">SUM(B504:E504)</f>
        <v>-1</v>
      </c>
      <c r="G504" s="15">
        <v>1</v>
      </c>
      <c r="H504" s="28"/>
      <c r="I504" s="16"/>
      <c r="J504" s="31"/>
      <c r="K504" s="79">
        <f t="shared" ref="K504:K521" si="421">SUM(G504:J504)</f>
        <v>1</v>
      </c>
      <c r="L504" s="94">
        <f t="shared" ref="L504:L530" si="422">F504+K504</f>
        <v>0</v>
      </c>
      <c r="M504" s="105">
        <v>46156</v>
      </c>
      <c r="N504" s="11" t="s">
        <v>346</v>
      </c>
      <c r="O504" s="15"/>
      <c r="P504" s="28"/>
      <c r="Q504" s="16"/>
      <c r="R504" s="19"/>
      <c r="S504" s="42">
        <f t="shared" ref="S504" si="423">SUM(O504:R504)</f>
        <v>0</v>
      </c>
      <c r="T504" s="15"/>
      <c r="U504" s="28">
        <v>2</v>
      </c>
      <c r="V504" s="16"/>
      <c r="W504" s="31">
        <v>1</v>
      </c>
      <c r="X504" s="9">
        <f t="shared" ref="X504" si="424">SUM(T504:W504)</f>
        <v>3</v>
      </c>
      <c r="Y504" s="94">
        <f t="shared" ref="Y504" si="425">S504+X504</f>
        <v>3</v>
      </c>
      <c r="Z504" s="104">
        <v>46150</v>
      </c>
    </row>
    <row r="505" spans="1:27" x14ac:dyDescent="0.15">
      <c r="A505" s="44" t="s">
        <v>27</v>
      </c>
      <c r="B505" s="15"/>
      <c r="C505" s="28"/>
      <c r="D505" s="16"/>
      <c r="E505" s="19"/>
      <c r="F505" s="42">
        <f t="shared" si="420"/>
        <v>0</v>
      </c>
      <c r="G505" s="15"/>
      <c r="H505" s="28"/>
      <c r="I505" s="16">
        <v>1</v>
      </c>
      <c r="J505" s="31">
        <v>2</v>
      </c>
      <c r="K505" s="79">
        <f t="shared" si="421"/>
        <v>3</v>
      </c>
      <c r="L505" s="94">
        <f t="shared" si="422"/>
        <v>3</v>
      </c>
      <c r="M505" s="105">
        <v>46161</v>
      </c>
      <c r="N505" s="135" t="s">
        <v>347</v>
      </c>
      <c r="O505" s="15"/>
      <c r="P505" s="28"/>
      <c r="Q505" s="16"/>
      <c r="R505" s="19">
        <v>1</v>
      </c>
      <c r="S505" s="42">
        <f t="shared" ref="S505:S520" si="426">SUM(O505:R505)</f>
        <v>1</v>
      </c>
      <c r="T505" s="15"/>
      <c r="U505" s="28"/>
      <c r="V505" s="16"/>
      <c r="W505" s="31"/>
      <c r="X505" s="9">
        <f t="shared" ref="X505:X506" si="427">SUM(T505:W505)</f>
        <v>0</v>
      </c>
      <c r="Y505" s="94">
        <f>S505+X505</f>
        <v>1</v>
      </c>
      <c r="Z505" s="104">
        <v>46150</v>
      </c>
    </row>
    <row r="506" spans="1:27" x14ac:dyDescent="0.15">
      <c r="A506" s="44" t="s">
        <v>27</v>
      </c>
      <c r="B506" s="15"/>
      <c r="C506" s="28"/>
      <c r="D506" s="16"/>
      <c r="E506" s="19"/>
      <c r="F506" s="42">
        <f t="shared" si="420"/>
        <v>0</v>
      </c>
      <c r="G506" s="15"/>
      <c r="H506" s="28">
        <v>1</v>
      </c>
      <c r="I506" s="16">
        <v>2</v>
      </c>
      <c r="J506" s="31">
        <v>2</v>
      </c>
      <c r="K506" s="79">
        <f t="shared" si="421"/>
        <v>5</v>
      </c>
      <c r="L506" s="94">
        <f t="shared" si="422"/>
        <v>5</v>
      </c>
      <c r="M506" s="105">
        <v>46167</v>
      </c>
      <c r="N506" s="135" t="s">
        <v>347</v>
      </c>
      <c r="O506" s="15"/>
      <c r="P506" s="28">
        <v>1</v>
      </c>
      <c r="Q506" s="16"/>
      <c r="R506" s="19"/>
      <c r="S506" s="42">
        <f t="shared" ref="S506:S507" si="428">SUM(O506:R506)</f>
        <v>1</v>
      </c>
      <c r="T506" s="15"/>
      <c r="U506" s="16"/>
      <c r="V506" s="28"/>
      <c r="W506" s="53"/>
      <c r="X506" s="79">
        <f t="shared" si="427"/>
        <v>0</v>
      </c>
      <c r="Y506" s="94">
        <f t="shared" ref="Y506:Y507" si="429">S506+X506</f>
        <v>1</v>
      </c>
      <c r="Z506" s="104">
        <v>46161</v>
      </c>
    </row>
    <row r="507" spans="1:27" x14ac:dyDescent="0.15">
      <c r="A507" s="44" t="s">
        <v>27</v>
      </c>
      <c r="B507" s="15"/>
      <c r="C507" s="28"/>
      <c r="D507" s="16"/>
      <c r="E507" s="19"/>
      <c r="F507" s="42">
        <f t="shared" si="420"/>
        <v>0</v>
      </c>
      <c r="G507" s="15"/>
      <c r="H507" s="28"/>
      <c r="I507" s="16"/>
      <c r="J507" s="31">
        <v>2</v>
      </c>
      <c r="K507" s="79">
        <f t="shared" si="421"/>
        <v>2</v>
      </c>
      <c r="L507" s="94">
        <f t="shared" si="422"/>
        <v>2</v>
      </c>
      <c r="M507" s="105">
        <v>46169</v>
      </c>
      <c r="N507" s="135" t="s">
        <v>347</v>
      </c>
      <c r="O507" s="15"/>
      <c r="P507" s="28"/>
      <c r="Q507" s="16"/>
      <c r="R507" s="19"/>
      <c r="S507" s="42">
        <f t="shared" si="428"/>
        <v>0</v>
      </c>
      <c r="T507" s="15"/>
      <c r="U507" s="28"/>
      <c r="V507" s="16"/>
      <c r="W507" s="31">
        <v>1</v>
      </c>
      <c r="X507" s="9">
        <f>SUM(T507:W507)</f>
        <v>1</v>
      </c>
      <c r="Y507" s="94">
        <f t="shared" si="429"/>
        <v>1</v>
      </c>
      <c r="Z507" s="104">
        <v>46170</v>
      </c>
      <c r="AA507" s="109"/>
    </row>
    <row r="508" spans="1:27" x14ac:dyDescent="0.15">
      <c r="A508" s="44" t="s">
        <v>27</v>
      </c>
      <c r="B508" s="15"/>
      <c r="C508" s="28">
        <v>1</v>
      </c>
      <c r="D508" s="16"/>
      <c r="E508" s="19"/>
      <c r="F508" s="42">
        <f t="shared" si="420"/>
        <v>1</v>
      </c>
      <c r="G508" s="15"/>
      <c r="H508" s="28">
        <v>1</v>
      </c>
      <c r="I508" s="16"/>
      <c r="J508" s="31">
        <v>1</v>
      </c>
      <c r="K508" s="79">
        <f t="shared" si="421"/>
        <v>2</v>
      </c>
      <c r="L508" s="94">
        <f t="shared" si="422"/>
        <v>3</v>
      </c>
      <c r="M508" s="105">
        <v>46170</v>
      </c>
      <c r="N508" s="11" t="s">
        <v>354</v>
      </c>
      <c r="O508" s="15"/>
      <c r="P508" s="28"/>
      <c r="Q508" s="16"/>
      <c r="R508" s="19"/>
      <c r="S508" s="42">
        <f t="shared" si="426"/>
        <v>0</v>
      </c>
      <c r="T508" s="15"/>
      <c r="U508" s="28"/>
      <c r="V508" s="16"/>
      <c r="W508" s="31">
        <v>5</v>
      </c>
      <c r="X508" s="9">
        <f>SUM(T508:W508)</f>
        <v>5</v>
      </c>
      <c r="Y508" s="94">
        <f t="shared" ref="Y508:Y520" si="430">S508+X508</f>
        <v>5</v>
      </c>
      <c r="Z508" s="104">
        <v>46157</v>
      </c>
    </row>
    <row r="509" spans="1:27" x14ac:dyDescent="0.15">
      <c r="A509" s="44" t="s">
        <v>27</v>
      </c>
      <c r="B509" s="15"/>
      <c r="C509" s="28"/>
      <c r="D509" s="16"/>
      <c r="E509" s="19"/>
      <c r="F509" s="42">
        <f t="shared" si="420"/>
        <v>0</v>
      </c>
      <c r="G509" s="15">
        <v>1</v>
      </c>
      <c r="H509" s="28"/>
      <c r="I509" s="16">
        <v>1</v>
      </c>
      <c r="J509" s="31">
        <v>3</v>
      </c>
      <c r="K509" s="79">
        <f t="shared" si="421"/>
        <v>5</v>
      </c>
      <c r="L509" s="94">
        <f t="shared" si="422"/>
        <v>5</v>
      </c>
      <c r="M509" s="105">
        <v>46174</v>
      </c>
      <c r="N509" s="226" t="s">
        <v>353</v>
      </c>
      <c r="O509" s="15"/>
      <c r="P509" s="28"/>
      <c r="Q509" s="16"/>
      <c r="R509" s="19">
        <v>10</v>
      </c>
      <c r="S509" s="42">
        <f t="shared" si="426"/>
        <v>10</v>
      </c>
      <c r="T509" s="15"/>
      <c r="U509" s="28"/>
      <c r="V509" s="16"/>
      <c r="W509" s="31"/>
      <c r="X509" s="9">
        <f t="shared" ref="X509" si="431">SUM(T509:W509)</f>
        <v>0</v>
      </c>
      <c r="Y509" s="94">
        <f t="shared" si="430"/>
        <v>10</v>
      </c>
      <c r="Z509" s="104">
        <v>46162</v>
      </c>
    </row>
    <row r="510" spans="1:27" x14ac:dyDescent="0.15">
      <c r="A510" s="44" t="s">
        <v>27</v>
      </c>
      <c r="B510" s="15">
        <v>1</v>
      </c>
      <c r="C510" s="28"/>
      <c r="D510" s="16"/>
      <c r="E510" s="19"/>
      <c r="F510" s="42">
        <f t="shared" si="420"/>
        <v>1</v>
      </c>
      <c r="G510" s="15"/>
      <c r="H510" s="28"/>
      <c r="I510" s="16"/>
      <c r="J510" s="31"/>
      <c r="K510" s="79">
        <f t="shared" si="421"/>
        <v>0</v>
      </c>
      <c r="L510" s="94">
        <f t="shared" si="422"/>
        <v>1</v>
      </c>
      <c r="M510" s="105">
        <v>46176</v>
      </c>
      <c r="N510" s="193" t="s">
        <v>268</v>
      </c>
      <c r="O510" s="194"/>
      <c r="P510" s="195"/>
      <c r="Q510" s="196"/>
      <c r="R510" s="197"/>
      <c r="S510" s="198">
        <f t="shared" si="426"/>
        <v>0</v>
      </c>
      <c r="T510" s="194"/>
      <c r="U510" s="195"/>
      <c r="V510" s="196"/>
      <c r="W510" s="201">
        <v>5</v>
      </c>
      <c r="X510" s="202">
        <f>SUM(T510:W510)</f>
        <v>5</v>
      </c>
      <c r="Y510" s="179">
        <f t="shared" si="430"/>
        <v>5</v>
      </c>
      <c r="Z510" s="180">
        <v>46161</v>
      </c>
    </row>
    <row r="511" spans="1:27" x14ac:dyDescent="0.15">
      <c r="A511" s="44" t="s">
        <v>27</v>
      </c>
      <c r="B511" s="15"/>
      <c r="C511" s="28"/>
      <c r="D511" s="16"/>
      <c r="E511" s="19"/>
      <c r="F511" s="42">
        <f t="shared" si="420"/>
        <v>0</v>
      </c>
      <c r="G511" s="15"/>
      <c r="H511" s="28">
        <v>1</v>
      </c>
      <c r="I511" s="16"/>
      <c r="J511" s="31"/>
      <c r="K511" s="79">
        <f t="shared" si="421"/>
        <v>1</v>
      </c>
      <c r="L511" s="94">
        <f t="shared" si="422"/>
        <v>1</v>
      </c>
      <c r="M511" s="105">
        <v>46177</v>
      </c>
      <c r="N511" s="226" t="s">
        <v>357</v>
      </c>
      <c r="O511" s="15">
        <v>5</v>
      </c>
      <c r="P511" s="28"/>
      <c r="Q511" s="16"/>
      <c r="R511" s="19"/>
      <c r="S511" s="42">
        <f t="shared" si="426"/>
        <v>5</v>
      </c>
      <c r="T511" s="15">
        <v>5</v>
      </c>
      <c r="U511" s="28"/>
      <c r="V511" s="16">
        <v>5</v>
      </c>
      <c r="W511" s="31"/>
      <c r="X511" s="9">
        <f t="shared" ref="X511:X515" si="432">SUM(T511:W511)</f>
        <v>10</v>
      </c>
      <c r="Y511" s="94">
        <f t="shared" si="430"/>
        <v>15</v>
      </c>
      <c r="Z511" s="104">
        <v>46163</v>
      </c>
    </row>
    <row r="512" spans="1:27" x14ac:dyDescent="0.15">
      <c r="A512" s="44" t="s">
        <v>27</v>
      </c>
      <c r="B512" s="15"/>
      <c r="C512" s="28"/>
      <c r="D512" s="16"/>
      <c r="E512" s="19"/>
      <c r="F512" s="42">
        <f t="shared" si="420"/>
        <v>0</v>
      </c>
      <c r="G512" s="15"/>
      <c r="H512" s="28">
        <v>1</v>
      </c>
      <c r="I512" s="16">
        <v>1</v>
      </c>
      <c r="J512" s="31"/>
      <c r="K512" s="79">
        <f t="shared" si="421"/>
        <v>2</v>
      </c>
      <c r="L512" s="94">
        <f t="shared" si="422"/>
        <v>2</v>
      </c>
      <c r="M512" s="105">
        <v>46178</v>
      </c>
      <c r="N512" s="226" t="s">
        <v>361</v>
      </c>
      <c r="O512" s="15"/>
      <c r="P512" s="28"/>
      <c r="Q512" s="16"/>
      <c r="R512" s="19"/>
      <c r="S512" s="42">
        <f t="shared" si="426"/>
        <v>0</v>
      </c>
      <c r="T512" s="15"/>
      <c r="U512" s="28">
        <v>7</v>
      </c>
      <c r="V512" s="16"/>
      <c r="W512" s="31"/>
      <c r="X512" s="9">
        <f t="shared" si="432"/>
        <v>7</v>
      </c>
      <c r="Y512" s="94">
        <f t="shared" si="430"/>
        <v>7</v>
      </c>
      <c r="Z512" s="104">
        <v>46165</v>
      </c>
    </row>
    <row r="513" spans="1:28" x14ac:dyDescent="0.15">
      <c r="A513" s="44" t="s">
        <v>27</v>
      </c>
      <c r="B513" s="15"/>
      <c r="C513" s="28"/>
      <c r="D513" s="16">
        <v>1</v>
      </c>
      <c r="E513" s="19"/>
      <c r="F513" s="42">
        <f t="shared" si="420"/>
        <v>1</v>
      </c>
      <c r="G513" s="15">
        <v>1</v>
      </c>
      <c r="H513" s="28"/>
      <c r="I513" s="16"/>
      <c r="J513" s="31">
        <v>1</v>
      </c>
      <c r="K513" s="79">
        <f t="shared" si="421"/>
        <v>2</v>
      </c>
      <c r="L513" s="94">
        <f t="shared" si="422"/>
        <v>3</v>
      </c>
      <c r="M513" s="105">
        <v>46181</v>
      </c>
      <c r="N513" s="32" t="s">
        <v>362</v>
      </c>
      <c r="O513" s="15"/>
      <c r="P513" s="28"/>
      <c r="Q513" s="16"/>
      <c r="R513" s="19"/>
      <c r="S513" s="42">
        <f t="shared" si="426"/>
        <v>0</v>
      </c>
      <c r="T513" s="15"/>
      <c r="U513" s="28"/>
      <c r="V513" s="16">
        <v>3</v>
      </c>
      <c r="W513" s="31">
        <v>5</v>
      </c>
      <c r="X513" s="9">
        <f t="shared" si="432"/>
        <v>8</v>
      </c>
      <c r="Y513" s="94">
        <f t="shared" si="430"/>
        <v>8</v>
      </c>
      <c r="Z513" s="104">
        <v>46170</v>
      </c>
    </row>
    <row r="514" spans="1:28" x14ac:dyDescent="0.15">
      <c r="A514" s="44" t="s">
        <v>27</v>
      </c>
      <c r="B514" s="15"/>
      <c r="C514" s="28"/>
      <c r="D514" s="16"/>
      <c r="E514" s="19"/>
      <c r="F514" s="42">
        <f t="shared" si="420"/>
        <v>0</v>
      </c>
      <c r="G514" s="15"/>
      <c r="H514" s="28"/>
      <c r="I514" s="16">
        <v>1</v>
      </c>
      <c r="J514" s="31">
        <v>1</v>
      </c>
      <c r="K514" s="79">
        <f t="shared" si="421"/>
        <v>2</v>
      </c>
      <c r="L514" s="94">
        <f t="shared" si="422"/>
        <v>2</v>
      </c>
      <c r="M514" s="105">
        <v>46188</v>
      </c>
      <c r="N514" s="193" t="s">
        <v>268</v>
      </c>
      <c r="O514" s="194"/>
      <c r="P514" s="195"/>
      <c r="Q514" s="196"/>
      <c r="R514" s="197"/>
      <c r="S514" s="198">
        <f t="shared" si="426"/>
        <v>0</v>
      </c>
      <c r="T514" s="194"/>
      <c r="U514" s="195"/>
      <c r="V514" s="196"/>
      <c r="W514" s="201">
        <v>5</v>
      </c>
      <c r="X514" s="202">
        <f t="shared" si="432"/>
        <v>5</v>
      </c>
      <c r="Y514" s="179">
        <f t="shared" si="430"/>
        <v>5</v>
      </c>
      <c r="Z514" s="180">
        <v>46175</v>
      </c>
    </row>
    <row r="515" spans="1:28" x14ac:dyDescent="0.15">
      <c r="A515" s="44" t="s">
        <v>370</v>
      </c>
      <c r="B515" s="15"/>
      <c r="C515" s="28"/>
      <c r="D515" s="16"/>
      <c r="E515" s="19"/>
      <c r="F515" s="42">
        <f t="shared" si="420"/>
        <v>0</v>
      </c>
      <c r="G515" s="15"/>
      <c r="H515" s="28"/>
      <c r="I515" s="16">
        <v>-1</v>
      </c>
      <c r="J515" s="31"/>
      <c r="K515" s="79">
        <f t="shared" si="421"/>
        <v>-1</v>
      </c>
      <c r="L515" s="94">
        <f t="shared" si="422"/>
        <v>-1</v>
      </c>
      <c r="M515" s="105">
        <v>46190</v>
      </c>
      <c r="N515" s="11" t="s">
        <v>363</v>
      </c>
      <c r="O515" s="15"/>
      <c r="P515" s="28"/>
      <c r="Q515" s="16"/>
      <c r="R515" s="19"/>
      <c r="S515" s="42">
        <f t="shared" si="426"/>
        <v>0</v>
      </c>
      <c r="T515" s="15"/>
      <c r="U515" s="28">
        <v>2</v>
      </c>
      <c r="V515" s="16"/>
      <c r="W515" s="31"/>
      <c r="X515" s="9">
        <f t="shared" si="432"/>
        <v>2</v>
      </c>
      <c r="Y515" s="94">
        <f t="shared" si="430"/>
        <v>2</v>
      </c>
      <c r="Z515" s="104">
        <v>46181</v>
      </c>
    </row>
    <row r="516" spans="1:28" x14ac:dyDescent="0.15">
      <c r="A516" s="44" t="s">
        <v>371</v>
      </c>
      <c r="B516" s="15"/>
      <c r="C516" s="28"/>
      <c r="D516" s="16"/>
      <c r="E516" s="19"/>
      <c r="F516" s="42">
        <f t="shared" si="420"/>
        <v>0</v>
      </c>
      <c r="G516" s="15"/>
      <c r="H516" s="28">
        <v>1</v>
      </c>
      <c r="I516" s="16"/>
      <c r="J516" s="31">
        <v>2</v>
      </c>
      <c r="K516" s="79">
        <f t="shared" si="421"/>
        <v>3</v>
      </c>
      <c r="L516" s="94">
        <f t="shared" si="422"/>
        <v>3</v>
      </c>
      <c r="M516" s="105">
        <v>46217</v>
      </c>
      <c r="N516" s="44" t="s">
        <v>268</v>
      </c>
      <c r="O516" s="15"/>
      <c r="P516" s="28"/>
      <c r="Q516" s="16"/>
      <c r="R516" s="19"/>
      <c r="S516" s="42">
        <f t="shared" si="426"/>
        <v>0</v>
      </c>
      <c r="T516" s="15"/>
      <c r="U516" s="28">
        <v>3</v>
      </c>
      <c r="V516" s="16"/>
      <c r="W516" s="31"/>
      <c r="X516" s="9">
        <f>SUM(T516:W516)</f>
        <v>3</v>
      </c>
      <c r="Y516" s="94">
        <f t="shared" si="430"/>
        <v>3</v>
      </c>
      <c r="Z516" s="104">
        <v>46178</v>
      </c>
      <c r="AA516" s="109"/>
    </row>
    <row r="517" spans="1:28" x14ac:dyDescent="0.15">
      <c r="A517" s="44" t="s">
        <v>371</v>
      </c>
      <c r="B517" s="15"/>
      <c r="C517" s="28"/>
      <c r="D517" s="16"/>
      <c r="E517" s="19">
        <v>1</v>
      </c>
      <c r="F517" s="42">
        <f t="shared" si="420"/>
        <v>1</v>
      </c>
      <c r="G517" s="15"/>
      <c r="H517" s="28"/>
      <c r="I517" s="16">
        <v>1</v>
      </c>
      <c r="J517" s="31"/>
      <c r="K517" s="79">
        <f t="shared" si="421"/>
        <v>1</v>
      </c>
      <c r="L517" s="94">
        <f t="shared" si="422"/>
        <v>2</v>
      </c>
      <c r="M517" s="105">
        <v>46218</v>
      </c>
      <c r="N517" s="11" t="s">
        <v>367</v>
      </c>
      <c r="O517" s="15"/>
      <c r="P517" s="28"/>
      <c r="Q517" s="16"/>
      <c r="R517" s="19"/>
      <c r="S517" s="42">
        <f t="shared" si="426"/>
        <v>0</v>
      </c>
      <c r="T517" s="15">
        <v>2</v>
      </c>
      <c r="U517" s="28"/>
      <c r="V517" s="16"/>
      <c r="W517" s="31"/>
      <c r="X517" s="9">
        <f>SUM(T517:W517)</f>
        <v>2</v>
      </c>
      <c r="Y517" s="94">
        <f t="shared" si="430"/>
        <v>2</v>
      </c>
      <c r="Z517" s="104">
        <v>46182</v>
      </c>
      <c r="AA517" s="109"/>
      <c r="AB517" s="109"/>
    </row>
    <row r="518" spans="1:28" x14ac:dyDescent="0.15">
      <c r="A518" s="44" t="s">
        <v>371</v>
      </c>
      <c r="B518" s="15"/>
      <c r="C518" s="28"/>
      <c r="D518" s="16">
        <v>1</v>
      </c>
      <c r="E518" s="19">
        <v>1</v>
      </c>
      <c r="F518" s="42">
        <f t="shared" si="420"/>
        <v>2</v>
      </c>
      <c r="G518" s="15"/>
      <c r="H518" s="28"/>
      <c r="I518" s="16">
        <v>2</v>
      </c>
      <c r="J518" s="31"/>
      <c r="K518" s="79">
        <f t="shared" si="421"/>
        <v>2</v>
      </c>
      <c r="L518" s="94">
        <f t="shared" si="422"/>
        <v>4</v>
      </c>
      <c r="M518" s="105">
        <v>46218</v>
      </c>
      <c r="N518" s="135" t="s">
        <v>368</v>
      </c>
      <c r="O518" s="15"/>
      <c r="P518" s="28">
        <v>1</v>
      </c>
      <c r="Q518" s="16"/>
      <c r="R518" s="19">
        <v>1</v>
      </c>
      <c r="S518" s="42">
        <f t="shared" si="426"/>
        <v>2</v>
      </c>
      <c r="T518" s="15"/>
      <c r="U518" s="28"/>
      <c r="V518" s="16"/>
      <c r="W518" s="31"/>
      <c r="X518" s="9">
        <f t="shared" ref="X518:X520" si="433">SUM(T518:W518)</f>
        <v>0</v>
      </c>
      <c r="Y518" s="94">
        <f t="shared" si="430"/>
        <v>2</v>
      </c>
      <c r="Z518" s="104">
        <v>46185</v>
      </c>
    </row>
    <row r="519" spans="1:28" x14ac:dyDescent="0.15">
      <c r="A519" s="44" t="s">
        <v>371</v>
      </c>
      <c r="B519" s="15"/>
      <c r="C519" s="28"/>
      <c r="D519" s="16">
        <v>1</v>
      </c>
      <c r="E519" s="19"/>
      <c r="F519" s="42">
        <f t="shared" si="420"/>
        <v>1</v>
      </c>
      <c r="G519" s="15"/>
      <c r="H519" s="28"/>
      <c r="I519" s="16">
        <v>1</v>
      </c>
      <c r="J519" s="31"/>
      <c r="K519" s="79">
        <f t="shared" si="421"/>
        <v>1</v>
      </c>
      <c r="L519" s="94">
        <f t="shared" si="422"/>
        <v>2</v>
      </c>
      <c r="M519" s="105">
        <v>46218</v>
      </c>
      <c r="N519" s="135" t="s">
        <v>369</v>
      </c>
      <c r="O519" s="15"/>
      <c r="P519" s="28">
        <v>1</v>
      </c>
      <c r="Q519" s="16"/>
      <c r="R519" s="19"/>
      <c r="S519" s="42">
        <f t="shared" si="426"/>
        <v>1</v>
      </c>
      <c r="T519" s="15"/>
      <c r="U519" s="28"/>
      <c r="V519" s="16">
        <v>1</v>
      </c>
      <c r="W519" s="31"/>
      <c r="X519" s="9">
        <f t="shared" si="433"/>
        <v>1</v>
      </c>
      <c r="Y519" s="94">
        <f t="shared" si="430"/>
        <v>2</v>
      </c>
      <c r="Z519" s="104">
        <v>46192</v>
      </c>
      <c r="AA519" s="109"/>
    </row>
    <row r="520" spans="1:28" x14ac:dyDescent="0.15">
      <c r="A520" s="44"/>
      <c r="B520" s="15"/>
      <c r="C520" s="28"/>
      <c r="D520" s="16"/>
      <c r="E520" s="19"/>
      <c r="F520" s="42">
        <f t="shared" si="420"/>
        <v>0</v>
      </c>
      <c r="G520" s="15"/>
      <c r="H520" s="28"/>
      <c r="I520" s="16"/>
      <c r="J520" s="31"/>
      <c r="K520" s="79">
        <f t="shared" si="421"/>
        <v>0</v>
      </c>
      <c r="L520" s="94">
        <f t="shared" si="422"/>
        <v>0</v>
      </c>
      <c r="N520" s="44"/>
      <c r="O520" s="15"/>
      <c r="P520" s="28"/>
      <c r="Q520" s="16"/>
      <c r="R520" s="19"/>
      <c r="S520" s="42">
        <f t="shared" si="426"/>
        <v>0</v>
      </c>
      <c r="T520" s="15"/>
      <c r="U520" s="28"/>
      <c r="V520" s="16"/>
      <c r="W520" s="31"/>
      <c r="X520" s="9">
        <f t="shared" si="433"/>
        <v>0</v>
      </c>
      <c r="Y520" s="94">
        <f t="shared" si="430"/>
        <v>0</v>
      </c>
    </row>
    <row r="521" spans="1:28" x14ac:dyDescent="0.15">
      <c r="A521" s="44"/>
      <c r="B521" s="15"/>
      <c r="C521" s="28"/>
      <c r="D521" s="16"/>
      <c r="E521" s="19"/>
      <c r="F521" s="42">
        <f t="shared" si="420"/>
        <v>0</v>
      </c>
      <c r="G521" s="15"/>
      <c r="H521" s="28"/>
      <c r="I521" s="16"/>
      <c r="J521" s="31"/>
      <c r="K521" s="79">
        <f t="shared" si="421"/>
        <v>0</v>
      </c>
      <c r="L521" s="94">
        <f t="shared" si="422"/>
        <v>0</v>
      </c>
      <c r="N521" s="44"/>
      <c r="O521" s="15"/>
      <c r="P521" s="28"/>
      <c r="Q521" s="16"/>
      <c r="R521" s="19"/>
      <c r="S521" s="42">
        <f t="shared" ref="S521:S528" si="434">SUM(O521:R521)</f>
        <v>0</v>
      </c>
      <c r="T521" s="15"/>
      <c r="U521" s="28"/>
      <c r="V521" s="16"/>
      <c r="W521" s="31"/>
      <c r="X521" s="9">
        <f t="shared" ref="X521:X528" si="435">SUM(T521:W521)</f>
        <v>0</v>
      </c>
      <c r="Y521" s="94">
        <f t="shared" ref="Y521:Y528" si="436">S521+X521</f>
        <v>0</v>
      </c>
    </row>
    <row r="522" spans="1:28" x14ac:dyDescent="0.15">
      <c r="A522" s="44"/>
      <c r="B522" s="15"/>
      <c r="C522" s="28"/>
      <c r="D522" s="16"/>
      <c r="E522" s="19"/>
      <c r="F522" s="42">
        <f t="shared" si="420"/>
        <v>0</v>
      </c>
      <c r="G522" s="15"/>
      <c r="H522" s="28"/>
      <c r="I522" s="16"/>
      <c r="J522" s="31"/>
      <c r="K522" s="79">
        <f>SUM(G522:J522)</f>
        <v>0</v>
      </c>
      <c r="L522" s="94">
        <f t="shared" si="422"/>
        <v>0</v>
      </c>
      <c r="N522" s="44"/>
      <c r="O522" s="15"/>
      <c r="P522" s="28"/>
      <c r="Q522" s="16"/>
      <c r="R522" s="19"/>
      <c r="S522" s="42">
        <f t="shared" si="434"/>
        <v>0</v>
      </c>
      <c r="T522" s="15"/>
      <c r="U522" s="28"/>
      <c r="V522" s="16"/>
      <c r="W522" s="31"/>
      <c r="X522" s="9">
        <f t="shared" si="435"/>
        <v>0</v>
      </c>
      <c r="Y522" s="94">
        <f t="shared" si="436"/>
        <v>0</v>
      </c>
    </row>
    <row r="523" spans="1:28" x14ac:dyDescent="0.15">
      <c r="A523" s="44"/>
      <c r="B523" s="15"/>
      <c r="C523" s="28"/>
      <c r="D523" s="16"/>
      <c r="E523" s="19"/>
      <c r="F523" s="42">
        <f t="shared" si="420"/>
        <v>0</v>
      </c>
      <c r="G523" s="15"/>
      <c r="H523" s="16"/>
      <c r="I523" s="28"/>
      <c r="J523" s="53"/>
      <c r="K523" s="79">
        <f t="shared" ref="K523:K529" si="437">SUM(G523:J523)</f>
        <v>0</v>
      </c>
      <c r="L523" s="94">
        <f t="shared" si="422"/>
        <v>0</v>
      </c>
      <c r="N523" s="44"/>
      <c r="O523" s="15"/>
      <c r="P523" s="28"/>
      <c r="Q523" s="16"/>
      <c r="R523" s="19"/>
      <c r="S523" s="42">
        <f t="shared" si="434"/>
        <v>0</v>
      </c>
      <c r="T523" s="15"/>
      <c r="U523" s="28"/>
      <c r="V523" s="16"/>
      <c r="W523" s="31"/>
      <c r="X523" s="9">
        <f t="shared" si="435"/>
        <v>0</v>
      </c>
      <c r="Y523" s="94">
        <f t="shared" si="436"/>
        <v>0</v>
      </c>
    </row>
    <row r="524" spans="1:28" x14ac:dyDescent="0.15">
      <c r="A524" s="44"/>
      <c r="B524" s="15"/>
      <c r="C524" s="28"/>
      <c r="D524" s="16"/>
      <c r="E524" s="19"/>
      <c r="F524" s="42">
        <f t="shared" si="420"/>
        <v>0</v>
      </c>
      <c r="G524" s="15"/>
      <c r="H524" s="28"/>
      <c r="I524" s="16"/>
      <c r="J524" s="31"/>
      <c r="K524" s="79">
        <f t="shared" si="437"/>
        <v>0</v>
      </c>
      <c r="L524" s="94">
        <f t="shared" si="422"/>
        <v>0</v>
      </c>
      <c r="N524" s="44"/>
      <c r="O524" s="15"/>
      <c r="P524" s="28"/>
      <c r="Q524" s="16"/>
      <c r="R524" s="19"/>
      <c r="S524" s="42">
        <f t="shared" si="434"/>
        <v>0</v>
      </c>
      <c r="T524" s="15"/>
      <c r="U524" s="28"/>
      <c r="V524" s="16"/>
      <c r="W524" s="31"/>
      <c r="X524" s="9">
        <f t="shared" si="435"/>
        <v>0</v>
      </c>
      <c r="Y524" s="94">
        <f t="shared" si="436"/>
        <v>0</v>
      </c>
    </row>
    <row r="525" spans="1:28" x14ac:dyDescent="0.15">
      <c r="A525" s="44"/>
      <c r="B525" s="15"/>
      <c r="C525" s="28"/>
      <c r="D525" s="16"/>
      <c r="E525" s="19"/>
      <c r="F525" s="42">
        <f t="shared" si="420"/>
        <v>0</v>
      </c>
      <c r="G525" s="38"/>
      <c r="H525" s="39"/>
      <c r="I525" s="40"/>
      <c r="J525" s="52"/>
      <c r="K525" s="83">
        <f t="shared" si="437"/>
        <v>0</v>
      </c>
      <c r="L525" s="94">
        <f t="shared" si="422"/>
        <v>0</v>
      </c>
      <c r="N525" s="225" t="s">
        <v>310</v>
      </c>
      <c r="O525" s="115"/>
      <c r="P525" s="116"/>
      <c r="Q525" s="117"/>
      <c r="R525" s="118"/>
      <c r="S525" s="127">
        <f t="shared" si="434"/>
        <v>0</v>
      </c>
      <c r="T525" s="115"/>
      <c r="U525" s="116"/>
      <c r="V525" s="117"/>
      <c r="W525" s="118"/>
      <c r="X525" s="119">
        <f t="shared" si="435"/>
        <v>0</v>
      </c>
      <c r="Y525" s="241">
        <f t="shared" si="436"/>
        <v>0</v>
      </c>
      <c r="Z525" s="133"/>
    </row>
    <row r="526" spans="1:28" x14ac:dyDescent="0.15">
      <c r="A526" s="44"/>
      <c r="B526" s="15"/>
      <c r="C526" s="28"/>
      <c r="D526" s="16"/>
      <c r="E526" s="19"/>
      <c r="F526" s="42">
        <f t="shared" si="420"/>
        <v>0</v>
      </c>
      <c r="G526" s="15"/>
      <c r="H526" s="28"/>
      <c r="I526" s="16"/>
      <c r="J526" s="31"/>
      <c r="K526" s="79">
        <f t="shared" si="437"/>
        <v>0</v>
      </c>
      <c r="L526" s="94">
        <f t="shared" si="422"/>
        <v>0</v>
      </c>
      <c r="N526" s="11" t="s">
        <v>80</v>
      </c>
      <c r="O526" s="15"/>
      <c r="P526" s="28"/>
      <c r="Q526" s="16"/>
      <c r="R526" s="19"/>
      <c r="S526" s="42">
        <f t="shared" si="434"/>
        <v>0</v>
      </c>
      <c r="T526" s="15"/>
      <c r="U526" s="28"/>
      <c r="V526" s="16"/>
      <c r="W526" s="31"/>
      <c r="X526" s="9">
        <f t="shared" si="435"/>
        <v>0</v>
      </c>
      <c r="Y526" s="126">
        <f t="shared" si="436"/>
        <v>0</v>
      </c>
      <c r="Z526" s="133" t="s">
        <v>326</v>
      </c>
    </row>
    <row r="527" spans="1:28" x14ac:dyDescent="0.15">
      <c r="A527" s="44"/>
      <c r="B527" s="15"/>
      <c r="C527" s="28"/>
      <c r="D527" s="16"/>
      <c r="E527" s="19"/>
      <c r="F527" s="42">
        <f t="shared" si="420"/>
        <v>0</v>
      </c>
      <c r="G527" s="15"/>
      <c r="H527" s="28"/>
      <c r="I527" s="16"/>
      <c r="J527" s="31"/>
      <c r="K527" s="79">
        <f t="shared" si="437"/>
        <v>0</v>
      </c>
      <c r="L527" s="94">
        <f t="shared" si="422"/>
        <v>0</v>
      </c>
      <c r="N527" s="242" t="s">
        <v>284</v>
      </c>
      <c r="O527" s="148"/>
      <c r="P527" s="149"/>
      <c r="Q527" s="150"/>
      <c r="R527" s="221"/>
      <c r="S527" s="222">
        <f t="shared" si="434"/>
        <v>0</v>
      </c>
      <c r="T527" s="148"/>
      <c r="U527" s="149"/>
      <c r="V527" s="150"/>
      <c r="W527" s="151"/>
      <c r="X527" s="152">
        <f t="shared" si="435"/>
        <v>0</v>
      </c>
      <c r="Y527" s="120">
        <f t="shared" si="436"/>
        <v>0</v>
      </c>
      <c r="Z527" s="134"/>
    </row>
    <row r="528" spans="1:28" ht="14.25" thickBot="1" x14ac:dyDescent="0.2">
      <c r="A528" s="44"/>
      <c r="B528" s="34"/>
      <c r="C528" s="35"/>
      <c r="D528" s="36"/>
      <c r="E528" s="37"/>
      <c r="F528" s="42">
        <f t="shared" si="420"/>
        <v>0</v>
      </c>
      <c r="G528" s="34"/>
      <c r="H528" s="36"/>
      <c r="I528" s="35"/>
      <c r="J528" s="64"/>
      <c r="K528" s="80">
        <f t="shared" si="437"/>
        <v>0</v>
      </c>
      <c r="L528" s="106">
        <f t="shared" si="422"/>
        <v>0</v>
      </c>
      <c r="N528" s="166" t="s">
        <v>364</v>
      </c>
      <c r="O528" s="34"/>
      <c r="P528" s="35"/>
      <c r="Q528" s="36"/>
      <c r="R528" s="37"/>
      <c r="S528" s="43">
        <f t="shared" si="434"/>
        <v>0</v>
      </c>
      <c r="T528" s="34"/>
      <c r="U528" s="35"/>
      <c r="V528" s="36"/>
      <c r="W528" s="63"/>
      <c r="X528" s="10">
        <f t="shared" si="435"/>
        <v>0</v>
      </c>
      <c r="Y528" s="142">
        <f t="shared" si="436"/>
        <v>0</v>
      </c>
      <c r="Z528" s="133" t="s">
        <v>285</v>
      </c>
    </row>
    <row r="529" spans="1:26" ht="14.25" thickBot="1" x14ac:dyDescent="0.2">
      <c r="A529" s="12" t="s">
        <v>8</v>
      </c>
      <c r="B529" s="21">
        <f>SUM(B504:B528)</f>
        <v>1</v>
      </c>
      <c r="C529" s="29">
        <f>SUM(C504:C528)</f>
        <v>1</v>
      </c>
      <c r="D529" s="22">
        <f>SUM(D504:D528)</f>
        <v>3</v>
      </c>
      <c r="E529" s="23">
        <f>SUM(E504:E528)</f>
        <v>1</v>
      </c>
      <c r="F529" s="20">
        <f>SUM(B529:E529)</f>
        <v>6</v>
      </c>
      <c r="G529" s="21">
        <f>SUM(G504:G528)</f>
        <v>3</v>
      </c>
      <c r="H529" s="29">
        <f>SUM(H504:H528)</f>
        <v>5</v>
      </c>
      <c r="I529" s="22">
        <f>SUM(I504:I528)</f>
        <v>9</v>
      </c>
      <c r="J529" s="23">
        <f>SUM(J504:J528)</f>
        <v>14</v>
      </c>
      <c r="K529" s="81">
        <f t="shared" si="437"/>
        <v>31</v>
      </c>
      <c r="L529" s="107">
        <f t="shared" si="422"/>
        <v>37</v>
      </c>
      <c r="N529" s="110" t="s">
        <v>8</v>
      </c>
      <c r="O529" s="21">
        <f>SUM(O504:O528)</f>
        <v>5</v>
      </c>
      <c r="P529" s="29">
        <f>SUM(P504:P528)</f>
        <v>3</v>
      </c>
      <c r="Q529" s="22">
        <f>SUM(Q504:Q528)</f>
        <v>0</v>
      </c>
      <c r="R529" s="23">
        <f>SUM(R504:R528)</f>
        <v>12</v>
      </c>
      <c r="S529" s="45">
        <f>SUM(O529:R529)</f>
        <v>20</v>
      </c>
      <c r="T529" s="21">
        <f>SUM(T504:T528)</f>
        <v>7</v>
      </c>
      <c r="U529" s="29">
        <f>SUM(U504:U528)</f>
        <v>14</v>
      </c>
      <c r="V529" s="22">
        <f>SUM(V504:V528)</f>
        <v>9</v>
      </c>
      <c r="W529" s="23">
        <f>SUM(W504:W528)</f>
        <v>22</v>
      </c>
      <c r="X529" s="45">
        <f t="shared" ref="X529" si="438">SUM(T529:W529)</f>
        <v>52</v>
      </c>
      <c r="Y529" s="111">
        <f t="shared" ref="Y529:Y530" si="439">S529+X529</f>
        <v>72</v>
      </c>
    </row>
    <row r="530" spans="1:26" ht="14.25" thickBot="1" x14ac:dyDescent="0.2">
      <c r="A530" s="13" t="s">
        <v>9</v>
      </c>
      <c r="B530" s="24">
        <f t="shared" ref="B530:K530" si="440">B503-B529</f>
        <v>6</v>
      </c>
      <c r="C530" s="30">
        <f t="shared" si="440"/>
        <v>3</v>
      </c>
      <c r="D530" s="25">
        <f t="shared" si="440"/>
        <v>3</v>
      </c>
      <c r="E530" s="26">
        <f t="shared" si="440"/>
        <v>3</v>
      </c>
      <c r="F530" s="71">
        <f t="shared" si="440"/>
        <v>15</v>
      </c>
      <c r="G530" s="24">
        <f t="shared" si="440"/>
        <v>3</v>
      </c>
      <c r="H530" s="30">
        <f t="shared" si="440"/>
        <v>3</v>
      </c>
      <c r="I530" s="25">
        <f t="shared" si="440"/>
        <v>0</v>
      </c>
      <c r="J530" s="26">
        <f t="shared" si="440"/>
        <v>2</v>
      </c>
      <c r="K530" s="82">
        <f t="shared" si="440"/>
        <v>8</v>
      </c>
      <c r="L530" s="86">
        <f t="shared" si="422"/>
        <v>23</v>
      </c>
      <c r="N530" s="13" t="s">
        <v>9</v>
      </c>
      <c r="O530" s="24">
        <f t="shared" ref="O530:X530" si="441">O503-O529</f>
        <v>76</v>
      </c>
      <c r="P530" s="30">
        <f t="shared" si="441"/>
        <v>114</v>
      </c>
      <c r="Q530" s="25">
        <f t="shared" si="441"/>
        <v>124</v>
      </c>
      <c r="R530" s="26">
        <f t="shared" si="441"/>
        <v>64</v>
      </c>
      <c r="S530" s="71">
        <f t="shared" si="441"/>
        <v>378</v>
      </c>
      <c r="T530" s="24">
        <f t="shared" si="441"/>
        <v>61</v>
      </c>
      <c r="U530" s="30">
        <f t="shared" si="441"/>
        <v>104</v>
      </c>
      <c r="V530" s="25">
        <f t="shared" si="441"/>
        <v>90</v>
      </c>
      <c r="W530" s="26">
        <f t="shared" si="441"/>
        <v>109</v>
      </c>
      <c r="X530" s="33">
        <f t="shared" si="441"/>
        <v>364</v>
      </c>
      <c r="Y530" s="86">
        <f t="shared" si="439"/>
        <v>742</v>
      </c>
      <c r="Z530" s="155"/>
    </row>
    <row r="533" spans="1:26" ht="19.5" thickBot="1" x14ac:dyDescent="0.25">
      <c r="A533" s="2" t="s">
        <v>15</v>
      </c>
      <c r="B533" s="2"/>
      <c r="C533" s="1"/>
      <c r="D533" s="1"/>
      <c r="E533" s="1"/>
      <c r="G533" s="72"/>
      <c r="H533" s="1"/>
      <c r="I533" s="1"/>
      <c r="J533" s="1"/>
      <c r="K533" s="72" t="s">
        <v>12</v>
      </c>
      <c r="N533" s="2" t="s">
        <v>16</v>
      </c>
      <c r="O533" s="2"/>
      <c r="P533" s="1"/>
      <c r="Q533" s="1"/>
      <c r="R533" s="1"/>
      <c r="U533" s="1"/>
      <c r="V533" s="1"/>
      <c r="W533" s="1"/>
      <c r="X533" s="72" t="s">
        <v>12</v>
      </c>
    </row>
    <row r="534" spans="1:26" ht="14.25" thickBot="1" x14ac:dyDescent="0.2">
      <c r="A534" s="5" t="s">
        <v>0</v>
      </c>
      <c r="B534" s="245" t="s">
        <v>34</v>
      </c>
      <c r="C534" s="246"/>
      <c r="D534" s="246"/>
      <c r="E534" s="246"/>
      <c r="F534" s="247"/>
      <c r="G534" s="248" t="s">
        <v>35</v>
      </c>
      <c r="H534" s="249"/>
      <c r="I534" s="249"/>
      <c r="J534" s="249"/>
      <c r="K534" s="249"/>
      <c r="L534" s="243" t="s">
        <v>14</v>
      </c>
      <c r="N534" s="5" t="s">
        <v>0</v>
      </c>
      <c r="O534" s="245" t="s">
        <v>58</v>
      </c>
      <c r="P534" s="246"/>
      <c r="Q534" s="246"/>
      <c r="R534" s="246"/>
      <c r="S534" s="247"/>
      <c r="T534" s="248" t="s">
        <v>59</v>
      </c>
      <c r="U534" s="249"/>
      <c r="V534" s="249"/>
      <c r="W534" s="249"/>
      <c r="X534" s="249"/>
      <c r="Y534" s="243" t="s">
        <v>14</v>
      </c>
    </row>
    <row r="535" spans="1:26" ht="14.25" thickBot="1" x14ac:dyDescent="0.2">
      <c r="A535" s="5" t="s">
        <v>1</v>
      </c>
      <c r="B535" s="3" t="s">
        <v>17</v>
      </c>
      <c r="C535" s="27" t="s">
        <v>18</v>
      </c>
      <c r="D535" s="4" t="s">
        <v>19</v>
      </c>
      <c r="E535" s="14" t="s">
        <v>20</v>
      </c>
      <c r="F535" s="18" t="s">
        <v>2</v>
      </c>
      <c r="G535" s="3" t="s">
        <v>17</v>
      </c>
      <c r="H535" s="27" t="s">
        <v>18</v>
      </c>
      <c r="I535" s="4" t="s">
        <v>19</v>
      </c>
      <c r="J535" s="14" t="s">
        <v>20</v>
      </c>
      <c r="K535" s="73" t="s">
        <v>2</v>
      </c>
      <c r="L535" s="244"/>
      <c r="N535" s="5" t="s">
        <v>1</v>
      </c>
      <c r="O535" s="3" t="s">
        <v>17</v>
      </c>
      <c r="P535" s="27" t="s">
        <v>18</v>
      </c>
      <c r="Q535" s="4" t="s">
        <v>19</v>
      </c>
      <c r="R535" s="14" t="s">
        <v>20</v>
      </c>
      <c r="S535" s="18" t="s">
        <v>2</v>
      </c>
      <c r="T535" s="3" t="s">
        <v>17</v>
      </c>
      <c r="U535" s="27" t="s">
        <v>18</v>
      </c>
      <c r="V535" s="4" t="s">
        <v>19</v>
      </c>
      <c r="W535" s="14" t="s">
        <v>20</v>
      </c>
      <c r="X535" s="18" t="s">
        <v>2</v>
      </c>
      <c r="Y535" s="244"/>
    </row>
    <row r="536" spans="1:26" x14ac:dyDescent="0.15">
      <c r="A536" s="66" t="s">
        <v>10</v>
      </c>
      <c r="B536" s="67">
        <f>B530</f>
        <v>6</v>
      </c>
      <c r="C536" s="68">
        <f>C530</f>
        <v>3</v>
      </c>
      <c r="D536" s="68">
        <f>D530</f>
        <v>3</v>
      </c>
      <c r="E536" s="69">
        <f>E530</f>
        <v>3</v>
      </c>
      <c r="F536" s="70">
        <f>SUM(B536:E536)</f>
        <v>15</v>
      </c>
      <c r="G536" s="67">
        <f>G530</f>
        <v>3</v>
      </c>
      <c r="H536" s="68">
        <f>H530</f>
        <v>3</v>
      </c>
      <c r="I536" s="68">
        <f>I530</f>
        <v>0</v>
      </c>
      <c r="J536" s="69">
        <f>J530</f>
        <v>2</v>
      </c>
      <c r="K536" s="74">
        <f>SUM(G536:J536)</f>
        <v>8</v>
      </c>
      <c r="L536" s="84">
        <f>F536+K536</f>
        <v>23</v>
      </c>
      <c r="N536" s="66" t="s">
        <v>10</v>
      </c>
      <c r="O536" s="67">
        <f>O530</f>
        <v>76</v>
      </c>
      <c r="P536" s="68">
        <f>P530</f>
        <v>114</v>
      </c>
      <c r="Q536" s="68">
        <f>Q530</f>
        <v>124</v>
      </c>
      <c r="R536" s="69">
        <f>R530</f>
        <v>64</v>
      </c>
      <c r="S536" s="70">
        <f>SUM(O536:R536)</f>
        <v>378</v>
      </c>
      <c r="T536" s="67">
        <f>T530</f>
        <v>61</v>
      </c>
      <c r="U536" s="68">
        <f>U530</f>
        <v>104</v>
      </c>
      <c r="V536" s="68">
        <f>V530</f>
        <v>90</v>
      </c>
      <c r="W536" s="87">
        <f>W530</f>
        <v>109</v>
      </c>
      <c r="X536" s="88">
        <f>SUM(T536:W536)</f>
        <v>364</v>
      </c>
      <c r="Y536" s="84">
        <f>S536+X536</f>
        <v>742</v>
      </c>
    </row>
    <row r="537" spans="1:26" x14ac:dyDescent="0.15">
      <c r="A537" s="44" t="s">
        <v>3</v>
      </c>
      <c r="B537" s="47"/>
      <c r="C537" s="48"/>
      <c r="D537" s="49"/>
      <c r="E537" s="50"/>
      <c r="F537" s="54">
        <f>SUM(B537:E537)</f>
        <v>0</v>
      </c>
      <c r="G537" s="38"/>
      <c r="H537" s="39"/>
      <c r="I537" s="40"/>
      <c r="J537" s="41"/>
      <c r="K537" s="75">
        <f>SUM(G537:J537)</f>
        <v>0</v>
      </c>
      <c r="L537" s="94">
        <f t="shared" ref="L537:L540" si="442">F537+K537</f>
        <v>0</v>
      </c>
      <c r="N537" s="44" t="s">
        <v>3</v>
      </c>
      <c r="O537" s="47"/>
      <c r="P537" s="48"/>
      <c r="Q537" s="49"/>
      <c r="R537" s="50"/>
      <c r="S537" s="54">
        <f>SUM(O537:R537)</f>
        <v>0</v>
      </c>
      <c r="T537" s="38"/>
      <c r="U537" s="39"/>
      <c r="V537" s="40"/>
      <c r="W537" s="41"/>
      <c r="X537" s="75">
        <f>SUM(T537:W537)</f>
        <v>0</v>
      </c>
      <c r="Y537" s="94">
        <f t="shared" ref="Y537:Y540" si="443">S537+X537</f>
        <v>0</v>
      </c>
    </row>
    <row r="538" spans="1:26" x14ac:dyDescent="0.15">
      <c r="A538" s="44" t="s">
        <v>4</v>
      </c>
      <c r="B538" s="47"/>
      <c r="C538" s="48"/>
      <c r="D538" s="49"/>
      <c r="E538" s="50"/>
      <c r="F538" s="54">
        <f t="shared" ref="F538:F539" si="444">SUM(B538:E538)</f>
        <v>0</v>
      </c>
      <c r="G538" s="38"/>
      <c r="H538" s="39"/>
      <c r="I538" s="40"/>
      <c r="J538" s="41"/>
      <c r="K538" s="75">
        <f t="shared" ref="K538:K539" si="445">SUM(G538:J538)</f>
        <v>0</v>
      </c>
      <c r="L538" s="94">
        <f t="shared" si="442"/>
        <v>0</v>
      </c>
      <c r="N538" s="89" t="s">
        <v>305</v>
      </c>
      <c r="O538" s="90">
        <v>20</v>
      </c>
      <c r="P538" s="91">
        <v>110</v>
      </c>
      <c r="Q538" s="92">
        <v>110</v>
      </c>
      <c r="R538" s="95">
        <v>60</v>
      </c>
      <c r="S538" s="93">
        <f>SUM(O538:R538)</f>
        <v>300</v>
      </c>
      <c r="T538" s="90">
        <v>30</v>
      </c>
      <c r="U538" s="91">
        <v>90</v>
      </c>
      <c r="V538" s="92">
        <v>90</v>
      </c>
      <c r="W538" s="95">
        <v>150</v>
      </c>
      <c r="X538" s="93">
        <f>SUM(T538:W538)</f>
        <v>360</v>
      </c>
      <c r="Y538" s="84">
        <f t="shared" si="443"/>
        <v>660</v>
      </c>
    </row>
    <row r="539" spans="1:26" x14ac:dyDescent="0.15">
      <c r="A539" s="44" t="s">
        <v>5</v>
      </c>
      <c r="B539" s="47"/>
      <c r="C539" s="48"/>
      <c r="D539" s="49"/>
      <c r="E539" s="50"/>
      <c r="F539" s="54">
        <f t="shared" si="444"/>
        <v>0</v>
      </c>
      <c r="G539" s="38"/>
      <c r="H539" s="39"/>
      <c r="I539" s="40"/>
      <c r="J539" s="41"/>
      <c r="K539" s="75">
        <f t="shared" si="445"/>
        <v>0</v>
      </c>
      <c r="L539" s="94">
        <f t="shared" si="442"/>
        <v>0</v>
      </c>
      <c r="N539" s="159" t="s">
        <v>332</v>
      </c>
      <c r="O539" s="233"/>
      <c r="P539" s="234">
        <v>-1</v>
      </c>
      <c r="Q539" s="235">
        <v>-1</v>
      </c>
      <c r="R539" s="236">
        <v>-3</v>
      </c>
      <c r="S539" s="232">
        <f t="shared" ref="S539:S540" si="446">SUM(O539:R539)</f>
        <v>-5</v>
      </c>
      <c r="T539" s="229">
        <v>2</v>
      </c>
      <c r="U539" s="230">
        <v>-2</v>
      </c>
      <c r="V539" s="231"/>
      <c r="W539" s="237">
        <v>-8</v>
      </c>
      <c r="X539" s="238">
        <f t="shared" ref="X539:X540" si="447">SUM(T539:W539)</f>
        <v>-8</v>
      </c>
      <c r="Y539" s="84">
        <f t="shared" si="443"/>
        <v>-13</v>
      </c>
    </row>
    <row r="540" spans="1:26" ht="14.25" thickBot="1" x14ac:dyDescent="0.2">
      <c r="A540" s="11" t="s">
        <v>6</v>
      </c>
      <c r="B540" s="6"/>
      <c r="C540" s="17"/>
      <c r="D540" s="7"/>
      <c r="E540" s="8"/>
      <c r="F540" s="10">
        <f>SUM(B540:E540)</f>
        <v>0</v>
      </c>
      <c r="G540" s="34"/>
      <c r="H540" s="35"/>
      <c r="I540" s="36"/>
      <c r="J540" s="37"/>
      <c r="K540" s="77">
        <f>SUM(G540:J540)</f>
        <v>0</v>
      </c>
      <c r="L540" s="94">
        <f t="shared" si="442"/>
        <v>0</v>
      </c>
      <c r="N540" s="44" t="s">
        <v>6</v>
      </c>
      <c r="O540" s="47"/>
      <c r="P540" s="48"/>
      <c r="Q540" s="49"/>
      <c r="R540" s="50"/>
      <c r="S540" s="54">
        <f t="shared" si="446"/>
        <v>0</v>
      </c>
      <c r="T540" s="38"/>
      <c r="U540" s="39"/>
      <c r="V540" s="40"/>
      <c r="W540" s="41"/>
      <c r="X540" s="75">
        <f t="shared" si="447"/>
        <v>0</v>
      </c>
      <c r="Y540" s="94">
        <f t="shared" si="443"/>
        <v>0</v>
      </c>
    </row>
    <row r="541" spans="1:26" ht="14.25" thickBot="1" x14ac:dyDescent="0.2">
      <c r="A541" s="13" t="s">
        <v>7</v>
      </c>
      <c r="B541" s="55">
        <f t="shared" ref="B541:K541" si="448">SUM(B536:B540)</f>
        <v>6</v>
      </c>
      <c r="C541" s="56">
        <f t="shared" si="448"/>
        <v>3</v>
      </c>
      <c r="D541" s="57">
        <f t="shared" si="448"/>
        <v>3</v>
      </c>
      <c r="E541" s="58">
        <f t="shared" si="448"/>
        <v>3</v>
      </c>
      <c r="F541" s="59">
        <f t="shared" si="448"/>
        <v>15</v>
      </c>
      <c r="G541" s="24">
        <f t="shared" si="448"/>
        <v>3</v>
      </c>
      <c r="H541" s="30">
        <f t="shared" si="448"/>
        <v>3</v>
      </c>
      <c r="I541" s="25">
        <f t="shared" si="448"/>
        <v>0</v>
      </c>
      <c r="J541" s="60">
        <f t="shared" si="448"/>
        <v>2</v>
      </c>
      <c r="K541" s="78">
        <f t="shared" si="448"/>
        <v>8</v>
      </c>
      <c r="L541" s="85">
        <f>F541+K541</f>
        <v>23</v>
      </c>
      <c r="N541" s="13" t="s">
        <v>7</v>
      </c>
      <c r="O541" s="55">
        <f t="shared" ref="O541:X541" si="449">SUM(O536:O540)</f>
        <v>96</v>
      </c>
      <c r="P541" s="56">
        <f t="shared" si="449"/>
        <v>223</v>
      </c>
      <c r="Q541" s="57">
        <f t="shared" si="449"/>
        <v>233</v>
      </c>
      <c r="R541" s="58">
        <f t="shared" si="449"/>
        <v>121</v>
      </c>
      <c r="S541" s="59">
        <f t="shared" si="449"/>
        <v>673</v>
      </c>
      <c r="T541" s="24">
        <f t="shared" si="449"/>
        <v>93</v>
      </c>
      <c r="U541" s="30">
        <f t="shared" si="449"/>
        <v>192</v>
      </c>
      <c r="V541" s="25">
        <f t="shared" si="449"/>
        <v>180</v>
      </c>
      <c r="W541" s="60">
        <f t="shared" si="449"/>
        <v>251</v>
      </c>
      <c r="X541" s="61">
        <f t="shared" si="449"/>
        <v>716</v>
      </c>
      <c r="Y541" s="85">
        <f>S541+X541</f>
        <v>1389</v>
      </c>
    </row>
    <row r="542" spans="1:26" x14ac:dyDescent="0.15">
      <c r="A542" s="44"/>
      <c r="B542" s="15"/>
      <c r="C542" s="28"/>
      <c r="D542" s="16"/>
      <c r="E542" s="19"/>
      <c r="F542" s="42">
        <f t="shared" ref="F542:F566" si="450">SUM(B542:E542)</f>
        <v>0</v>
      </c>
      <c r="G542" s="15"/>
      <c r="H542" s="28"/>
      <c r="I542" s="16"/>
      <c r="J542" s="31"/>
      <c r="K542" s="79">
        <f t="shared" ref="K542:K559" si="451">SUM(G542:J542)</f>
        <v>0</v>
      </c>
      <c r="L542" s="94">
        <f t="shared" ref="L542:L568" si="452">F542+K542</f>
        <v>0</v>
      </c>
      <c r="N542" s="44"/>
      <c r="O542" s="15"/>
      <c r="P542" s="28"/>
      <c r="Q542" s="16"/>
      <c r="R542" s="19"/>
      <c r="S542" s="42">
        <f t="shared" ref="S542:S561" si="453">SUM(O542:R542)</f>
        <v>0</v>
      </c>
      <c r="T542" s="15"/>
      <c r="U542" s="28"/>
      <c r="V542" s="16"/>
      <c r="W542" s="31"/>
      <c r="X542" s="9">
        <f t="shared" ref="X542:X547" si="454">SUM(T542:W542)</f>
        <v>0</v>
      </c>
      <c r="Y542" s="94">
        <f>S542+X542</f>
        <v>0</v>
      </c>
    </row>
    <row r="543" spans="1:26" x14ac:dyDescent="0.15">
      <c r="A543" s="44"/>
      <c r="B543" s="15"/>
      <c r="C543" s="28"/>
      <c r="D543" s="16"/>
      <c r="E543" s="19"/>
      <c r="F543" s="42">
        <f t="shared" si="450"/>
        <v>0</v>
      </c>
      <c r="G543" s="15"/>
      <c r="H543" s="28"/>
      <c r="I543" s="16"/>
      <c r="J543" s="31"/>
      <c r="K543" s="79">
        <f t="shared" si="451"/>
        <v>0</v>
      </c>
      <c r="L543" s="94">
        <f t="shared" si="452"/>
        <v>0</v>
      </c>
      <c r="N543" s="44"/>
      <c r="O543" s="15"/>
      <c r="P543" s="28"/>
      <c r="Q543" s="16"/>
      <c r="R543" s="19"/>
      <c r="S543" s="42">
        <f t="shared" si="453"/>
        <v>0</v>
      </c>
      <c r="T543" s="15"/>
      <c r="U543" s="28"/>
      <c r="V543" s="16"/>
      <c r="W543" s="31"/>
      <c r="X543" s="9">
        <f t="shared" si="454"/>
        <v>0</v>
      </c>
      <c r="Y543" s="94">
        <f>S543+X543</f>
        <v>0</v>
      </c>
    </row>
    <row r="544" spans="1:26" x14ac:dyDescent="0.15">
      <c r="A544" s="44"/>
      <c r="B544" s="15"/>
      <c r="C544" s="28"/>
      <c r="D544" s="16"/>
      <c r="E544" s="19"/>
      <c r="F544" s="42">
        <f t="shared" si="450"/>
        <v>0</v>
      </c>
      <c r="G544" s="15"/>
      <c r="H544" s="28"/>
      <c r="I544" s="16"/>
      <c r="J544" s="31"/>
      <c r="K544" s="79">
        <f t="shared" si="451"/>
        <v>0</v>
      </c>
      <c r="L544" s="94">
        <f t="shared" si="452"/>
        <v>0</v>
      </c>
      <c r="N544" s="44"/>
      <c r="O544" s="15"/>
      <c r="P544" s="28"/>
      <c r="Q544" s="16"/>
      <c r="R544" s="19"/>
      <c r="S544" s="42">
        <f t="shared" si="453"/>
        <v>0</v>
      </c>
      <c r="T544" s="15"/>
      <c r="U544" s="28"/>
      <c r="V544" s="16"/>
      <c r="W544" s="31"/>
      <c r="X544" s="9">
        <f t="shared" si="454"/>
        <v>0</v>
      </c>
      <c r="Y544" s="94">
        <f>S544+X544</f>
        <v>0</v>
      </c>
    </row>
    <row r="545" spans="1:25" x14ac:dyDescent="0.15">
      <c r="A545" s="44"/>
      <c r="B545" s="15"/>
      <c r="C545" s="28"/>
      <c r="D545" s="16"/>
      <c r="E545" s="19"/>
      <c r="F545" s="42">
        <f t="shared" si="450"/>
        <v>0</v>
      </c>
      <c r="G545" s="15"/>
      <c r="H545" s="28"/>
      <c r="I545" s="16"/>
      <c r="J545" s="31"/>
      <c r="K545" s="79">
        <f t="shared" si="451"/>
        <v>0</v>
      </c>
      <c r="L545" s="94">
        <f t="shared" si="452"/>
        <v>0</v>
      </c>
      <c r="N545" s="44"/>
      <c r="O545" s="15"/>
      <c r="P545" s="28"/>
      <c r="Q545" s="16"/>
      <c r="R545" s="19"/>
      <c r="S545" s="42">
        <f t="shared" si="453"/>
        <v>0</v>
      </c>
      <c r="T545" s="15"/>
      <c r="U545" s="28"/>
      <c r="V545" s="16"/>
      <c r="W545" s="31"/>
      <c r="X545" s="9">
        <f t="shared" si="454"/>
        <v>0</v>
      </c>
      <c r="Y545" s="94">
        <f t="shared" ref="Y545:Y568" si="455">S545+X545</f>
        <v>0</v>
      </c>
    </row>
    <row r="546" spans="1:25" x14ac:dyDescent="0.15">
      <c r="A546" s="44"/>
      <c r="B546" s="15"/>
      <c r="C546" s="28"/>
      <c r="D546" s="16"/>
      <c r="E546" s="19"/>
      <c r="F546" s="42">
        <f t="shared" si="450"/>
        <v>0</v>
      </c>
      <c r="G546" s="15"/>
      <c r="H546" s="28"/>
      <c r="I546" s="16"/>
      <c r="J546" s="31"/>
      <c r="K546" s="79">
        <f t="shared" si="451"/>
        <v>0</v>
      </c>
      <c r="L546" s="94">
        <f t="shared" si="452"/>
        <v>0</v>
      </c>
      <c r="N546" s="44"/>
      <c r="O546" s="15"/>
      <c r="P546" s="28"/>
      <c r="Q546" s="16"/>
      <c r="R546" s="19"/>
      <c r="S546" s="42">
        <f t="shared" si="453"/>
        <v>0</v>
      </c>
      <c r="T546" s="15"/>
      <c r="U546" s="28"/>
      <c r="V546" s="16"/>
      <c r="W546" s="31"/>
      <c r="X546" s="9">
        <f t="shared" si="454"/>
        <v>0</v>
      </c>
      <c r="Y546" s="94">
        <f t="shared" si="455"/>
        <v>0</v>
      </c>
    </row>
    <row r="547" spans="1:25" x14ac:dyDescent="0.15">
      <c r="A547" s="44"/>
      <c r="B547" s="15"/>
      <c r="C547" s="28"/>
      <c r="D547" s="16"/>
      <c r="E547" s="19"/>
      <c r="F547" s="42">
        <f t="shared" si="450"/>
        <v>0</v>
      </c>
      <c r="G547" s="15"/>
      <c r="H547" s="28"/>
      <c r="I547" s="16"/>
      <c r="J547" s="31"/>
      <c r="K547" s="79">
        <f t="shared" si="451"/>
        <v>0</v>
      </c>
      <c r="L547" s="94">
        <f t="shared" si="452"/>
        <v>0</v>
      </c>
      <c r="N547" s="44"/>
      <c r="O547" s="15"/>
      <c r="P547" s="28"/>
      <c r="Q547" s="16"/>
      <c r="R547" s="19"/>
      <c r="S547" s="42">
        <f t="shared" si="453"/>
        <v>0</v>
      </c>
      <c r="T547" s="15"/>
      <c r="U547" s="28"/>
      <c r="V547" s="16"/>
      <c r="W547" s="31"/>
      <c r="X547" s="9">
        <f t="shared" si="454"/>
        <v>0</v>
      </c>
      <c r="Y547" s="94">
        <f t="shared" si="455"/>
        <v>0</v>
      </c>
    </row>
    <row r="548" spans="1:25" x14ac:dyDescent="0.15">
      <c r="A548" s="44"/>
      <c r="B548" s="15"/>
      <c r="C548" s="28"/>
      <c r="D548" s="16"/>
      <c r="E548" s="19"/>
      <c r="F548" s="42">
        <f t="shared" si="450"/>
        <v>0</v>
      </c>
      <c r="G548" s="15"/>
      <c r="H548" s="28"/>
      <c r="I548" s="16"/>
      <c r="J548" s="31"/>
      <c r="K548" s="79">
        <f t="shared" si="451"/>
        <v>0</v>
      </c>
      <c r="L548" s="94">
        <f t="shared" si="452"/>
        <v>0</v>
      </c>
      <c r="N548" s="44"/>
      <c r="O548" s="15"/>
      <c r="P548" s="28"/>
      <c r="Q548" s="16"/>
      <c r="R548" s="19"/>
      <c r="S548" s="42">
        <f t="shared" si="453"/>
        <v>0</v>
      </c>
      <c r="T548" s="15"/>
      <c r="U548" s="28"/>
      <c r="V548" s="16"/>
      <c r="W548" s="31"/>
      <c r="X548" s="9">
        <f>SUM(T548:W548)</f>
        <v>0</v>
      </c>
      <c r="Y548" s="94">
        <f t="shared" si="455"/>
        <v>0</v>
      </c>
    </row>
    <row r="549" spans="1:25" x14ac:dyDescent="0.15">
      <c r="A549" s="44"/>
      <c r="B549" s="15"/>
      <c r="C549" s="28"/>
      <c r="D549" s="16"/>
      <c r="E549" s="19"/>
      <c r="F549" s="42">
        <f t="shared" si="450"/>
        <v>0</v>
      </c>
      <c r="G549" s="15"/>
      <c r="H549" s="28"/>
      <c r="I549" s="16"/>
      <c r="J549" s="31"/>
      <c r="K549" s="79">
        <f t="shared" si="451"/>
        <v>0</v>
      </c>
      <c r="L549" s="94">
        <f t="shared" si="452"/>
        <v>0</v>
      </c>
      <c r="N549" s="44"/>
      <c r="O549" s="15"/>
      <c r="P549" s="28"/>
      <c r="Q549" s="16"/>
      <c r="R549" s="19"/>
      <c r="S549" s="42">
        <f t="shared" si="453"/>
        <v>0</v>
      </c>
      <c r="T549" s="15"/>
      <c r="U549" s="28"/>
      <c r="V549" s="16"/>
      <c r="W549" s="31"/>
      <c r="X549" s="9">
        <f t="shared" ref="X549:X553" si="456">SUM(T549:W549)</f>
        <v>0</v>
      </c>
      <c r="Y549" s="94">
        <f t="shared" si="455"/>
        <v>0</v>
      </c>
    </row>
    <row r="550" spans="1:25" x14ac:dyDescent="0.15">
      <c r="A550" s="44"/>
      <c r="B550" s="15"/>
      <c r="C550" s="28"/>
      <c r="D550" s="16"/>
      <c r="E550" s="19"/>
      <c r="F550" s="42">
        <f t="shared" si="450"/>
        <v>0</v>
      </c>
      <c r="G550" s="15"/>
      <c r="H550" s="28"/>
      <c r="I550" s="16"/>
      <c r="J550" s="31"/>
      <c r="K550" s="79">
        <f t="shared" si="451"/>
        <v>0</v>
      </c>
      <c r="L550" s="94">
        <f t="shared" si="452"/>
        <v>0</v>
      </c>
      <c r="N550" s="44"/>
      <c r="O550" s="15"/>
      <c r="P550" s="28"/>
      <c r="Q550" s="16"/>
      <c r="R550" s="19"/>
      <c r="S550" s="42">
        <f t="shared" si="453"/>
        <v>0</v>
      </c>
      <c r="T550" s="15"/>
      <c r="U550" s="28"/>
      <c r="V550" s="16"/>
      <c r="W550" s="31"/>
      <c r="X550" s="9">
        <f t="shared" si="456"/>
        <v>0</v>
      </c>
      <c r="Y550" s="94">
        <f t="shared" si="455"/>
        <v>0</v>
      </c>
    </row>
    <row r="551" spans="1:25" x14ac:dyDescent="0.15">
      <c r="A551" s="44"/>
      <c r="B551" s="15"/>
      <c r="C551" s="28"/>
      <c r="D551" s="16"/>
      <c r="E551" s="19"/>
      <c r="F551" s="42">
        <f t="shared" si="450"/>
        <v>0</v>
      </c>
      <c r="G551" s="15"/>
      <c r="H551" s="28"/>
      <c r="I551" s="16"/>
      <c r="J551" s="31"/>
      <c r="K551" s="79">
        <f t="shared" si="451"/>
        <v>0</v>
      </c>
      <c r="L551" s="94">
        <f t="shared" si="452"/>
        <v>0</v>
      </c>
      <c r="N551" s="32"/>
      <c r="O551" s="15"/>
      <c r="P551" s="28"/>
      <c r="Q551" s="16"/>
      <c r="R551" s="19"/>
      <c r="S551" s="42">
        <f t="shared" si="453"/>
        <v>0</v>
      </c>
      <c r="T551" s="15"/>
      <c r="U551" s="28"/>
      <c r="V551" s="16"/>
      <c r="W551" s="31"/>
      <c r="X551" s="9">
        <f t="shared" si="456"/>
        <v>0</v>
      </c>
      <c r="Y551" s="94">
        <f t="shared" si="455"/>
        <v>0</v>
      </c>
    </row>
    <row r="552" spans="1:25" x14ac:dyDescent="0.15">
      <c r="A552" s="44"/>
      <c r="B552" s="15"/>
      <c r="C552" s="28"/>
      <c r="D552" s="16"/>
      <c r="E552" s="19"/>
      <c r="F552" s="42">
        <f t="shared" si="450"/>
        <v>0</v>
      </c>
      <c r="G552" s="15"/>
      <c r="H552" s="28"/>
      <c r="I552" s="16"/>
      <c r="J552" s="31"/>
      <c r="K552" s="79">
        <f t="shared" si="451"/>
        <v>0</v>
      </c>
      <c r="L552" s="94">
        <f t="shared" si="452"/>
        <v>0</v>
      </c>
      <c r="N552" s="44"/>
      <c r="O552" s="15"/>
      <c r="P552" s="28"/>
      <c r="Q552" s="16"/>
      <c r="R552" s="19"/>
      <c r="S552" s="42">
        <f t="shared" si="453"/>
        <v>0</v>
      </c>
      <c r="T552" s="15"/>
      <c r="U552" s="28"/>
      <c r="V552" s="16"/>
      <c r="W552" s="31"/>
      <c r="X552" s="9">
        <f t="shared" si="456"/>
        <v>0</v>
      </c>
      <c r="Y552" s="94">
        <f t="shared" si="455"/>
        <v>0</v>
      </c>
    </row>
    <row r="553" spans="1:25" x14ac:dyDescent="0.15">
      <c r="A553" s="44"/>
      <c r="B553" s="15"/>
      <c r="C553" s="28"/>
      <c r="D553" s="16"/>
      <c r="E553" s="19"/>
      <c r="F553" s="42">
        <f t="shared" si="450"/>
        <v>0</v>
      </c>
      <c r="G553" s="15"/>
      <c r="H553" s="28"/>
      <c r="I553" s="16"/>
      <c r="J553" s="31"/>
      <c r="K553" s="79">
        <f t="shared" si="451"/>
        <v>0</v>
      </c>
      <c r="L553" s="94">
        <f t="shared" si="452"/>
        <v>0</v>
      </c>
      <c r="N553" s="44"/>
      <c r="O553" s="15"/>
      <c r="P553" s="28"/>
      <c r="Q553" s="16"/>
      <c r="R553" s="19"/>
      <c r="S553" s="42">
        <f t="shared" si="453"/>
        <v>0</v>
      </c>
      <c r="T553" s="15"/>
      <c r="U553" s="28"/>
      <c r="V553" s="16"/>
      <c r="W553" s="31"/>
      <c r="X553" s="9">
        <f t="shared" si="456"/>
        <v>0</v>
      </c>
      <c r="Y553" s="94">
        <f t="shared" si="455"/>
        <v>0</v>
      </c>
    </row>
    <row r="554" spans="1:25" x14ac:dyDescent="0.15">
      <c r="A554" s="44"/>
      <c r="B554" s="15"/>
      <c r="C554" s="28"/>
      <c r="D554" s="16"/>
      <c r="E554" s="19"/>
      <c r="F554" s="42">
        <f t="shared" si="450"/>
        <v>0</v>
      </c>
      <c r="G554" s="15"/>
      <c r="H554" s="28"/>
      <c r="I554" s="16"/>
      <c r="J554" s="31"/>
      <c r="K554" s="79">
        <f t="shared" si="451"/>
        <v>0</v>
      </c>
      <c r="L554" s="94">
        <f t="shared" si="452"/>
        <v>0</v>
      </c>
      <c r="N554" s="44"/>
      <c r="O554" s="15"/>
      <c r="P554" s="28"/>
      <c r="Q554" s="16"/>
      <c r="R554" s="19"/>
      <c r="S554" s="42">
        <f t="shared" si="453"/>
        <v>0</v>
      </c>
      <c r="T554" s="15"/>
      <c r="U554" s="28"/>
      <c r="V554" s="16"/>
      <c r="W554" s="31"/>
      <c r="X554" s="9">
        <f>SUM(T554:W554)</f>
        <v>0</v>
      </c>
      <c r="Y554" s="94">
        <f t="shared" si="455"/>
        <v>0</v>
      </c>
    </row>
    <row r="555" spans="1:25" x14ac:dyDescent="0.15">
      <c r="A555" s="44"/>
      <c r="B555" s="15"/>
      <c r="C555" s="28"/>
      <c r="D555" s="16"/>
      <c r="E555" s="19"/>
      <c r="F555" s="42">
        <f t="shared" si="450"/>
        <v>0</v>
      </c>
      <c r="G555" s="15"/>
      <c r="H555" s="28"/>
      <c r="I555" s="16"/>
      <c r="J555" s="31"/>
      <c r="K555" s="79">
        <f t="shared" si="451"/>
        <v>0</v>
      </c>
      <c r="L555" s="94">
        <f t="shared" si="452"/>
        <v>0</v>
      </c>
      <c r="N555" s="44"/>
      <c r="O555" s="15"/>
      <c r="P555" s="28"/>
      <c r="Q555" s="16"/>
      <c r="R555" s="19"/>
      <c r="S555" s="42">
        <f t="shared" si="453"/>
        <v>0</v>
      </c>
      <c r="T555" s="15"/>
      <c r="U555" s="28"/>
      <c r="V555" s="16"/>
      <c r="W555" s="31"/>
      <c r="X555" s="9">
        <f>SUM(T555:W555)</f>
        <v>0</v>
      </c>
      <c r="Y555" s="94">
        <f t="shared" si="455"/>
        <v>0</v>
      </c>
    </row>
    <row r="556" spans="1:25" x14ac:dyDescent="0.15">
      <c r="A556" s="44"/>
      <c r="B556" s="15"/>
      <c r="C556" s="28"/>
      <c r="D556" s="16"/>
      <c r="E556" s="19"/>
      <c r="F556" s="42">
        <f t="shared" si="450"/>
        <v>0</v>
      </c>
      <c r="G556" s="15"/>
      <c r="H556" s="28"/>
      <c r="I556" s="16"/>
      <c r="J556" s="31"/>
      <c r="K556" s="79">
        <f t="shared" si="451"/>
        <v>0</v>
      </c>
      <c r="L556" s="94">
        <f t="shared" si="452"/>
        <v>0</v>
      </c>
      <c r="N556" s="32"/>
      <c r="O556" s="15"/>
      <c r="P556" s="28"/>
      <c r="Q556" s="16"/>
      <c r="R556" s="19"/>
      <c r="S556" s="42">
        <f t="shared" si="453"/>
        <v>0</v>
      </c>
      <c r="T556" s="15"/>
      <c r="U556" s="28"/>
      <c r="V556" s="16"/>
      <c r="W556" s="31"/>
      <c r="X556" s="9">
        <f t="shared" ref="X556:X567" si="457">SUM(T556:W556)</f>
        <v>0</v>
      </c>
      <c r="Y556" s="94">
        <f t="shared" si="455"/>
        <v>0</v>
      </c>
    </row>
    <row r="557" spans="1:25" x14ac:dyDescent="0.15">
      <c r="A557" s="44"/>
      <c r="B557" s="15"/>
      <c r="C557" s="28"/>
      <c r="D557" s="16"/>
      <c r="E557" s="19"/>
      <c r="F557" s="42">
        <f t="shared" si="450"/>
        <v>0</v>
      </c>
      <c r="G557" s="15"/>
      <c r="H557" s="28"/>
      <c r="I557" s="16"/>
      <c r="J557" s="31"/>
      <c r="K557" s="79">
        <f t="shared" si="451"/>
        <v>0</v>
      </c>
      <c r="L557" s="94">
        <f t="shared" si="452"/>
        <v>0</v>
      </c>
      <c r="N557" s="44"/>
      <c r="O557" s="15"/>
      <c r="P557" s="28"/>
      <c r="Q557" s="16"/>
      <c r="R557" s="19"/>
      <c r="S557" s="42">
        <f t="shared" si="453"/>
        <v>0</v>
      </c>
      <c r="T557" s="15"/>
      <c r="U557" s="28"/>
      <c r="V557" s="16"/>
      <c r="W557" s="31"/>
      <c r="X557" s="9">
        <f t="shared" si="457"/>
        <v>0</v>
      </c>
      <c r="Y557" s="94">
        <f t="shared" si="455"/>
        <v>0</v>
      </c>
    </row>
    <row r="558" spans="1:25" x14ac:dyDescent="0.15">
      <c r="A558" s="44"/>
      <c r="B558" s="15"/>
      <c r="C558" s="28"/>
      <c r="D558" s="16"/>
      <c r="E558" s="19"/>
      <c r="F558" s="42">
        <f t="shared" si="450"/>
        <v>0</v>
      </c>
      <c r="G558" s="15"/>
      <c r="H558" s="28"/>
      <c r="I558" s="16"/>
      <c r="J558" s="31"/>
      <c r="K558" s="79">
        <f t="shared" si="451"/>
        <v>0</v>
      </c>
      <c r="L558" s="94">
        <f t="shared" si="452"/>
        <v>0</v>
      </c>
      <c r="N558" s="44"/>
      <c r="O558" s="15"/>
      <c r="P558" s="28"/>
      <c r="Q558" s="16"/>
      <c r="R558" s="19"/>
      <c r="S558" s="42">
        <f t="shared" si="453"/>
        <v>0</v>
      </c>
      <c r="T558" s="15"/>
      <c r="U558" s="28"/>
      <c r="V558" s="16"/>
      <c r="W558" s="31"/>
      <c r="X558" s="9">
        <f t="shared" si="457"/>
        <v>0</v>
      </c>
      <c r="Y558" s="94">
        <f t="shared" si="455"/>
        <v>0</v>
      </c>
    </row>
    <row r="559" spans="1:25" x14ac:dyDescent="0.15">
      <c r="A559" s="44"/>
      <c r="B559" s="15"/>
      <c r="C559" s="28"/>
      <c r="D559" s="16"/>
      <c r="E559" s="19"/>
      <c r="F559" s="42">
        <f t="shared" si="450"/>
        <v>0</v>
      </c>
      <c r="G559" s="15"/>
      <c r="H559" s="28"/>
      <c r="I559" s="16"/>
      <c r="J559" s="31"/>
      <c r="K559" s="79">
        <f t="shared" si="451"/>
        <v>0</v>
      </c>
      <c r="L559" s="94">
        <f t="shared" si="452"/>
        <v>0</v>
      </c>
      <c r="N559" s="44"/>
      <c r="O559" s="15"/>
      <c r="P559" s="28"/>
      <c r="Q559" s="16"/>
      <c r="R559" s="19"/>
      <c r="S559" s="42">
        <f t="shared" si="453"/>
        <v>0</v>
      </c>
      <c r="T559" s="15"/>
      <c r="U559" s="28"/>
      <c r="V559" s="16"/>
      <c r="W559" s="31"/>
      <c r="X559" s="9">
        <f t="shared" si="457"/>
        <v>0</v>
      </c>
      <c r="Y559" s="94">
        <f t="shared" si="455"/>
        <v>0</v>
      </c>
    </row>
    <row r="560" spans="1:25" x14ac:dyDescent="0.15">
      <c r="A560" s="44"/>
      <c r="B560" s="15"/>
      <c r="C560" s="28"/>
      <c r="D560" s="16"/>
      <c r="E560" s="19"/>
      <c r="F560" s="42">
        <f t="shared" si="450"/>
        <v>0</v>
      </c>
      <c r="G560" s="15"/>
      <c r="H560" s="28"/>
      <c r="I560" s="16"/>
      <c r="J560" s="31"/>
      <c r="K560" s="79">
        <f>SUM(G560:J560)</f>
        <v>0</v>
      </c>
      <c r="L560" s="94">
        <f t="shared" si="452"/>
        <v>0</v>
      </c>
      <c r="N560" s="44"/>
      <c r="O560" s="15"/>
      <c r="P560" s="28"/>
      <c r="Q560" s="16"/>
      <c r="R560" s="19"/>
      <c r="S560" s="42">
        <f t="shared" si="453"/>
        <v>0</v>
      </c>
      <c r="T560" s="15"/>
      <c r="U560" s="28"/>
      <c r="V560" s="16"/>
      <c r="W560" s="31"/>
      <c r="X560" s="9">
        <f t="shared" si="457"/>
        <v>0</v>
      </c>
      <c r="Y560" s="94">
        <f t="shared" si="455"/>
        <v>0</v>
      </c>
    </row>
    <row r="561" spans="1:26" x14ac:dyDescent="0.15">
      <c r="A561" s="44"/>
      <c r="B561" s="15"/>
      <c r="C561" s="28"/>
      <c r="D561" s="16"/>
      <c r="E561" s="19"/>
      <c r="F561" s="42">
        <f t="shared" si="450"/>
        <v>0</v>
      </c>
      <c r="G561" s="15"/>
      <c r="H561" s="16"/>
      <c r="I561" s="28"/>
      <c r="J561" s="53"/>
      <c r="K561" s="79">
        <f t="shared" ref="K561:K567" si="458">SUM(G561:J561)</f>
        <v>0</v>
      </c>
      <c r="L561" s="94">
        <f t="shared" si="452"/>
        <v>0</v>
      </c>
      <c r="N561" s="44"/>
      <c r="O561" s="15"/>
      <c r="P561" s="28"/>
      <c r="Q561" s="16"/>
      <c r="R561" s="19"/>
      <c r="S561" s="42">
        <f t="shared" si="453"/>
        <v>0</v>
      </c>
      <c r="T561" s="15"/>
      <c r="U561" s="28"/>
      <c r="V561" s="16"/>
      <c r="W561" s="31"/>
      <c r="X561" s="9">
        <f t="shared" si="457"/>
        <v>0</v>
      </c>
      <c r="Y561" s="94">
        <f t="shared" si="455"/>
        <v>0</v>
      </c>
    </row>
    <row r="562" spans="1:26" x14ac:dyDescent="0.15">
      <c r="A562" s="44"/>
      <c r="B562" s="15"/>
      <c r="C562" s="28"/>
      <c r="D562" s="16"/>
      <c r="E562" s="19"/>
      <c r="F562" s="42">
        <f t="shared" si="450"/>
        <v>0</v>
      </c>
      <c r="G562" s="15"/>
      <c r="H562" s="28"/>
      <c r="I562" s="16"/>
      <c r="J562" s="31"/>
      <c r="K562" s="79">
        <f t="shared" si="458"/>
        <v>0</v>
      </c>
      <c r="L562" s="94">
        <f t="shared" si="452"/>
        <v>0</v>
      </c>
      <c r="N562" s="159" t="s">
        <v>365</v>
      </c>
      <c r="O562" s="90">
        <v>5</v>
      </c>
      <c r="P562" s="91">
        <v>5</v>
      </c>
      <c r="Q562" s="92">
        <v>5</v>
      </c>
      <c r="R562" s="161">
        <v>5</v>
      </c>
      <c r="S562" s="162">
        <f>SUM(O562:R562)</f>
        <v>20</v>
      </c>
      <c r="T562" s="90">
        <v>5</v>
      </c>
      <c r="U562" s="91">
        <v>5</v>
      </c>
      <c r="V562" s="92">
        <v>5</v>
      </c>
      <c r="W562" s="95">
        <v>5</v>
      </c>
      <c r="X562" s="93">
        <f t="shared" si="457"/>
        <v>20</v>
      </c>
      <c r="Y562" s="84">
        <f t="shared" si="455"/>
        <v>40</v>
      </c>
      <c r="Z562" s="132" t="s">
        <v>366</v>
      </c>
    </row>
    <row r="563" spans="1:26" x14ac:dyDescent="0.15">
      <c r="A563" s="44"/>
      <c r="B563" s="15"/>
      <c r="C563" s="28"/>
      <c r="D563" s="16"/>
      <c r="E563" s="19"/>
      <c r="F563" s="42">
        <f t="shared" si="450"/>
        <v>0</v>
      </c>
      <c r="G563" s="38"/>
      <c r="H563" s="39"/>
      <c r="I563" s="40"/>
      <c r="J563" s="52"/>
      <c r="K563" s="83">
        <f t="shared" si="458"/>
        <v>0</v>
      </c>
      <c r="L563" s="94">
        <f t="shared" si="452"/>
        <v>0</v>
      </c>
      <c r="N563" s="165" t="s">
        <v>96</v>
      </c>
      <c r="O563" s="182">
        <v>-10</v>
      </c>
      <c r="P563" s="183">
        <v>-10</v>
      </c>
      <c r="Q563" s="184">
        <v>-5</v>
      </c>
      <c r="R563" s="185">
        <v>-5</v>
      </c>
      <c r="S563" s="186">
        <f t="shared" ref="S563:S566" si="459">SUM(O563:R563)</f>
        <v>-30</v>
      </c>
      <c r="T563" s="182">
        <v>-10</v>
      </c>
      <c r="U563" s="183">
        <v>-10</v>
      </c>
      <c r="V563" s="184">
        <v>-5</v>
      </c>
      <c r="W563" s="185">
        <v>-5</v>
      </c>
      <c r="X563" s="186">
        <f t="shared" si="457"/>
        <v>-30</v>
      </c>
      <c r="Y563" s="164">
        <f t="shared" ref="Y563:Y566" si="460">S563+X563</f>
        <v>-60</v>
      </c>
      <c r="Z563" s="132"/>
    </row>
    <row r="564" spans="1:26" x14ac:dyDescent="0.15">
      <c r="A564" s="44"/>
      <c r="B564" s="15"/>
      <c r="C564" s="28"/>
      <c r="D564" s="16"/>
      <c r="E564" s="19"/>
      <c r="F564" s="42">
        <f t="shared" si="450"/>
        <v>0</v>
      </c>
      <c r="G564" s="15"/>
      <c r="H564" s="28"/>
      <c r="I564" s="16"/>
      <c r="J564" s="31"/>
      <c r="K564" s="79">
        <f t="shared" si="458"/>
        <v>0</v>
      </c>
      <c r="L564" s="94">
        <f t="shared" si="452"/>
        <v>0</v>
      </c>
      <c r="N564" s="89" t="s">
        <v>342</v>
      </c>
      <c r="O564" s="90">
        <v>20</v>
      </c>
      <c r="P564" s="91">
        <v>30</v>
      </c>
      <c r="Q564" s="92">
        <v>30</v>
      </c>
      <c r="R564" s="161">
        <v>40</v>
      </c>
      <c r="S564" s="162">
        <f t="shared" si="459"/>
        <v>120</v>
      </c>
      <c r="T564" s="90">
        <v>20</v>
      </c>
      <c r="U564" s="91">
        <v>30</v>
      </c>
      <c r="V564" s="92">
        <v>20</v>
      </c>
      <c r="W564" s="95">
        <v>40</v>
      </c>
      <c r="X564" s="93">
        <f t="shared" ref="X564:X566" si="461">SUM(T564:W564)</f>
        <v>110</v>
      </c>
      <c r="Y564" s="160">
        <f t="shared" si="460"/>
        <v>230</v>
      </c>
      <c r="Z564" s="132" t="s">
        <v>356</v>
      </c>
    </row>
    <row r="565" spans="1:26" x14ac:dyDescent="0.15">
      <c r="A565" s="44"/>
      <c r="B565" s="15"/>
      <c r="C565" s="28"/>
      <c r="D565" s="16"/>
      <c r="E565" s="19"/>
      <c r="F565" s="42">
        <f t="shared" si="450"/>
        <v>0</v>
      </c>
      <c r="G565" s="15"/>
      <c r="H565" s="28"/>
      <c r="I565" s="16"/>
      <c r="J565" s="31"/>
      <c r="K565" s="79">
        <f t="shared" si="458"/>
        <v>0</v>
      </c>
      <c r="L565" s="94">
        <f t="shared" si="452"/>
        <v>0</v>
      </c>
      <c r="N565" s="227" t="s">
        <v>359</v>
      </c>
      <c r="O565" s="182">
        <v>-25</v>
      </c>
      <c r="P565" s="183">
        <v>-15</v>
      </c>
      <c r="Q565" s="184">
        <v>-15</v>
      </c>
      <c r="R565" s="185">
        <v>-15</v>
      </c>
      <c r="S565" s="186">
        <f t="shared" si="459"/>
        <v>-70</v>
      </c>
      <c r="T565" s="182">
        <v>-25</v>
      </c>
      <c r="U565" s="183">
        <v>-15</v>
      </c>
      <c r="V565" s="184">
        <v>-15</v>
      </c>
      <c r="W565" s="187">
        <v>-15</v>
      </c>
      <c r="X565" s="181">
        <f t="shared" si="461"/>
        <v>-70</v>
      </c>
      <c r="Y565" s="164">
        <f t="shared" si="460"/>
        <v>-140</v>
      </c>
      <c r="Z565" s="219"/>
    </row>
    <row r="566" spans="1:26" ht="14.25" thickBot="1" x14ac:dyDescent="0.2">
      <c r="A566" s="44"/>
      <c r="B566" s="34"/>
      <c r="C566" s="35"/>
      <c r="D566" s="36"/>
      <c r="E566" s="37"/>
      <c r="F566" s="42">
        <f t="shared" si="450"/>
        <v>0</v>
      </c>
      <c r="G566" s="34"/>
      <c r="H566" s="36"/>
      <c r="I566" s="35"/>
      <c r="J566" s="64"/>
      <c r="K566" s="80">
        <f t="shared" si="458"/>
        <v>0</v>
      </c>
      <c r="L566" s="106">
        <f t="shared" si="452"/>
        <v>0</v>
      </c>
      <c r="N566" s="141" t="s">
        <v>358</v>
      </c>
      <c r="O566" s="188">
        <v>40</v>
      </c>
      <c r="P566" s="189">
        <v>40</v>
      </c>
      <c r="Q566" s="190">
        <v>40</v>
      </c>
      <c r="R566" s="191">
        <v>40</v>
      </c>
      <c r="S566" s="138">
        <f t="shared" si="459"/>
        <v>160</v>
      </c>
      <c r="T566" s="188">
        <v>40</v>
      </c>
      <c r="U566" s="189">
        <v>40</v>
      </c>
      <c r="V566" s="190">
        <v>40</v>
      </c>
      <c r="W566" s="192">
        <v>40</v>
      </c>
      <c r="X566" s="139">
        <f t="shared" si="461"/>
        <v>160</v>
      </c>
      <c r="Y566" s="140">
        <f t="shared" si="460"/>
        <v>320</v>
      </c>
      <c r="Z566" s="132" t="s">
        <v>360</v>
      </c>
    </row>
    <row r="567" spans="1:26" ht="14.25" thickBot="1" x14ac:dyDescent="0.2">
      <c r="A567" s="12" t="s">
        <v>8</v>
      </c>
      <c r="B567" s="21">
        <f>SUM(B542:B566)</f>
        <v>0</v>
      </c>
      <c r="C567" s="29">
        <f>SUM(C542:C566)</f>
        <v>0</v>
      </c>
      <c r="D567" s="22">
        <f>SUM(D542:D566)</f>
        <v>0</v>
      </c>
      <c r="E567" s="23">
        <f>SUM(E542:E566)</f>
        <v>0</v>
      </c>
      <c r="F567" s="20">
        <f>SUM(B567:E567)</f>
        <v>0</v>
      </c>
      <c r="G567" s="21">
        <f>SUM(G542:G566)</f>
        <v>0</v>
      </c>
      <c r="H567" s="29">
        <f>SUM(H542:H566)</f>
        <v>0</v>
      </c>
      <c r="I567" s="22">
        <f>SUM(I542:I566)</f>
        <v>0</v>
      </c>
      <c r="J567" s="23">
        <f>SUM(J542:J566)</f>
        <v>0</v>
      </c>
      <c r="K567" s="81">
        <f t="shared" si="458"/>
        <v>0</v>
      </c>
      <c r="L567" s="107">
        <f t="shared" si="452"/>
        <v>0</v>
      </c>
      <c r="N567" s="110" t="s">
        <v>8</v>
      </c>
      <c r="O567" s="21">
        <f>SUM(O542:O566)</f>
        <v>30</v>
      </c>
      <c r="P567" s="29">
        <f>SUM(P542:P566)</f>
        <v>50</v>
      </c>
      <c r="Q567" s="22">
        <f>SUM(Q542:Q566)</f>
        <v>55</v>
      </c>
      <c r="R567" s="23">
        <f>SUM(R542:R566)</f>
        <v>65</v>
      </c>
      <c r="S567" s="45">
        <f>SUM(O567:R567)</f>
        <v>200</v>
      </c>
      <c r="T567" s="21">
        <f>SUM(T542:T566)</f>
        <v>30</v>
      </c>
      <c r="U567" s="29">
        <f>SUM(U542:U566)</f>
        <v>50</v>
      </c>
      <c r="V567" s="22">
        <f>SUM(V542:V566)</f>
        <v>45</v>
      </c>
      <c r="W567" s="23">
        <f>SUM(W542:W566)</f>
        <v>65</v>
      </c>
      <c r="X567" s="45">
        <f t="shared" si="457"/>
        <v>190</v>
      </c>
      <c r="Y567" s="111">
        <f t="shared" si="455"/>
        <v>390</v>
      </c>
    </row>
    <row r="568" spans="1:26" ht="14.25" thickBot="1" x14ac:dyDescent="0.2">
      <c r="A568" s="13" t="s">
        <v>9</v>
      </c>
      <c r="B568" s="24">
        <f t="shared" ref="B568:K568" si="462">B541-B567</f>
        <v>6</v>
      </c>
      <c r="C568" s="30">
        <f t="shared" si="462"/>
        <v>3</v>
      </c>
      <c r="D568" s="25">
        <f t="shared" si="462"/>
        <v>3</v>
      </c>
      <c r="E568" s="26">
        <f t="shared" si="462"/>
        <v>3</v>
      </c>
      <c r="F568" s="71">
        <f t="shared" si="462"/>
        <v>15</v>
      </c>
      <c r="G568" s="24">
        <f t="shared" si="462"/>
        <v>3</v>
      </c>
      <c r="H568" s="30">
        <f t="shared" si="462"/>
        <v>3</v>
      </c>
      <c r="I568" s="25">
        <f t="shared" si="462"/>
        <v>0</v>
      </c>
      <c r="J568" s="26">
        <f t="shared" si="462"/>
        <v>2</v>
      </c>
      <c r="K568" s="82">
        <f t="shared" si="462"/>
        <v>8</v>
      </c>
      <c r="L568" s="86">
        <f t="shared" si="452"/>
        <v>23</v>
      </c>
      <c r="N568" s="13" t="s">
        <v>9</v>
      </c>
      <c r="O568" s="24">
        <f t="shared" ref="O568:X568" si="463">O541-O567</f>
        <v>66</v>
      </c>
      <c r="P568" s="30">
        <f t="shared" si="463"/>
        <v>173</v>
      </c>
      <c r="Q568" s="25">
        <f t="shared" si="463"/>
        <v>178</v>
      </c>
      <c r="R568" s="26">
        <f t="shared" si="463"/>
        <v>56</v>
      </c>
      <c r="S568" s="71">
        <f t="shared" si="463"/>
        <v>473</v>
      </c>
      <c r="T568" s="24">
        <f t="shared" si="463"/>
        <v>63</v>
      </c>
      <c r="U568" s="30">
        <f t="shared" si="463"/>
        <v>142</v>
      </c>
      <c r="V568" s="25">
        <f t="shared" si="463"/>
        <v>135</v>
      </c>
      <c r="W568" s="26">
        <f t="shared" si="463"/>
        <v>186</v>
      </c>
      <c r="X568" s="33">
        <f t="shared" si="463"/>
        <v>526</v>
      </c>
      <c r="Y568" s="86">
        <f t="shared" si="455"/>
        <v>999</v>
      </c>
    </row>
  </sheetData>
  <mergeCells count="90">
    <mergeCell ref="Y268:Y269"/>
    <mergeCell ref="B268:F268"/>
    <mergeCell ref="G268:K268"/>
    <mergeCell ref="L268:L269"/>
    <mergeCell ref="O268:S268"/>
    <mergeCell ref="T268:X268"/>
    <mergeCell ref="Y116:Y117"/>
    <mergeCell ref="B116:F116"/>
    <mergeCell ref="G116:K116"/>
    <mergeCell ref="L116:L117"/>
    <mergeCell ref="O116:S116"/>
    <mergeCell ref="T116:X116"/>
    <mergeCell ref="O78:S78"/>
    <mergeCell ref="T78:X78"/>
    <mergeCell ref="Y78:Y79"/>
    <mergeCell ref="B78:F78"/>
    <mergeCell ref="G78:K78"/>
    <mergeCell ref="L78:L79"/>
    <mergeCell ref="L40:L41"/>
    <mergeCell ref="L2:L3"/>
    <mergeCell ref="B2:F2"/>
    <mergeCell ref="G2:K2"/>
    <mergeCell ref="B40:F40"/>
    <mergeCell ref="G40:K40"/>
    <mergeCell ref="Y2:Y3"/>
    <mergeCell ref="Y40:Y41"/>
    <mergeCell ref="T2:X2"/>
    <mergeCell ref="O40:S40"/>
    <mergeCell ref="T40:X40"/>
    <mergeCell ref="O2:S2"/>
    <mergeCell ref="Y154:Y155"/>
    <mergeCell ref="B154:F154"/>
    <mergeCell ref="G154:K154"/>
    <mergeCell ref="L154:L155"/>
    <mergeCell ref="O154:S154"/>
    <mergeCell ref="T154:X154"/>
    <mergeCell ref="O192:S192"/>
    <mergeCell ref="T192:X192"/>
    <mergeCell ref="Y192:Y193"/>
    <mergeCell ref="B192:F192"/>
    <mergeCell ref="G192:K192"/>
    <mergeCell ref="L192:L193"/>
    <mergeCell ref="Y230:Y231"/>
    <mergeCell ref="B230:F230"/>
    <mergeCell ref="G230:K230"/>
    <mergeCell ref="L230:L231"/>
    <mergeCell ref="O230:S230"/>
    <mergeCell ref="T230:X230"/>
    <mergeCell ref="O306:S306"/>
    <mergeCell ref="T306:X306"/>
    <mergeCell ref="Y306:Y307"/>
    <mergeCell ref="O344:S344"/>
    <mergeCell ref="T344:X344"/>
    <mergeCell ref="Y344:Y345"/>
    <mergeCell ref="B306:F306"/>
    <mergeCell ref="G306:K306"/>
    <mergeCell ref="L306:L307"/>
    <mergeCell ref="B344:F344"/>
    <mergeCell ref="G344:K344"/>
    <mergeCell ref="L344:L345"/>
    <mergeCell ref="Y382:Y383"/>
    <mergeCell ref="B382:F382"/>
    <mergeCell ref="G382:K382"/>
    <mergeCell ref="L382:L383"/>
    <mergeCell ref="O382:S382"/>
    <mergeCell ref="T382:X382"/>
    <mergeCell ref="Y420:Y421"/>
    <mergeCell ref="B420:F420"/>
    <mergeCell ref="G420:K420"/>
    <mergeCell ref="L420:L421"/>
    <mergeCell ref="O420:S420"/>
    <mergeCell ref="T420:X420"/>
    <mergeCell ref="O458:S458"/>
    <mergeCell ref="T458:X458"/>
    <mergeCell ref="Y458:Y459"/>
    <mergeCell ref="B458:F458"/>
    <mergeCell ref="G458:K458"/>
    <mergeCell ref="L458:L459"/>
    <mergeCell ref="O496:S496"/>
    <mergeCell ref="T496:X496"/>
    <mergeCell ref="Y496:Y497"/>
    <mergeCell ref="B496:F496"/>
    <mergeCell ref="G496:K496"/>
    <mergeCell ref="L496:L497"/>
    <mergeCell ref="Y534:Y535"/>
    <mergeCell ref="B534:F534"/>
    <mergeCell ref="G534:K534"/>
    <mergeCell ref="L534:L535"/>
    <mergeCell ref="O534:S534"/>
    <mergeCell ref="T534:X534"/>
  </mergeCells>
  <phoneticPr fontId="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体型カバー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聡祐 松島</cp:lastModifiedBy>
  <dcterms:created xsi:type="dcterms:W3CDTF">2014-11-17T01:36:50Z</dcterms:created>
  <dcterms:modified xsi:type="dcterms:W3CDTF">2026-07-15T05:20:49Z</dcterms:modified>
</cp:coreProperties>
</file>