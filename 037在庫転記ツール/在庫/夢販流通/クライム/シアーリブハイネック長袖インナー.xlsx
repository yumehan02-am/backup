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クライム\"/>
    </mc:Choice>
  </mc:AlternateContent>
  <xr:revisionPtr revIDLastSave="0" documentId="13_ncr:1_{305B0521-1D6D-4319-B40A-EC337A22ED97}" xr6:coauthVersionLast="47" xr6:coauthVersionMax="47" xr10:uidLastSave="{00000000-0000-0000-0000-000000000000}"/>
  <bookViews>
    <workbookView xWindow="-120" yWindow="-120" windowWidth="29040" windowHeight="15840" tabRatio="57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7" i="1" l="1"/>
  <c r="P297" i="1"/>
  <c r="Q297" i="1"/>
  <c r="Q340" i="1"/>
  <c r="P340" i="1"/>
  <c r="M340" i="1"/>
  <c r="M307" i="1"/>
  <c r="P307" i="1"/>
  <c r="Q307" i="1" s="1"/>
  <c r="M308" i="1"/>
  <c r="P308" i="1"/>
  <c r="Q308" i="1"/>
  <c r="M309" i="1"/>
  <c r="P309" i="1"/>
  <c r="Q309" i="1" s="1"/>
  <c r="M310" i="1"/>
  <c r="P310" i="1"/>
  <c r="Q310" i="1"/>
  <c r="M315" i="1"/>
  <c r="P315" i="1"/>
  <c r="Q315" i="1" s="1"/>
  <c r="M316" i="1"/>
  <c r="P316" i="1"/>
  <c r="Q316" i="1"/>
  <c r="M317" i="1"/>
  <c r="P317" i="1"/>
  <c r="Q317" i="1" s="1"/>
  <c r="D315" i="1"/>
  <c r="G315" i="1"/>
  <c r="H315" i="1" s="1"/>
  <c r="D316" i="1"/>
  <c r="G316" i="1"/>
  <c r="H316" i="1"/>
  <c r="D317" i="1"/>
  <c r="G317" i="1"/>
  <c r="H317" i="1" s="1"/>
  <c r="D318" i="1"/>
  <c r="G318" i="1"/>
  <c r="D319" i="1"/>
  <c r="G319" i="1"/>
  <c r="H319" i="1" s="1"/>
  <c r="D320" i="1"/>
  <c r="G320" i="1"/>
  <c r="H320" i="1"/>
  <c r="D321" i="1"/>
  <c r="G321" i="1"/>
  <c r="H321" i="1" s="1"/>
  <c r="D322" i="1"/>
  <c r="G322" i="1"/>
  <c r="H322" i="1"/>
  <c r="D323" i="1"/>
  <c r="G323" i="1"/>
  <c r="H323" i="1" s="1"/>
  <c r="D324" i="1"/>
  <c r="G324" i="1"/>
  <c r="H324" i="1"/>
  <c r="D325" i="1"/>
  <c r="G325" i="1"/>
  <c r="H325" i="1" s="1"/>
  <c r="D326" i="1"/>
  <c r="G326" i="1"/>
  <c r="H326" i="1"/>
  <c r="D327" i="1"/>
  <c r="G327" i="1"/>
  <c r="H327" i="1" s="1"/>
  <c r="D328" i="1"/>
  <c r="G328" i="1"/>
  <c r="H328" i="1"/>
  <c r="D329" i="1"/>
  <c r="G329" i="1"/>
  <c r="H329" i="1" s="1"/>
  <c r="D330" i="1"/>
  <c r="G330" i="1"/>
  <c r="H330" i="1"/>
  <c r="D331" i="1"/>
  <c r="G331" i="1"/>
  <c r="H331" i="1" s="1"/>
  <c r="D332" i="1"/>
  <c r="G332" i="1"/>
  <c r="H332" i="1"/>
  <c r="D333" i="1"/>
  <c r="G333" i="1"/>
  <c r="H333" i="1" s="1"/>
  <c r="D334" i="1"/>
  <c r="G334" i="1"/>
  <c r="H334" i="1"/>
  <c r="D335" i="1"/>
  <c r="G335" i="1"/>
  <c r="H335" i="1" s="1"/>
  <c r="D336" i="1"/>
  <c r="G336" i="1"/>
  <c r="H336" i="1"/>
  <c r="D306" i="1"/>
  <c r="G306" i="1"/>
  <c r="H306" i="1" s="1"/>
  <c r="D307" i="1"/>
  <c r="G307" i="1"/>
  <c r="H307" i="1"/>
  <c r="D308" i="1"/>
  <c r="G308" i="1"/>
  <c r="H308" i="1" s="1"/>
  <c r="D309" i="1"/>
  <c r="G309" i="1"/>
  <c r="H309" i="1" s="1"/>
  <c r="O341" i="1"/>
  <c r="N341" i="1"/>
  <c r="L341" i="1"/>
  <c r="K341" i="1"/>
  <c r="F341" i="1"/>
  <c r="E341" i="1"/>
  <c r="C341" i="1"/>
  <c r="B341" i="1"/>
  <c r="D341" i="1" s="1"/>
  <c r="H340" i="1"/>
  <c r="G340" i="1"/>
  <c r="D340" i="1"/>
  <c r="Q339" i="1"/>
  <c r="P339" i="1"/>
  <c r="M339" i="1"/>
  <c r="H339" i="1"/>
  <c r="G339" i="1"/>
  <c r="D339" i="1"/>
  <c r="Q338" i="1"/>
  <c r="P338" i="1"/>
  <c r="M338" i="1"/>
  <c r="H338" i="1"/>
  <c r="G338" i="1"/>
  <c r="D338" i="1"/>
  <c r="Q337" i="1"/>
  <c r="P337" i="1"/>
  <c r="M337" i="1"/>
  <c r="H337" i="1"/>
  <c r="G337" i="1"/>
  <c r="D337" i="1"/>
  <c r="Q336" i="1"/>
  <c r="P336" i="1"/>
  <c r="M336" i="1"/>
  <c r="Q335" i="1"/>
  <c r="P335" i="1"/>
  <c r="M335" i="1"/>
  <c r="Q334" i="1"/>
  <c r="P334" i="1"/>
  <c r="M334" i="1"/>
  <c r="Q333" i="1"/>
  <c r="P333" i="1"/>
  <c r="M333" i="1"/>
  <c r="Q332" i="1"/>
  <c r="P332" i="1"/>
  <c r="M332" i="1"/>
  <c r="Q331" i="1"/>
  <c r="P331" i="1"/>
  <c r="M331" i="1"/>
  <c r="Q330" i="1"/>
  <c r="P330" i="1"/>
  <c r="M330" i="1"/>
  <c r="Q329" i="1"/>
  <c r="P329" i="1"/>
  <c r="M329" i="1"/>
  <c r="Q328" i="1"/>
  <c r="P328" i="1"/>
  <c r="M328" i="1"/>
  <c r="Q327" i="1"/>
  <c r="P327" i="1"/>
  <c r="M327" i="1"/>
  <c r="Q326" i="1"/>
  <c r="P326" i="1"/>
  <c r="M326" i="1"/>
  <c r="Q325" i="1"/>
  <c r="P325" i="1"/>
  <c r="M325" i="1"/>
  <c r="Q324" i="1"/>
  <c r="P324" i="1"/>
  <c r="M324" i="1"/>
  <c r="Q323" i="1"/>
  <c r="P323" i="1"/>
  <c r="M323" i="1"/>
  <c r="Q322" i="1"/>
  <c r="P322" i="1"/>
  <c r="M322" i="1"/>
  <c r="Q321" i="1"/>
  <c r="P321" i="1"/>
  <c r="M321" i="1"/>
  <c r="Q320" i="1"/>
  <c r="P320" i="1"/>
  <c r="M320" i="1"/>
  <c r="Q319" i="1"/>
  <c r="P319" i="1"/>
  <c r="M319" i="1"/>
  <c r="Q318" i="1"/>
  <c r="P318" i="1"/>
  <c r="M318" i="1"/>
  <c r="P313" i="1"/>
  <c r="Q313" i="1" s="1"/>
  <c r="M313" i="1"/>
  <c r="G313" i="1"/>
  <c r="D313" i="1"/>
  <c r="H313" i="1" s="1"/>
  <c r="P312" i="1"/>
  <c r="Q312" i="1" s="1"/>
  <c r="M312" i="1"/>
  <c r="G312" i="1"/>
  <c r="D312" i="1"/>
  <c r="H312" i="1" s="1"/>
  <c r="P311" i="1"/>
  <c r="Q311" i="1" s="1"/>
  <c r="M311" i="1"/>
  <c r="G311" i="1"/>
  <c r="D311" i="1"/>
  <c r="H311" i="1" s="1"/>
  <c r="G310" i="1"/>
  <c r="D310" i="1"/>
  <c r="H310" i="1" s="1"/>
  <c r="Q306" i="1"/>
  <c r="P306" i="1"/>
  <c r="M306" i="1"/>
  <c r="M296" i="1"/>
  <c r="P296" i="1"/>
  <c r="Q296" i="1" s="1"/>
  <c r="M272" i="1"/>
  <c r="P272" i="1"/>
  <c r="Q272" i="1" s="1"/>
  <c r="M273" i="1"/>
  <c r="Q273" i="1" s="1"/>
  <c r="P273" i="1"/>
  <c r="M274" i="1"/>
  <c r="P274" i="1"/>
  <c r="Q274" i="1" s="1"/>
  <c r="M275" i="1"/>
  <c r="P275" i="1"/>
  <c r="Q275" i="1"/>
  <c r="M276" i="1"/>
  <c r="P276" i="1"/>
  <c r="M277" i="1"/>
  <c r="P277" i="1"/>
  <c r="Q277" i="1"/>
  <c r="M278" i="1"/>
  <c r="P278" i="1"/>
  <c r="F298" i="1"/>
  <c r="E298" i="1"/>
  <c r="C298" i="1"/>
  <c r="B298" i="1"/>
  <c r="O298" i="1"/>
  <c r="N298" i="1"/>
  <c r="L298" i="1"/>
  <c r="K298" i="1"/>
  <c r="G297" i="1"/>
  <c r="D297" i="1"/>
  <c r="H297" i="1" s="1"/>
  <c r="G296" i="1"/>
  <c r="D296" i="1"/>
  <c r="P295" i="1"/>
  <c r="M295" i="1"/>
  <c r="Q295" i="1" s="1"/>
  <c r="G295" i="1"/>
  <c r="D295" i="1"/>
  <c r="P294" i="1"/>
  <c r="M294" i="1"/>
  <c r="Q294" i="1" s="1"/>
  <c r="G294" i="1"/>
  <c r="D294" i="1"/>
  <c r="P293" i="1"/>
  <c r="M293" i="1"/>
  <c r="Q293" i="1" s="1"/>
  <c r="G293" i="1"/>
  <c r="D293" i="1"/>
  <c r="H293" i="1" s="1"/>
  <c r="P292" i="1"/>
  <c r="M292" i="1"/>
  <c r="Q292" i="1" s="1"/>
  <c r="G292" i="1"/>
  <c r="D292" i="1"/>
  <c r="H292" i="1" s="1"/>
  <c r="P291" i="1"/>
  <c r="M291" i="1"/>
  <c r="Q291" i="1" s="1"/>
  <c r="G291" i="1"/>
  <c r="D291" i="1"/>
  <c r="H291" i="1" s="1"/>
  <c r="P290" i="1"/>
  <c r="M290" i="1"/>
  <c r="Q290" i="1" s="1"/>
  <c r="G290" i="1"/>
  <c r="D290" i="1"/>
  <c r="H290" i="1" s="1"/>
  <c r="P289" i="1"/>
  <c r="M289" i="1"/>
  <c r="Q289" i="1" s="1"/>
  <c r="G289" i="1"/>
  <c r="D289" i="1"/>
  <c r="H289" i="1" s="1"/>
  <c r="P288" i="1"/>
  <c r="M288" i="1"/>
  <c r="Q288" i="1" s="1"/>
  <c r="G288" i="1"/>
  <c r="D288" i="1"/>
  <c r="H288" i="1" s="1"/>
  <c r="P287" i="1"/>
  <c r="M287" i="1"/>
  <c r="Q287" i="1" s="1"/>
  <c r="G287" i="1"/>
  <c r="D287" i="1"/>
  <c r="H287" i="1" s="1"/>
  <c r="P286" i="1"/>
  <c r="M286" i="1"/>
  <c r="Q286" i="1" s="1"/>
  <c r="G286" i="1"/>
  <c r="D286" i="1"/>
  <c r="H286" i="1" s="1"/>
  <c r="P285" i="1"/>
  <c r="M285" i="1"/>
  <c r="Q285" i="1" s="1"/>
  <c r="G285" i="1"/>
  <c r="D285" i="1"/>
  <c r="H285" i="1" s="1"/>
  <c r="P284" i="1"/>
  <c r="M284" i="1"/>
  <c r="Q284" i="1" s="1"/>
  <c r="G284" i="1"/>
  <c r="D284" i="1"/>
  <c r="H284" i="1" s="1"/>
  <c r="P283" i="1"/>
  <c r="M283" i="1"/>
  <c r="Q283" i="1" s="1"/>
  <c r="G283" i="1"/>
  <c r="D283" i="1"/>
  <c r="H283" i="1" s="1"/>
  <c r="P282" i="1"/>
  <c r="M282" i="1"/>
  <c r="Q282" i="1" s="1"/>
  <c r="G282" i="1"/>
  <c r="D282" i="1"/>
  <c r="H282" i="1" s="1"/>
  <c r="P281" i="1"/>
  <c r="M281" i="1"/>
  <c r="Q281" i="1" s="1"/>
  <c r="G281" i="1"/>
  <c r="D281" i="1"/>
  <c r="H281" i="1" s="1"/>
  <c r="P280" i="1"/>
  <c r="M280" i="1"/>
  <c r="G280" i="1"/>
  <c r="D280" i="1"/>
  <c r="P279" i="1"/>
  <c r="M279" i="1"/>
  <c r="Q279" i="1" s="1"/>
  <c r="G279" i="1"/>
  <c r="D279" i="1"/>
  <c r="H279" i="1" s="1"/>
  <c r="G278" i="1"/>
  <c r="D278" i="1"/>
  <c r="H278" i="1" s="1"/>
  <c r="G277" i="1"/>
  <c r="D277" i="1"/>
  <c r="H277" i="1" s="1"/>
  <c r="G276" i="1"/>
  <c r="D276" i="1"/>
  <c r="H276" i="1" s="1"/>
  <c r="G275" i="1"/>
  <c r="D275" i="1"/>
  <c r="H275" i="1" s="1"/>
  <c r="G274" i="1"/>
  <c r="D274" i="1"/>
  <c r="H274" i="1" s="1"/>
  <c r="G273" i="1"/>
  <c r="D273" i="1"/>
  <c r="H273" i="1" s="1"/>
  <c r="G272" i="1"/>
  <c r="D272" i="1"/>
  <c r="H272" i="1" s="1"/>
  <c r="P270" i="1"/>
  <c r="M270" i="1"/>
  <c r="G270" i="1"/>
  <c r="D270" i="1"/>
  <c r="P269" i="1"/>
  <c r="M269" i="1"/>
  <c r="Q269" i="1" s="1"/>
  <c r="G269" i="1"/>
  <c r="D269" i="1"/>
  <c r="P268" i="1"/>
  <c r="M268" i="1"/>
  <c r="G268" i="1"/>
  <c r="D268" i="1"/>
  <c r="P267" i="1"/>
  <c r="M267" i="1"/>
  <c r="Q267" i="1" s="1"/>
  <c r="G267" i="1"/>
  <c r="D267" i="1"/>
  <c r="P266" i="1"/>
  <c r="M266" i="1"/>
  <c r="G266" i="1"/>
  <c r="D266" i="1"/>
  <c r="P265" i="1"/>
  <c r="M265" i="1"/>
  <c r="Q265" i="1" s="1"/>
  <c r="G265" i="1"/>
  <c r="D265" i="1"/>
  <c r="P264" i="1"/>
  <c r="M264" i="1"/>
  <c r="G264" i="1"/>
  <c r="D264" i="1"/>
  <c r="P263" i="1"/>
  <c r="M263" i="1"/>
  <c r="Q263" i="1" s="1"/>
  <c r="G263" i="1"/>
  <c r="D263" i="1"/>
  <c r="G225" i="1"/>
  <c r="D225" i="1"/>
  <c r="H225" i="1" s="1"/>
  <c r="M222" i="1"/>
  <c r="P222" i="1"/>
  <c r="M223" i="1"/>
  <c r="P223" i="1"/>
  <c r="Q223" i="1"/>
  <c r="M206" i="1"/>
  <c r="P206" i="1"/>
  <c r="M207" i="1"/>
  <c r="P207" i="1"/>
  <c r="Q207" i="1" s="1"/>
  <c r="M208" i="1"/>
  <c r="P208" i="1"/>
  <c r="Q208" i="1" s="1"/>
  <c r="K212" i="1"/>
  <c r="M209" i="1"/>
  <c r="P209" i="1"/>
  <c r="M210" i="1"/>
  <c r="P210" i="1"/>
  <c r="M211" i="1"/>
  <c r="P211" i="1"/>
  <c r="M229" i="1"/>
  <c r="P229" i="1"/>
  <c r="M249" i="1"/>
  <c r="P249" i="1"/>
  <c r="M250" i="1"/>
  <c r="P250" i="1"/>
  <c r="Q250" i="1"/>
  <c r="M251" i="1"/>
  <c r="P251" i="1"/>
  <c r="Q251" i="1" s="1"/>
  <c r="M252" i="1"/>
  <c r="Q252" i="1" s="1"/>
  <c r="P252" i="1"/>
  <c r="O255" i="1"/>
  <c r="N255" i="1"/>
  <c r="L255" i="1"/>
  <c r="K255" i="1"/>
  <c r="F255" i="1"/>
  <c r="E255" i="1"/>
  <c r="C255" i="1"/>
  <c r="B255" i="1"/>
  <c r="P254" i="1"/>
  <c r="M254" i="1"/>
  <c r="G254" i="1"/>
  <c r="D254" i="1"/>
  <c r="P253" i="1"/>
  <c r="M253" i="1"/>
  <c r="G253" i="1"/>
  <c r="H253" i="1" s="1"/>
  <c r="D253" i="1"/>
  <c r="G252" i="1"/>
  <c r="D252" i="1"/>
  <c r="H252" i="1" s="1"/>
  <c r="G251" i="1"/>
  <c r="D251" i="1"/>
  <c r="G250" i="1"/>
  <c r="D250" i="1"/>
  <c r="G249" i="1"/>
  <c r="D249" i="1"/>
  <c r="P248" i="1"/>
  <c r="M248" i="1"/>
  <c r="Q248" i="1" s="1"/>
  <c r="G248" i="1"/>
  <c r="D248" i="1"/>
  <c r="P247" i="1"/>
  <c r="Q247" i="1" s="1"/>
  <c r="M247" i="1"/>
  <c r="G247" i="1"/>
  <c r="D247" i="1"/>
  <c r="H247" i="1" s="1"/>
  <c r="Q246" i="1"/>
  <c r="P246" i="1"/>
  <c r="M246" i="1"/>
  <c r="G246" i="1"/>
  <c r="D246" i="1"/>
  <c r="P245" i="1"/>
  <c r="M245" i="1"/>
  <c r="Q245" i="1" s="1"/>
  <c r="G245" i="1"/>
  <c r="D245" i="1"/>
  <c r="P244" i="1"/>
  <c r="M244" i="1"/>
  <c r="Q244" i="1" s="1"/>
  <c r="G244" i="1"/>
  <c r="D244" i="1"/>
  <c r="P243" i="1"/>
  <c r="Q243" i="1" s="1"/>
  <c r="M243" i="1"/>
  <c r="G243" i="1"/>
  <c r="D243" i="1"/>
  <c r="H243" i="1" s="1"/>
  <c r="Q242" i="1"/>
  <c r="P242" i="1"/>
  <c r="M242" i="1"/>
  <c r="G242" i="1"/>
  <c r="D242" i="1"/>
  <c r="P241" i="1"/>
  <c r="M241" i="1"/>
  <c r="Q241" i="1" s="1"/>
  <c r="G241" i="1"/>
  <c r="D241" i="1"/>
  <c r="P240" i="1"/>
  <c r="M240" i="1"/>
  <c r="Q240" i="1" s="1"/>
  <c r="G240" i="1"/>
  <c r="D240" i="1"/>
  <c r="P239" i="1"/>
  <c r="M239" i="1"/>
  <c r="G239" i="1"/>
  <c r="D239" i="1"/>
  <c r="P238" i="1"/>
  <c r="M238" i="1"/>
  <c r="G238" i="1"/>
  <c r="D238" i="1"/>
  <c r="P237" i="1"/>
  <c r="M237" i="1"/>
  <c r="G237" i="1"/>
  <c r="D237" i="1"/>
  <c r="P236" i="1"/>
  <c r="M236" i="1"/>
  <c r="G236" i="1"/>
  <c r="D236" i="1"/>
  <c r="P235" i="1"/>
  <c r="M235" i="1"/>
  <c r="G235" i="1"/>
  <c r="D235" i="1"/>
  <c r="P234" i="1"/>
  <c r="M234" i="1"/>
  <c r="G234" i="1"/>
  <c r="D234" i="1"/>
  <c r="P233" i="1"/>
  <c r="M233" i="1"/>
  <c r="G233" i="1"/>
  <c r="D233" i="1"/>
  <c r="P232" i="1"/>
  <c r="M232" i="1"/>
  <c r="G232" i="1"/>
  <c r="D232" i="1"/>
  <c r="P231" i="1"/>
  <c r="M231" i="1"/>
  <c r="G231" i="1"/>
  <c r="D231" i="1"/>
  <c r="P230" i="1"/>
  <c r="M230" i="1"/>
  <c r="G230" i="1"/>
  <c r="D230" i="1"/>
  <c r="G229" i="1"/>
  <c r="D229" i="1"/>
  <c r="P227" i="1"/>
  <c r="M227" i="1"/>
  <c r="G227" i="1"/>
  <c r="D227" i="1"/>
  <c r="P226" i="1"/>
  <c r="M226" i="1"/>
  <c r="G226" i="1"/>
  <c r="D226" i="1"/>
  <c r="P225" i="1"/>
  <c r="M225" i="1"/>
  <c r="P224" i="1"/>
  <c r="Q224" i="1" s="1"/>
  <c r="M224" i="1"/>
  <c r="G224" i="1"/>
  <c r="D224" i="1"/>
  <c r="G223" i="1"/>
  <c r="D223" i="1"/>
  <c r="G222" i="1"/>
  <c r="D222" i="1"/>
  <c r="P221" i="1"/>
  <c r="Q221" i="1" s="1"/>
  <c r="M221" i="1"/>
  <c r="G221" i="1"/>
  <c r="D221" i="1"/>
  <c r="P220" i="1"/>
  <c r="Q220" i="1" s="1"/>
  <c r="M220" i="1"/>
  <c r="G220" i="1"/>
  <c r="D220" i="1"/>
  <c r="M161" i="1"/>
  <c r="P161" i="1"/>
  <c r="P162" i="1"/>
  <c r="M162" i="1"/>
  <c r="P29" i="1"/>
  <c r="P30" i="1"/>
  <c r="D139" i="1"/>
  <c r="M146" i="1"/>
  <c r="N169" i="1"/>
  <c r="M159" i="1"/>
  <c r="P159" i="1"/>
  <c r="M160" i="1"/>
  <c r="P160" i="1"/>
  <c r="K169" i="1"/>
  <c r="O169" i="1"/>
  <c r="M163" i="1"/>
  <c r="P163" i="1"/>
  <c r="M164" i="1"/>
  <c r="P164" i="1"/>
  <c r="M165" i="1"/>
  <c r="P165" i="1"/>
  <c r="M166" i="1"/>
  <c r="P166" i="1"/>
  <c r="O126" i="1"/>
  <c r="N126" i="1"/>
  <c r="M123" i="1"/>
  <c r="P122" i="1"/>
  <c r="M122" i="1"/>
  <c r="P121" i="1"/>
  <c r="M121" i="1"/>
  <c r="Q120" i="1"/>
  <c r="P120" i="1"/>
  <c r="M120" i="1"/>
  <c r="P119" i="1"/>
  <c r="M119" i="1"/>
  <c r="Q119" i="1" s="1"/>
  <c r="P118" i="1"/>
  <c r="M118" i="1"/>
  <c r="Q118" i="1" s="1"/>
  <c r="M144" i="1"/>
  <c r="P144" i="1"/>
  <c r="M111" i="1"/>
  <c r="P111" i="1"/>
  <c r="Q111" i="1" s="1"/>
  <c r="G147" i="1"/>
  <c r="D147" i="1"/>
  <c r="H147" i="1" s="1"/>
  <c r="P110" i="1"/>
  <c r="M110" i="1"/>
  <c r="Q110" i="1" s="1"/>
  <c r="M186" i="1"/>
  <c r="Q186" i="1" s="1"/>
  <c r="P186" i="1"/>
  <c r="P143" i="1"/>
  <c r="M143" i="1"/>
  <c r="Q143" i="1" s="1"/>
  <c r="M137" i="1"/>
  <c r="P137" i="1"/>
  <c r="P179" i="1"/>
  <c r="M179" i="1"/>
  <c r="Q179" i="1" s="1"/>
  <c r="D105" i="1"/>
  <c r="G105" i="1"/>
  <c r="D104" i="1"/>
  <c r="G104" i="1"/>
  <c r="H104" i="1" s="1"/>
  <c r="D106" i="1"/>
  <c r="G106" i="1"/>
  <c r="G101" i="1"/>
  <c r="M136" i="1"/>
  <c r="P136" i="1"/>
  <c r="P95" i="1"/>
  <c r="M95" i="1"/>
  <c r="Q95" i="1" s="1"/>
  <c r="F212" i="1"/>
  <c r="E212" i="1"/>
  <c r="C212" i="1"/>
  <c r="B212" i="1"/>
  <c r="G211" i="1"/>
  <c r="D211" i="1"/>
  <c r="H211" i="1" s="1"/>
  <c r="G210" i="1"/>
  <c r="D210" i="1"/>
  <c r="G209" i="1"/>
  <c r="D209" i="1"/>
  <c r="G208" i="1"/>
  <c r="D208" i="1"/>
  <c r="G207" i="1"/>
  <c r="D207" i="1"/>
  <c r="G206" i="1"/>
  <c r="D206" i="1"/>
  <c r="G205" i="1"/>
  <c r="D205" i="1"/>
  <c r="G204" i="1"/>
  <c r="D204" i="1"/>
  <c r="G203" i="1"/>
  <c r="D203" i="1"/>
  <c r="G202" i="1"/>
  <c r="D202" i="1"/>
  <c r="G201" i="1"/>
  <c r="D201" i="1"/>
  <c r="G200" i="1"/>
  <c r="D200" i="1"/>
  <c r="H200" i="1" s="1"/>
  <c r="G199" i="1"/>
  <c r="D199" i="1"/>
  <c r="G198" i="1"/>
  <c r="D198" i="1"/>
  <c r="G197" i="1"/>
  <c r="D197" i="1"/>
  <c r="G196" i="1"/>
  <c r="D196" i="1"/>
  <c r="H196" i="1" s="1"/>
  <c r="G195" i="1"/>
  <c r="H195" i="1" s="1"/>
  <c r="D195" i="1"/>
  <c r="G194" i="1"/>
  <c r="D194" i="1"/>
  <c r="G193" i="1"/>
  <c r="D193" i="1"/>
  <c r="G192" i="1"/>
  <c r="D192" i="1"/>
  <c r="G191" i="1"/>
  <c r="D191" i="1"/>
  <c r="G190" i="1"/>
  <c r="D190" i="1"/>
  <c r="G189" i="1"/>
  <c r="D189" i="1"/>
  <c r="G188" i="1"/>
  <c r="D188" i="1"/>
  <c r="G187" i="1"/>
  <c r="D187" i="1"/>
  <c r="G186" i="1"/>
  <c r="D186" i="1"/>
  <c r="H186" i="1" s="1"/>
  <c r="G184" i="1"/>
  <c r="D184" i="1"/>
  <c r="G183" i="1"/>
  <c r="D183" i="1"/>
  <c r="H183" i="1" s="1"/>
  <c r="G182" i="1"/>
  <c r="D182" i="1"/>
  <c r="G181" i="1"/>
  <c r="D181" i="1"/>
  <c r="G180" i="1"/>
  <c r="D180" i="1"/>
  <c r="G179" i="1"/>
  <c r="D179" i="1"/>
  <c r="G178" i="1"/>
  <c r="D178" i="1"/>
  <c r="G177" i="1"/>
  <c r="D177" i="1"/>
  <c r="M158" i="1"/>
  <c r="P158" i="1"/>
  <c r="M167" i="1"/>
  <c r="P167" i="1"/>
  <c r="M168" i="1"/>
  <c r="P168" i="1"/>
  <c r="M201" i="1"/>
  <c r="P201" i="1"/>
  <c r="M202" i="1"/>
  <c r="Q202" i="1" s="1"/>
  <c r="P202" i="1"/>
  <c r="M203" i="1"/>
  <c r="P203" i="1"/>
  <c r="M204" i="1"/>
  <c r="P204" i="1"/>
  <c r="M205" i="1"/>
  <c r="Q205" i="1" s="1"/>
  <c r="P205" i="1"/>
  <c r="O212" i="1"/>
  <c r="N212" i="1"/>
  <c r="L212" i="1"/>
  <c r="P200" i="1"/>
  <c r="M200" i="1"/>
  <c r="Q200" i="1" s="1"/>
  <c r="P199" i="1"/>
  <c r="M199" i="1"/>
  <c r="P198" i="1"/>
  <c r="M198" i="1"/>
  <c r="Q198" i="1" s="1"/>
  <c r="P197" i="1"/>
  <c r="M197" i="1"/>
  <c r="P196" i="1"/>
  <c r="M196" i="1"/>
  <c r="Q196" i="1" s="1"/>
  <c r="P195" i="1"/>
  <c r="Q195" i="1" s="1"/>
  <c r="M195" i="1"/>
  <c r="P194" i="1"/>
  <c r="M194" i="1"/>
  <c r="P193" i="1"/>
  <c r="M193" i="1"/>
  <c r="P192" i="1"/>
  <c r="M192" i="1"/>
  <c r="P191" i="1"/>
  <c r="M191" i="1"/>
  <c r="P190" i="1"/>
  <c r="M190" i="1"/>
  <c r="P189" i="1"/>
  <c r="M189" i="1"/>
  <c r="P188" i="1"/>
  <c r="M188" i="1"/>
  <c r="P187" i="1"/>
  <c r="Q187" i="1" s="1"/>
  <c r="M187" i="1"/>
  <c r="P184" i="1"/>
  <c r="M184" i="1"/>
  <c r="Q184" i="1" s="1"/>
  <c r="P183" i="1"/>
  <c r="Q183" i="1" s="1"/>
  <c r="M183" i="1"/>
  <c r="P182" i="1"/>
  <c r="M182" i="1"/>
  <c r="Q182" i="1" s="1"/>
  <c r="P181" i="1"/>
  <c r="M181" i="1"/>
  <c r="P180" i="1"/>
  <c r="M180" i="1"/>
  <c r="Q180" i="1" s="1"/>
  <c r="P178" i="1"/>
  <c r="M178" i="1"/>
  <c r="P177" i="1"/>
  <c r="M177" i="1"/>
  <c r="Q177" i="1" s="1"/>
  <c r="M80" i="1"/>
  <c r="P80" i="1"/>
  <c r="M81" i="1"/>
  <c r="P81" i="1"/>
  <c r="M82" i="1"/>
  <c r="P82" i="1"/>
  <c r="G74" i="1"/>
  <c r="L169" i="1"/>
  <c r="F169" i="1"/>
  <c r="E169" i="1"/>
  <c r="C169" i="1"/>
  <c r="B169" i="1"/>
  <c r="G168" i="1"/>
  <c r="D168" i="1"/>
  <c r="G167" i="1"/>
  <c r="D167" i="1"/>
  <c r="H167" i="1" s="1"/>
  <c r="G166" i="1"/>
  <c r="D166" i="1"/>
  <c r="G165" i="1"/>
  <c r="D165" i="1"/>
  <c r="G164" i="1"/>
  <c r="D164" i="1"/>
  <c r="G163" i="1"/>
  <c r="D163" i="1"/>
  <c r="H163" i="1" s="1"/>
  <c r="G162" i="1"/>
  <c r="D162" i="1"/>
  <c r="G161" i="1"/>
  <c r="D161" i="1"/>
  <c r="G160" i="1"/>
  <c r="D160" i="1"/>
  <c r="G159" i="1"/>
  <c r="D159" i="1"/>
  <c r="H159" i="1" s="1"/>
  <c r="G158" i="1"/>
  <c r="D158" i="1"/>
  <c r="P157" i="1"/>
  <c r="M157" i="1"/>
  <c r="G157" i="1"/>
  <c r="D157" i="1"/>
  <c r="P156" i="1"/>
  <c r="M156" i="1"/>
  <c r="Q156" i="1" s="1"/>
  <c r="G156" i="1"/>
  <c r="D156" i="1"/>
  <c r="P155" i="1"/>
  <c r="M155" i="1"/>
  <c r="G155" i="1"/>
  <c r="D155" i="1"/>
  <c r="P154" i="1"/>
  <c r="M154" i="1"/>
  <c r="Q154" i="1" s="1"/>
  <c r="G154" i="1"/>
  <c r="D154" i="1"/>
  <c r="P153" i="1"/>
  <c r="M153" i="1"/>
  <c r="G153" i="1"/>
  <c r="D153" i="1"/>
  <c r="P152" i="1"/>
  <c r="M152" i="1"/>
  <c r="Q152" i="1" s="1"/>
  <c r="G152" i="1"/>
  <c r="D152" i="1"/>
  <c r="P151" i="1"/>
  <c r="M151" i="1"/>
  <c r="Q151" i="1" s="1"/>
  <c r="G151" i="1"/>
  <c r="D151" i="1"/>
  <c r="P150" i="1"/>
  <c r="M150" i="1"/>
  <c r="Q150" i="1" s="1"/>
  <c r="G150" i="1"/>
  <c r="D150" i="1"/>
  <c r="P149" i="1"/>
  <c r="M149" i="1"/>
  <c r="G149" i="1"/>
  <c r="D149" i="1"/>
  <c r="P148" i="1"/>
  <c r="M148" i="1"/>
  <c r="Q148" i="1" s="1"/>
  <c r="G148" i="1"/>
  <c r="D148" i="1"/>
  <c r="P147" i="1"/>
  <c r="M147" i="1"/>
  <c r="Q147" i="1" s="1"/>
  <c r="P146" i="1"/>
  <c r="Q146" i="1" s="1"/>
  <c r="G146" i="1"/>
  <c r="D146" i="1"/>
  <c r="H146" i="1" s="1"/>
  <c r="P145" i="1"/>
  <c r="M145" i="1"/>
  <c r="G145" i="1"/>
  <c r="D145" i="1"/>
  <c r="G144" i="1"/>
  <c r="D144" i="1"/>
  <c r="G143" i="1"/>
  <c r="D143" i="1"/>
  <c r="H143" i="1" s="1"/>
  <c r="P141" i="1"/>
  <c r="M141" i="1"/>
  <c r="G141" i="1"/>
  <c r="D141" i="1"/>
  <c r="P140" i="1"/>
  <c r="M140" i="1"/>
  <c r="Q140" i="1" s="1"/>
  <c r="G140" i="1"/>
  <c r="D140" i="1"/>
  <c r="P139" i="1"/>
  <c r="M139" i="1"/>
  <c r="Q139" i="1" s="1"/>
  <c r="G139" i="1"/>
  <c r="P138" i="1"/>
  <c r="M138" i="1"/>
  <c r="Q138" i="1" s="1"/>
  <c r="G138" i="1"/>
  <c r="D138" i="1"/>
  <c r="G137" i="1"/>
  <c r="D137" i="1"/>
  <c r="G136" i="1"/>
  <c r="D136" i="1"/>
  <c r="P135" i="1"/>
  <c r="M135" i="1"/>
  <c r="Q135" i="1" s="1"/>
  <c r="G135" i="1"/>
  <c r="D135" i="1"/>
  <c r="P134" i="1"/>
  <c r="M134" i="1"/>
  <c r="G134" i="1"/>
  <c r="D134" i="1"/>
  <c r="M30" i="1"/>
  <c r="M29" i="1"/>
  <c r="G7" i="1"/>
  <c r="D7" i="1"/>
  <c r="G24" i="1"/>
  <c r="P37" i="1"/>
  <c r="K40" i="1"/>
  <c r="L40" i="1"/>
  <c r="M39" i="1"/>
  <c r="F126" i="1"/>
  <c r="E126" i="1"/>
  <c r="C126" i="1"/>
  <c r="B126" i="1"/>
  <c r="G125" i="1"/>
  <c r="D125" i="1"/>
  <c r="H125" i="1" s="1"/>
  <c r="G124" i="1"/>
  <c r="D124" i="1"/>
  <c r="G123" i="1"/>
  <c r="D123" i="1"/>
  <c r="H123" i="1" s="1"/>
  <c r="G122" i="1"/>
  <c r="D122" i="1"/>
  <c r="H122" i="1" s="1"/>
  <c r="G121" i="1"/>
  <c r="D121" i="1"/>
  <c r="G120" i="1"/>
  <c r="D120" i="1"/>
  <c r="G119" i="1"/>
  <c r="D119" i="1"/>
  <c r="G118" i="1"/>
  <c r="D118" i="1"/>
  <c r="G117" i="1"/>
  <c r="D117" i="1"/>
  <c r="G116" i="1"/>
  <c r="D116" i="1"/>
  <c r="G115" i="1"/>
  <c r="D115" i="1"/>
  <c r="G114" i="1"/>
  <c r="D114" i="1"/>
  <c r="H114" i="1" s="1"/>
  <c r="G113" i="1"/>
  <c r="D113" i="1"/>
  <c r="G112" i="1"/>
  <c r="D112" i="1"/>
  <c r="H112" i="1" s="1"/>
  <c r="G111" i="1"/>
  <c r="D111" i="1"/>
  <c r="G110" i="1"/>
  <c r="D110" i="1"/>
  <c r="G109" i="1"/>
  <c r="D109" i="1"/>
  <c r="G108" i="1"/>
  <c r="D108" i="1"/>
  <c r="G107" i="1"/>
  <c r="D107" i="1"/>
  <c r="G103" i="1"/>
  <c r="D103" i="1"/>
  <c r="G102" i="1"/>
  <c r="D102" i="1"/>
  <c r="D101" i="1"/>
  <c r="H101" i="1" s="1"/>
  <c r="G100" i="1"/>
  <c r="D100" i="1"/>
  <c r="G98" i="1"/>
  <c r="D98" i="1"/>
  <c r="H98" i="1" s="1"/>
  <c r="G97" i="1"/>
  <c r="D97" i="1"/>
  <c r="G96" i="1"/>
  <c r="D96" i="1"/>
  <c r="G95" i="1"/>
  <c r="D95" i="1"/>
  <c r="G94" i="1"/>
  <c r="D94" i="1"/>
  <c r="G93" i="1"/>
  <c r="D93" i="1"/>
  <c r="H93" i="1" s="1"/>
  <c r="G92" i="1"/>
  <c r="D92" i="1"/>
  <c r="G91" i="1"/>
  <c r="D91" i="1"/>
  <c r="M93" i="1"/>
  <c r="P93" i="1"/>
  <c r="M94" i="1"/>
  <c r="P94" i="1"/>
  <c r="L126" i="1"/>
  <c r="P125" i="1"/>
  <c r="M125" i="1"/>
  <c r="P124" i="1"/>
  <c r="M124" i="1"/>
  <c r="P117" i="1"/>
  <c r="M117" i="1"/>
  <c r="Q117" i="1" s="1"/>
  <c r="P116" i="1"/>
  <c r="M116" i="1"/>
  <c r="P115" i="1"/>
  <c r="M115" i="1"/>
  <c r="P114" i="1"/>
  <c r="M114" i="1"/>
  <c r="P113" i="1"/>
  <c r="M113" i="1"/>
  <c r="P112" i="1"/>
  <c r="M112" i="1"/>
  <c r="P109" i="1"/>
  <c r="M109" i="1"/>
  <c r="P108" i="1"/>
  <c r="M108" i="1"/>
  <c r="P107" i="1"/>
  <c r="M107" i="1"/>
  <c r="P106" i="1"/>
  <c r="M106" i="1"/>
  <c r="P105" i="1"/>
  <c r="M105" i="1"/>
  <c r="P104" i="1"/>
  <c r="M104" i="1"/>
  <c r="P103" i="1"/>
  <c r="M103" i="1"/>
  <c r="P102" i="1"/>
  <c r="M102" i="1"/>
  <c r="P101" i="1"/>
  <c r="M101" i="1"/>
  <c r="Q101" i="1" s="1"/>
  <c r="P100" i="1"/>
  <c r="M100" i="1"/>
  <c r="P98" i="1"/>
  <c r="M98" i="1"/>
  <c r="Q98" i="1" s="1"/>
  <c r="P97" i="1"/>
  <c r="M97" i="1"/>
  <c r="P96" i="1"/>
  <c r="M96" i="1"/>
  <c r="Q96" i="1" s="1"/>
  <c r="P92" i="1"/>
  <c r="M92" i="1"/>
  <c r="P91" i="1"/>
  <c r="M91" i="1"/>
  <c r="Q91" i="1" s="1"/>
  <c r="P35" i="1"/>
  <c r="M35" i="1"/>
  <c r="M15" i="1"/>
  <c r="P15" i="1"/>
  <c r="Q15" i="1" s="1"/>
  <c r="M16" i="1"/>
  <c r="Q16" i="1" s="1"/>
  <c r="P16" i="1"/>
  <c r="M17" i="1"/>
  <c r="P17" i="1"/>
  <c r="P38" i="1"/>
  <c r="F13" i="1"/>
  <c r="E13" i="1"/>
  <c r="C13" i="1"/>
  <c r="B13" i="1"/>
  <c r="M37" i="1"/>
  <c r="L83" i="1"/>
  <c r="N83" i="1"/>
  <c r="O83" i="1"/>
  <c r="K83" i="1"/>
  <c r="O40" i="1"/>
  <c r="L13" i="1"/>
  <c r="N13" i="1"/>
  <c r="O13" i="1"/>
  <c r="K13" i="1"/>
  <c r="M38" i="1"/>
  <c r="M4" i="1"/>
  <c r="M5" i="1"/>
  <c r="P5" i="1"/>
  <c r="Q5" i="1"/>
  <c r="P7" i="1"/>
  <c r="M7" i="1"/>
  <c r="M6" i="1"/>
  <c r="P6" i="1"/>
  <c r="P50" i="1"/>
  <c r="M50" i="1"/>
  <c r="P79" i="1"/>
  <c r="M79" i="1"/>
  <c r="P78" i="1"/>
  <c r="M78" i="1"/>
  <c r="P77" i="1"/>
  <c r="M77" i="1"/>
  <c r="P76" i="1"/>
  <c r="M76" i="1"/>
  <c r="P75" i="1"/>
  <c r="M75" i="1"/>
  <c r="P74" i="1"/>
  <c r="M74" i="1"/>
  <c r="P73" i="1"/>
  <c r="M73" i="1"/>
  <c r="P72" i="1"/>
  <c r="M72" i="1"/>
  <c r="P71" i="1"/>
  <c r="M71" i="1"/>
  <c r="P70" i="1"/>
  <c r="M70" i="1"/>
  <c r="P69" i="1"/>
  <c r="M69" i="1"/>
  <c r="P68" i="1"/>
  <c r="M68" i="1"/>
  <c r="P67" i="1"/>
  <c r="M67" i="1"/>
  <c r="P66" i="1"/>
  <c r="M66" i="1"/>
  <c r="P65" i="1"/>
  <c r="M65" i="1"/>
  <c r="P64" i="1"/>
  <c r="M64" i="1"/>
  <c r="P63" i="1"/>
  <c r="M63" i="1"/>
  <c r="P62" i="1"/>
  <c r="M62" i="1"/>
  <c r="P61" i="1"/>
  <c r="M61" i="1"/>
  <c r="P60" i="1"/>
  <c r="M60" i="1"/>
  <c r="P59" i="1"/>
  <c r="M59" i="1"/>
  <c r="P58" i="1"/>
  <c r="M58" i="1"/>
  <c r="P57" i="1"/>
  <c r="M57" i="1"/>
  <c r="P55" i="1"/>
  <c r="M55" i="1"/>
  <c r="P54" i="1"/>
  <c r="M54" i="1"/>
  <c r="P53" i="1"/>
  <c r="M53" i="1"/>
  <c r="P52" i="1"/>
  <c r="M52" i="1"/>
  <c r="P51" i="1"/>
  <c r="M51" i="1"/>
  <c r="P49" i="1"/>
  <c r="M49" i="1"/>
  <c r="P48" i="1"/>
  <c r="M48" i="1"/>
  <c r="P39" i="1"/>
  <c r="P36" i="1"/>
  <c r="M36" i="1"/>
  <c r="P34" i="1"/>
  <c r="M34" i="1"/>
  <c r="Q34" i="1" s="1"/>
  <c r="P33" i="1"/>
  <c r="M33" i="1"/>
  <c r="P32" i="1"/>
  <c r="M32" i="1"/>
  <c r="P31" i="1"/>
  <c r="M31" i="1"/>
  <c r="P28" i="1"/>
  <c r="M28" i="1"/>
  <c r="Q28" i="1" s="1"/>
  <c r="P27" i="1"/>
  <c r="M27" i="1"/>
  <c r="P26" i="1"/>
  <c r="M26" i="1"/>
  <c r="Q26" i="1" s="1"/>
  <c r="P25" i="1"/>
  <c r="M25" i="1"/>
  <c r="P24" i="1"/>
  <c r="M24" i="1"/>
  <c r="Q24" i="1" s="1"/>
  <c r="P23" i="1"/>
  <c r="M23" i="1"/>
  <c r="P22" i="1"/>
  <c r="M22" i="1"/>
  <c r="Q22" i="1" s="1"/>
  <c r="P21" i="1"/>
  <c r="M21" i="1"/>
  <c r="P20" i="1"/>
  <c r="M20" i="1"/>
  <c r="P19" i="1"/>
  <c r="M19" i="1"/>
  <c r="P18" i="1"/>
  <c r="M18" i="1"/>
  <c r="P14" i="1"/>
  <c r="M14" i="1"/>
  <c r="P12" i="1"/>
  <c r="M12" i="1"/>
  <c r="P11" i="1"/>
  <c r="M11" i="1"/>
  <c r="P10" i="1"/>
  <c r="M10" i="1"/>
  <c r="P9" i="1"/>
  <c r="M9" i="1"/>
  <c r="P8" i="1"/>
  <c r="M8" i="1"/>
  <c r="P4" i="1"/>
  <c r="G5" i="1"/>
  <c r="D5" i="1"/>
  <c r="G4" i="1"/>
  <c r="D4" i="1"/>
  <c r="D6" i="1"/>
  <c r="G6" i="1"/>
  <c r="D14" i="1"/>
  <c r="G14" i="1"/>
  <c r="D15" i="1"/>
  <c r="G15" i="1"/>
  <c r="D16" i="1"/>
  <c r="G16" i="1"/>
  <c r="D17" i="1"/>
  <c r="G17" i="1"/>
  <c r="D18" i="1"/>
  <c r="G18" i="1"/>
  <c r="D19" i="1"/>
  <c r="G19" i="1"/>
  <c r="D20" i="1"/>
  <c r="G20" i="1"/>
  <c r="D21" i="1"/>
  <c r="G21" i="1"/>
  <c r="D22" i="1"/>
  <c r="G22" i="1"/>
  <c r="D23" i="1"/>
  <c r="G23" i="1"/>
  <c r="D24" i="1"/>
  <c r="H24" i="1"/>
  <c r="D25" i="1"/>
  <c r="G25" i="1"/>
  <c r="D26" i="1"/>
  <c r="G26" i="1"/>
  <c r="D27" i="1"/>
  <c r="G27" i="1"/>
  <c r="D28" i="1"/>
  <c r="G28" i="1"/>
  <c r="D29" i="1"/>
  <c r="G29" i="1"/>
  <c r="D48" i="1"/>
  <c r="G48" i="1"/>
  <c r="D49" i="1"/>
  <c r="G49" i="1"/>
  <c r="D50" i="1"/>
  <c r="G50" i="1"/>
  <c r="D51" i="1"/>
  <c r="G51" i="1"/>
  <c r="D52" i="1"/>
  <c r="G52" i="1"/>
  <c r="D57" i="1"/>
  <c r="G57" i="1"/>
  <c r="D58" i="1"/>
  <c r="G58" i="1"/>
  <c r="D59" i="1"/>
  <c r="G59" i="1"/>
  <c r="D60" i="1"/>
  <c r="G60" i="1"/>
  <c r="D61" i="1"/>
  <c r="G61" i="1"/>
  <c r="H318" i="1" l="1"/>
  <c r="G341" i="1"/>
  <c r="H341" i="1" s="1"/>
  <c r="M341" i="1"/>
  <c r="Q341" i="1"/>
  <c r="H296" i="1"/>
  <c r="H295" i="1"/>
  <c r="H294" i="1"/>
  <c r="P341" i="1"/>
  <c r="Q141" i="1"/>
  <c r="Q159" i="1"/>
  <c r="Q230" i="1"/>
  <c r="Q232" i="1"/>
  <c r="Q234" i="1"/>
  <c r="Q238" i="1"/>
  <c r="M13" i="1"/>
  <c r="Q103" i="1"/>
  <c r="H103" i="1"/>
  <c r="Q30" i="1"/>
  <c r="Q149" i="1"/>
  <c r="Q157" i="1"/>
  <c r="H165" i="1"/>
  <c r="Q190" i="1"/>
  <c r="Q194" i="1"/>
  <c r="Q201" i="1"/>
  <c r="H190" i="1"/>
  <c r="H194" i="1"/>
  <c r="Q121" i="1"/>
  <c r="Q29" i="1"/>
  <c r="Q161" i="1"/>
  <c r="Q225" i="1"/>
  <c r="Q226" i="1"/>
  <c r="Q227" i="1"/>
  <c r="Q278" i="1"/>
  <c r="H119" i="1"/>
  <c r="Q145" i="1"/>
  <c r="Q136" i="1"/>
  <c r="Q231" i="1"/>
  <c r="Q233" i="1"/>
  <c r="Q239" i="1"/>
  <c r="H15" i="1"/>
  <c r="Q106" i="1"/>
  <c r="Q116" i="1"/>
  <c r="H102" i="1"/>
  <c r="H107" i="1"/>
  <c r="H109" i="1"/>
  <c r="H135" i="1"/>
  <c r="H138" i="1"/>
  <c r="H139" i="1"/>
  <c r="H148" i="1"/>
  <c r="H149" i="1"/>
  <c r="H150" i="1"/>
  <c r="H154" i="1"/>
  <c r="H156" i="1"/>
  <c r="H158" i="1"/>
  <c r="H164" i="1"/>
  <c r="H166" i="1"/>
  <c r="Q181" i="1"/>
  <c r="Q189" i="1"/>
  <c r="Q193" i="1"/>
  <c r="H180" i="1"/>
  <c r="H191" i="1"/>
  <c r="H106" i="1"/>
  <c r="H105" i="1"/>
  <c r="Q137" i="1"/>
  <c r="Q162" i="1"/>
  <c r="H226" i="1"/>
  <c r="H227" i="1"/>
  <c r="H241" i="1"/>
  <c r="H245" i="1"/>
  <c r="H249" i="1"/>
  <c r="Q249" i="1"/>
  <c r="Q211" i="1"/>
  <c r="Q222" i="1"/>
  <c r="Q276" i="1"/>
  <c r="G298" i="1"/>
  <c r="Q253" i="1"/>
  <c r="Q209" i="1"/>
  <c r="Q206" i="1"/>
  <c r="Q210" i="1"/>
  <c r="H280" i="1"/>
  <c r="D298" i="1"/>
  <c r="H254" i="1"/>
  <c r="Q237" i="1"/>
  <c r="Q236" i="1"/>
  <c r="H263" i="1"/>
  <c r="H264" i="1"/>
  <c r="H265" i="1"/>
  <c r="H266" i="1"/>
  <c r="H267" i="1"/>
  <c r="H268" i="1"/>
  <c r="H269" i="1"/>
  <c r="H270" i="1"/>
  <c r="Q264" i="1"/>
  <c r="Q266" i="1"/>
  <c r="Q268" i="1"/>
  <c r="Q270" i="1"/>
  <c r="Q280" i="1"/>
  <c r="P298" i="1"/>
  <c r="Q254" i="1"/>
  <c r="Q235" i="1"/>
  <c r="M255" i="1"/>
  <c r="Q229" i="1"/>
  <c r="H224" i="1"/>
  <c r="H223" i="1"/>
  <c r="H222" i="1"/>
  <c r="G255" i="1"/>
  <c r="D255" i="1"/>
  <c r="H221" i="1"/>
  <c r="H220" i="1"/>
  <c r="Q188" i="1"/>
  <c r="H210" i="1"/>
  <c r="H209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2" i="1"/>
  <c r="H244" i="1"/>
  <c r="H246" i="1"/>
  <c r="H248" i="1"/>
  <c r="H250" i="1"/>
  <c r="H251" i="1"/>
  <c r="P255" i="1"/>
  <c r="H207" i="1"/>
  <c r="H206" i="1"/>
  <c r="H205" i="1"/>
  <c r="Q160" i="1"/>
  <c r="H203" i="1"/>
  <c r="H202" i="1"/>
  <c r="Q158" i="1"/>
  <c r="H182" i="1"/>
  <c r="Q166" i="1"/>
  <c r="Q163" i="1"/>
  <c r="Q164" i="1"/>
  <c r="Q155" i="1"/>
  <c r="H193" i="1"/>
  <c r="Q153" i="1"/>
  <c r="H189" i="1"/>
  <c r="G212" i="1"/>
  <c r="D212" i="1"/>
  <c r="H187" i="1"/>
  <c r="Q167" i="1"/>
  <c r="Q165" i="1"/>
  <c r="H141" i="1"/>
  <c r="H140" i="1"/>
  <c r="H162" i="1"/>
  <c r="H161" i="1"/>
  <c r="Q168" i="1"/>
  <c r="D169" i="1"/>
  <c r="H157" i="1"/>
  <c r="H155" i="1"/>
  <c r="Q144" i="1"/>
  <c r="G169" i="1"/>
  <c r="H151" i="1"/>
  <c r="Q122" i="1"/>
  <c r="P123" i="1"/>
  <c r="Q123" i="1" s="1"/>
  <c r="K126" i="1"/>
  <c r="Q115" i="1"/>
  <c r="Q114" i="1"/>
  <c r="Q113" i="1"/>
  <c r="H137" i="1"/>
  <c r="Q112" i="1"/>
  <c r="Q109" i="1"/>
  <c r="Q108" i="1"/>
  <c r="H134" i="1"/>
  <c r="Q105" i="1"/>
  <c r="Q104" i="1"/>
  <c r="H121" i="1"/>
  <c r="H120" i="1"/>
  <c r="Q102" i="1"/>
  <c r="H118" i="1"/>
  <c r="H117" i="1"/>
  <c r="H116" i="1"/>
  <c r="H115" i="1"/>
  <c r="H96" i="1"/>
  <c r="H113" i="1"/>
  <c r="H111" i="1"/>
  <c r="Q82" i="1"/>
  <c r="H100" i="1"/>
  <c r="G126" i="1"/>
  <c r="H91" i="1"/>
  <c r="H16" i="1"/>
  <c r="P83" i="1"/>
  <c r="Q81" i="1"/>
  <c r="Q204" i="1"/>
  <c r="P13" i="1"/>
  <c r="Q10" i="1"/>
  <c r="Q199" i="1"/>
  <c r="Q92" i="1"/>
  <c r="Q107" i="1"/>
  <c r="H92" i="1"/>
  <c r="H94" i="1"/>
  <c r="H108" i="1"/>
  <c r="H110" i="1"/>
  <c r="H124" i="1"/>
  <c r="D126" i="1"/>
  <c r="H144" i="1"/>
  <c r="H145" i="1"/>
  <c r="H152" i="1"/>
  <c r="H153" i="1"/>
  <c r="M212" i="1"/>
  <c r="Q191" i="1"/>
  <c r="H178" i="1"/>
  <c r="H198" i="1"/>
  <c r="H49" i="1"/>
  <c r="Q14" i="1"/>
  <c r="Q7" i="1"/>
  <c r="Q97" i="1"/>
  <c r="Q94" i="1"/>
  <c r="H95" i="1"/>
  <c r="H97" i="1"/>
  <c r="H7" i="1"/>
  <c r="Q134" i="1"/>
  <c r="H136" i="1"/>
  <c r="H160" i="1"/>
  <c r="H168" i="1"/>
  <c r="Q80" i="1"/>
  <c r="Q178" i="1"/>
  <c r="Q192" i="1"/>
  <c r="Q197" i="1"/>
  <c r="Q203" i="1"/>
  <c r="H177" i="1"/>
  <c r="H179" i="1"/>
  <c r="H181" i="1"/>
  <c r="H184" i="1"/>
  <c r="H188" i="1"/>
  <c r="H192" i="1"/>
  <c r="H197" i="1"/>
  <c r="H199" i="1"/>
  <c r="H201" i="1"/>
  <c r="H204" i="1"/>
  <c r="H208" i="1"/>
  <c r="P212" i="1"/>
  <c r="M169" i="1"/>
  <c r="P169" i="1"/>
  <c r="Q50" i="1"/>
  <c r="M83" i="1"/>
  <c r="M126" i="1"/>
  <c r="H18" i="1"/>
  <c r="Q35" i="1"/>
  <c r="Q124" i="1"/>
  <c r="Q125" i="1"/>
  <c r="Q93" i="1"/>
  <c r="Q100" i="1"/>
  <c r="L41" i="1"/>
  <c r="L47" i="1" s="1"/>
  <c r="L56" i="1" s="1"/>
  <c r="L84" i="1" s="1"/>
  <c r="L90" i="1" s="1"/>
  <c r="L99" i="1" s="1"/>
  <c r="L127" i="1" s="1"/>
  <c r="L133" i="1" s="1"/>
  <c r="L142" i="1" s="1"/>
  <c r="L170" i="1" s="1"/>
  <c r="L176" i="1" s="1"/>
  <c r="L185" i="1" s="1"/>
  <c r="L213" i="1" s="1"/>
  <c r="L219" i="1" s="1"/>
  <c r="L228" i="1" s="1"/>
  <c r="L256" i="1" s="1"/>
  <c r="L262" i="1" s="1"/>
  <c r="L271" i="1" s="1"/>
  <c r="L299" i="1" s="1"/>
  <c r="L305" i="1" s="1"/>
  <c r="L314" i="1" s="1"/>
  <c r="L342" i="1" s="1"/>
  <c r="O41" i="1"/>
  <c r="O47" i="1" s="1"/>
  <c r="O56" i="1" s="1"/>
  <c r="O84" i="1" s="1"/>
  <c r="O90" i="1" s="1"/>
  <c r="O99" i="1" s="1"/>
  <c r="O127" i="1" s="1"/>
  <c r="O133" i="1" s="1"/>
  <c r="O142" i="1" s="1"/>
  <c r="O170" i="1" s="1"/>
  <c r="O176" i="1" s="1"/>
  <c r="O185" i="1" s="1"/>
  <c r="O213" i="1" s="1"/>
  <c r="O219" i="1" s="1"/>
  <c r="O228" i="1" s="1"/>
  <c r="O256" i="1" s="1"/>
  <c r="O262" i="1" s="1"/>
  <c r="O271" i="1" s="1"/>
  <c r="O299" i="1" s="1"/>
  <c r="O305" i="1" s="1"/>
  <c r="O314" i="1" s="1"/>
  <c r="O342" i="1" s="1"/>
  <c r="K41" i="1"/>
  <c r="K47" i="1" s="1"/>
  <c r="K56" i="1" s="1"/>
  <c r="K84" i="1" s="1"/>
  <c r="K90" i="1" s="1"/>
  <c r="K99" i="1" s="1"/>
  <c r="H14" i="1"/>
  <c r="Q20" i="1"/>
  <c r="Q17" i="1"/>
  <c r="Q37" i="1"/>
  <c r="N40" i="1"/>
  <c r="N41" i="1" s="1"/>
  <c r="N47" i="1" s="1"/>
  <c r="N56" i="1" s="1"/>
  <c r="N84" i="1" s="1"/>
  <c r="N90" i="1" s="1"/>
  <c r="N99" i="1" s="1"/>
  <c r="N127" i="1" s="1"/>
  <c r="N133" i="1" s="1"/>
  <c r="N142" i="1" s="1"/>
  <c r="N170" i="1" s="1"/>
  <c r="N176" i="1" s="1"/>
  <c r="N185" i="1" s="1"/>
  <c r="N213" i="1" s="1"/>
  <c r="N219" i="1" s="1"/>
  <c r="N228" i="1" s="1"/>
  <c r="N256" i="1" s="1"/>
  <c r="N262" i="1" s="1"/>
  <c r="N271" i="1" s="1"/>
  <c r="N299" i="1" s="1"/>
  <c r="N305" i="1" s="1"/>
  <c r="N314" i="1" s="1"/>
  <c r="N342" i="1" s="1"/>
  <c r="P40" i="1"/>
  <c r="Q38" i="1"/>
  <c r="M40" i="1"/>
  <c r="M41" i="1" s="1"/>
  <c r="M47" i="1" s="1"/>
  <c r="M56" i="1" s="1"/>
  <c r="Q6" i="1"/>
  <c r="H58" i="1"/>
  <c r="Q54" i="1"/>
  <c r="Q57" i="1"/>
  <c r="Q59" i="1"/>
  <c r="Q65" i="1"/>
  <c r="Q67" i="1"/>
  <c r="Q71" i="1"/>
  <c r="Q73" i="1"/>
  <c r="Q75" i="1"/>
  <c r="Q79" i="1"/>
  <c r="Q62" i="1"/>
  <c r="H28" i="1"/>
  <c r="H26" i="1"/>
  <c r="H29" i="1"/>
  <c r="Q31" i="1"/>
  <c r="Q49" i="1"/>
  <c r="Q53" i="1"/>
  <c r="Q55" i="1"/>
  <c r="H52" i="1"/>
  <c r="H6" i="1"/>
  <c r="Q70" i="1"/>
  <c r="H51" i="1"/>
  <c r="Q21" i="1"/>
  <c r="Q78" i="1"/>
  <c r="H60" i="1"/>
  <c r="H22" i="1"/>
  <c r="H20" i="1"/>
  <c r="Q63" i="1"/>
  <c r="H61" i="1"/>
  <c r="H23" i="1"/>
  <c r="H21" i="1"/>
  <c r="Q12" i="1"/>
  <c r="Q18" i="1"/>
  <c r="Q48" i="1"/>
  <c r="Q64" i="1"/>
  <c r="Q72" i="1"/>
  <c r="Q33" i="1"/>
  <c r="Q52" i="1"/>
  <c r="Q58" i="1"/>
  <c r="Q60" i="1"/>
  <c r="Q69" i="1"/>
  <c r="Q74" i="1"/>
  <c r="Q76" i="1"/>
  <c r="H59" i="1"/>
  <c r="H50" i="1"/>
  <c r="H27" i="1"/>
  <c r="H19" i="1"/>
  <c r="H4" i="1"/>
  <c r="Q4" i="1"/>
  <c r="Q9" i="1"/>
  <c r="Q11" i="1"/>
  <c r="Q19" i="1"/>
  <c r="Q23" i="1"/>
  <c r="Q32" i="1"/>
  <c r="Q39" i="1"/>
  <c r="H57" i="1"/>
  <c r="H48" i="1"/>
  <c r="H25" i="1"/>
  <c r="H17" i="1"/>
  <c r="Q8" i="1"/>
  <c r="Q27" i="1"/>
  <c r="Q36" i="1"/>
  <c r="Q51" i="1"/>
  <c r="Q61" i="1"/>
  <c r="Q66" i="1"/>
  <c r="Q68" i="1"/>
  <c r="Q77" i="1"/>
  <c r="Q25" i="1"/>
  <c r="H5" i="1"/>
  <c r="P41" i="1" l="1"/>
  <c r="P47" i="1" s="1"/>
  <c r="P56" i="1" s="1"/>
  <c r="H298" i="1"/>
  <c r="Q255" i="1"/>
  <c r="Q298" i="1"/>
  <c r="M298" i="1"/>
  <c r="H255" i="1"/>
  <c r="H212" i="1"/>
  <c r="H169" i="1"/>
  <c r="P126" i="1"/>
  <c r="K127" i="1"/>
  <c r="K133" i="1" s="1"/>
  <c r="K142" i="1" s="1"/>
  <c r="K170" i="1" s="1"/>
  <c r="K176" i="1" s="1"/>
  <c r="K185" i="1" s="1"/>
  <c r="K213" i="1" s="1"/>
  <c r="K219" i="1" s="1"/>
  <c r="K228" i="1" s="1"/>
  <c r="K256" i="1" s="1"/>
  <c r="K262" i="1" s="1"/>
  <c r="K271" i="1" s="1"/>
  <c r="K299" i="1" s="1"/>
  <c r="K305" i="1" s="1"/>
  <c r="K314" i="1" s="1"/>
  <c r="K342" i="1" s="1"/>
  <c r="Q212" i="1"/>
  <c r="H126" i="1"/>
  <c r="P84" i="1"/>
  <c r="P90" i="1" s="1"/>
  <c r="P99" i="1" s="1"/>
  <c r="P127" i="1" s="1"/>
  <c r="P133" i="1" s="1"/>
  <c r="P142" i="1" s="1"/>
  <c r="P170" i="1" s="1"/>
  <c r="P176" i="1" s="1"/>
  <c r="P185" i="1" s="1"/>
  <c r="P213" i="1" s="1"/>
  <c r="P219" i="1" s="1"/>
  <c r="P228" i="1" s="1"/>
  <c r="P256" i="1" s="1"/>
  <c r="P262" i="1" s="1"/>
  <c r="P271" i="1" s="1"/>
  <c r="P299" i="1" s="1"/>
  <c r="P305" i="1" s="1"/>
  <c r="P314" i="1" s="1"/>
  <c r="P342" i="1" s="1"/>
  <c r="Q13" i="1"/>
  <c r="Q83" i="1"/>
  <c r="Q169" i="1"/>
  <c r="M84" i="1"/>
  <c r="M90" i="1" s="1"/>
  <c r="M99" i="1" s="1"/>
  <c r="M127" i="1" s="1"/>
  <c r="M133" i="1" s="1"/>
  <c r="M142" i="1" s="1"/>
  <c r="M170" i="1" s="1"/>
  <c r="M176" i="1" s="1"/>
  <c r="M185" i="1" s="1"/>
  <c r="M213" i="1" s="1"/>
  <c r="M219" i="1" s="1"/>
  <c r="M228" i="1" s="1"/>
  <c r="M256" i="1" s="1"/>
  <c r="M262" i="1" s="1"/>
  <c r="M271" i="1" s="1"/>
  <c r="Q126" i="1"/>
  <c r="Q40" i="1"/>
  <c r="Q41" i="1" s="1"/>
  <c r="Q47" i="1" s="1"/>
  <c r="Q56" i="1" s="1"/>
  <c r="F83" i="1"/>
  <c r="E83" i="1"/>
  <c r="C83" i="1"/>
  <c r="B83" i="1"/>
  <c r="G82" i="1"/>
  <c r="D82" i="1"/>
  <c r="G81" i="1"/>
  <c r="D81" i="1"/>
  <c r="G80" i="1"/>
  <c r="D80" i="1"/>
  <c r="G79" i="1"/>
  <c r="D79" i="1"/>
  <c r="G78" i="1"/>
  <c r="D78" i="1"/>
  <c r="G77" i="1"/>
  <c r="D77" i="1"/>
  <c r="G76" i="1"/>
  <c r="D76" i="1"/>
  <c r="G75" i="1"/>
  <c r="D75" i="1"/>
  <c r="D74" i="1"/>
  <c r="G73" i="1"/>
  <c r="D73" i="1"/>
  <c r="G72" i="1"/>
  <c r="D72" i="1"/>
  <c r="G71" i="1"/>
  <c r="D71" i="1"/>
  <c r="G70" i="1"/>
  <c r="D70" i="1"/>
  <c r="G69" i="1"/>
  <c r="D69" i="1"/>
  <c r="D68" i="1"/>
  <c r="G67" i="1"/>
  <c r="D67" i="1"/>
  <c r="G66" i="1"/>
  <c r="D66" i="1"/>
  <c r="G65" i="1"/>
  <c r="D65" i="1"/>
  <c r="G64" i="1"/>
  <c r="D64" i="1"/>
  <c r="G63" i="1"/>
  <c r="D63" i="1"/>
  <c r="G62" i="1"/>
  <c r="D62" i="1"/>
  <c r="G55" i="1"/>
  <c r="D55" i="1"/>
  <c r="G54" i="1"/>
  <c r="D54" i="1"/>
  <c r="G53" i="1"/>
  <c r="F40" i="1"/>
  <c r="E40" i="1"/>
  <c r="C40" i="1"/>
  <c r="B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12" i="1"/>
  <c r="D12" i="1"/>
  <c r="G11" i="1"/>
  <c r="D11" i="1"/>
  <c r="G10" i="1"/>
  <c r="D10" i="1"/>
  <c r="G9" i="1"/>
  <c r="D9" i="1"/>
  <c r="G8" i="1"/>
  <c r="D8" i="1"/>
  <c r="D13" i="1" l="1"/>
  <c r="M299" i="1"/>
  <c r="M305" i="1" s="1"/>
  <c r="M314" i="1" s="1"/>
  <c r="M342" i="1" s="1"/>
  <c r="G13" i="1"/>
  <c r="Q84" i="1"/>
  <c r="Q90" i="1" s="1"/>
  <c r="Q99" i="1" s="1"/>
  <c r="Q127" i="1" s="1"/>
  <c r="Q133" i="1" s="1"/>
  <c r="Q142" i="1" s="1"/>
  <c r="Q170" i="1" s="1"/>
  <c r="Q176" i="1" s="1"/>
  <c r="Q185" i="1" s="1"/>
  <c r="Q213" i="1" s="1"/>
  <c r="Q219" i="1" s="1"/>
  <c r="Q228" i="1" s="1"/>
  <c r="Q256" i="1" s="1"/>
  <c r="Q262" i="1" s="1"/>
  <c r="Q271" i="1" s="1"/>
  <c r="Q299" i="1" s="1"/>
  <c r="Q305" i="1" s="1"/>
  <c r="Q314" i="1" s="1"/>
  <c r="Q342" i="1" s="1"/>
  <c r="H8" i="1"/>
  <c r="H62" i="1"/>
  <c r="H66" i="1"/>
  <c r="H30" i="1"/>
  <c r="H33" i="1"/>
  <c r="H36" i="1"/>
  <c r="H39" i="1"/>
  <c r="H63" i="1"/>
  <c r="H72" i="1"/>
  <c r="H75" i="1"/>
  <c r="H81" i="1"/>
  <c r="G83" i="1"/>
  <c r="H31" i="1"/>
  <c r="H37" i="1"/>
  <c r="H34" i="1"/>
  <c r="H10" i="1"/>
  <c r="B41" i="1"/>
  <c r="B47" i="1" s="1"/>
  <c r="B56" i="1" s="1"/>
  <c r="B84" i="1" s="1"/>
  <c r="B90" i="1" s="1"/>
  <c r="F41" i="1"/>
  <c r="F47" i="1" s="1"/>
  <c r="F56" i="1" s="1"/>
  <c r="F84" i="1" s="1"/>
  <c r="F90" i="1" s="1"/>
  <c r="H53" i="1"/>
  <c r="H69" i="1"/>
  <c r="H78" i="1"/>
  <c r="D40" i="1"/>
  <c r="H65" i="1"/>
  <c r="H68" i="1"/>
  <c r="H80" i="1"/>
  <c r="H55" i="1"/>
  <c r="H71" i="1"/>
  <c r="H74" i="1"/>
  <c r="H77" i="1"/>
  <c r="C41" i="1"/>
  <c r="C47" i="1" s="1"/>
  <c r="C56" i="1" s="1"/>
  <c r="C84" i="1" s="1"/>
  <c r="C90" i="1" s="1"/>
  <c r="C99" i="1" s="1"/>
  <c r="C127" i="1" s="1"/>
  <c r="C133" i="1" s="1"/>
  <c r="G40" i="1"/>
  <c r="H54" i="1"/>
  <c r="H64" i="1"/>
  <c r="H67" i="1"/>
  <c r="H70" i="1"/>
  <c r="H73" i="1"/>
  <c r="H76" i="1"/>
  <c r="H79" i="1"/>
  <c r="H82" i="1"/>
  <c r="H11" i="1"/>
  <c r="H9" i="1"/>
  <c r="H12" i="1"/>
  <c r="H32" i="1"/>
  <c r="H35" i="1"/>
  <c r="H38" i="1"/>
  <c r="D83" i="1"/>
  <c r="E41" i="1"/>
  <c r="E47" i="1" s="1"/>
  <c r="C142" i="1" l="1"/>
  <c r="C170" i="1" s="1"/>
  <c r="C176" i="1" s="1"/>
  <c r="C185" i="1" s="1"/>
  <c r="C213" i="1" s="1"/>
  <c r="C219" i="1" s="1"/>
  <c r="C228" i="1" s="1"/>
  <c r="C256" i="1" s="1"/>
  <c r="C262" i="1" s="1"/>
  <c r="C271" i="1" s="1"/>
  <c r="C299" i="1" s="1"/>
  <c r="C305" i="1" s="1"/>
  <c r="H13" i="1"/>
  <c r="B99" i="1"/>
  <c r="B127" i="1" s="1"/>
  <c r="B133" i="1" s="1"/>
  <c r="B142" i="1" s="1"/>
  <c r="B170" i="1" s="1"/>
  <c r="B176" i="1" s="1"/>
  <c r="D90" i="1"/>
  <c r="D99" i="1" s="1"/>
  <c r="D127" i="1" s="1"/>
  <c r="F99" i="1"/>
  <c r="F127" i="1" s="1"/>
  <c r="F133" i="1" s="1"/>
  <c r="D41" i="1"/>
  <c r="H83" i="1"/>
  <c r="G41" i="1"/>
  <c r="H40" i="1"/>
  <c r="E56" i="1"/>
  <c r="E84" i="1" s="1"/>
  <c r="E90" i="1" s="1"/>
  <c r="E99" i="1" s="1"/>
  <c r="E127" i="1" s="1"/>
  <c r="E133" i="1" s="1"/>
  <c r="E142" i="1" s="1"/>
  <c r="E170" i="1" s="1"/>
  <c r="E176" i="1" s="1"/>
  <c r="E185" i="1" s="1"/>
  <c r="E213" i="1" s="1"/>
  <c r="E219" i="1" s="1"/>
  <c r="G47" i="1"/>
  <c r="G56" i="1" s="1"/>
  <c r="G84" i="1" s="1"/>
  <c r="D47" i="1"/>
  <c r="C314" i="1" l="1"/>
  <c r="C342" i="1" s="1"/>
  <c r="E228" i="1"/>
  <c r="E256" i="1" s="1"/>
  <c r="E262" i="1" s="1"/>
  <c r="B185" i="1"/>
  <c r="B213" i="1" s="1"/>
  <c r="B219" i="1" s="1"/>
  <c r="D176" i="1"/>
  <c r="D133" i="1"/>
  <c r="D142" i="1" s="1"/>
  <c r="D170" i="1" s="1"/>
  <c r="F142" i="1"/>
  <c r="F170" i="1" s="1"/>
  <c r="F176" i="1" s="1"/>
  <c r="G133" i="1"/>
  <c r="G142" i="1" s="1"/>
  <c r="G170" i="1" s="1"/>
  <c r="G90" i="1"/>
  <c r="G99" i="1" s="1"/>
  <c r="G127" i="1" s="1"/>
  <c r="H127" i="1" s="1"/>
  <c r="H41" i="1"/>
  <c r="D56" i="1"/>
  <c r="D84" i="1" s="1"/>
  <c r="H84" i="1" s="1"/>
  <c r="H47" i="1"/>
  <c r="H56" i="1" s="1"/>
  <c r="E271" i="1" l="1"/>
  <c r="E299" i="1" s="1"/>
  <c r="E305" i="1" s="1"/>
  <c r="E314" i="1" s="1"/>
  <c r="E342" i="1" s="1"/>
  <c r="B228" i="1"/>
  <c r="B256" i="1" s="1"/>
  <c r="B262" i="1" s="1"/>
  <c r="D219" i="1"/>
  <c r="F185" i="1"/>
  <c r="F213" i="1" s="1"/>
  <c r="F219" i="1" s="1"/>
  <c r="G176" i="1"/>
  <c r="G185" i="1" s="1"/>
  <c r="G213" i="1" s="1"/>
  <c r="D185" i="1"/>
  <c r="D213" i="1" s="1"/>
  <c r="H133" i="1"/>
  <c r="H142" i="1" s="1"/>
  <c r="H170" i="1"/>
  <c r="H90" i="1"/>
  <c r="H99" i="1" s="1"/>
  <c r="F228" i="1" l="1"/>
  <c r="F256" i="1" s="1"/>
  <c r="F262" i="1" s="1"/>
  <c r="G219" i="1"/>
  <c r="G228" i="1" s="1"/>
  <c r="G256" i="1" s="1"/>
  <c r="B271" i="1"/>
  <c r="B299" i="1" s="1"/>
  <c r="B305" i="1" s="1"/>
  <c r="D262" i="1"/>
  <c r="D228" i="1"/>
  <c r="D256" i="1" s="1"/>
  <c r="H219" i="1"/>
  <c r="H228" i="1" s="1"/>
  <c r="H213" i="1"/>
  <c r="H176" i="1"/>
  <c r="H185" i="1" s="1"/>
  <c r="B314" i="1" l="1"/>
  <c r="B342" i="1" s="1"/>
  <c r="D305" i="1"/>
  <c r="D314" i="1" s="1"/>
  <c r="D342" i="1" s="1"/>
  <c r="H256" i="1"/>
  <c r="F271" i="1"/>
  <c r="F299" i="1" s="1"/>
  <c r="F305" i="1" s="1"/>
  <c r="G262" i="1"/>
  <c r="G271" i="1" s="1"/>
  <c r="G299" i="1" s="1"/>
  <c r="D271" i="1"/>
  <c r="D299" i="1" s="1"/>
  <c r="G305" i="1" l="1"/>
  <c r="F314" i="1"/>
  <c r="F342" i="1" s="1"/>
  <c r="H299" i="1"/>
  <c r="H262" i="1"/>
  <c r="H271" i="1" s="1"/>
  <c r="G314" i="1" l="1"/>
  <c r="G342" i="1" s="1"/>
  <c r="H342" i="1" s="1"/>
  <c r="H305" i="1"/>
  <c r="H314" i="1" s="1"/>
</calcChain>
</file>

<file path=xl/sharedStrings.xml><?xml version="1.0" encoding="utf-8"?>
<sst xmlns="http://schemas.openxmlformats.org/spreadsheetml/2006/main" count="733" uniqueCount="257">
  <si>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</si>
  <si>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</si>
  <si>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</si>
  <si>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</si>
  <si>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</si>
  <si>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</si>
  <si>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</si>
  <si>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</si>
  <si>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</si>
  <si>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</si>
  <si>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</si>
  <si>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</si>
  <si>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</si>
  <si>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</si>
  <si>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出荷数</t>
    <rPh sb="0" eb="2">
      <t>シュッカ</t>
    </rPh>
    <rPh sb="2" eb="3">
      <t>スウ</t>
    </rPh>
    <phoneticPr fontId="8"/>
  </si>
  <si>
    <t>残数</t>
    <rPh sb="0" eb="2">
      <t>ザンスウ</t>
    </rPh>
    <phoneticPr fontId="2"/>
  </si>
  <si>
    <t>M～L</t>
    <phoneticPr fontId="8"/>
  </si>
  <si>
    <t>L～LL</t>
    <phoneticPr fontId="8"/>
  </si>
  <si>
    <t>オフホワイト</t>
  </si>
  <si>
    <t>ブラック</t>
  </si>
  <si>
    <t>追加１ 2-1</t>
    <rPh sb="0" eb="2">
      <t>ツイカ</t>
    </rPh>
    <phoneticPr fontId="2"/>
  </si>
  <si>
    <t>追加２ 2-2</t>
    <rPh sb="0" eb="2">
      <t>ツイカ</t>
    </rPh>
    <phoneticPr fontId="2"/>
  </si>
  <si>
    <t>ディノス9月美健秋チラシ2色組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</si>
  <si>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事前搬入</t>
    <rPh sb="0" eb="2">
      <t>ジゼン</t>
    </rPh>
    <rPh sb="2" eb="4">
      <t>ハンニュウ</t>
    </rPh>
    <phoneticPr fontId="8"/>
  </si>
  <si>
    <t>コープきんき10月4回</t>
    <rPh sb="8" eb="9">
      <t>ガツ</t>
    </rPh>
    <rPh sb="10" eb="11">
      <t>カイ</t>
    </rPh>
    <phoneticPr fontId="8"/>
  </si>
  <si>
    <t>←式確認ここまで　2025/8/9</t>
    <rPh sb="1" eb="4">
      <t>シキカクニン</t>
    </rPh>
    <phoneticPr fontId="8"/>
  </si>
  <si>
    <t>コープきんき10月4回差分予測</t>
    <rPh sb="8" eb="9">
      <t>ガツ</t>
    </rPh>
    <rPh sb="10" eb="11">
      <t>カイ</t>
    </rPh>
    <rPh sb="11" eb="15">
      <t>サブンヨソク</t>
    </rPh>
    <phoneticPr fontId="8"/>
  </si>
  <si>
    <t>点9/26、アバウト10/14、本10/14～20</t>
    <rPh sb="0" eb="1">
      <t>テン</t>
    </rPh>
    <rPh sb="16" eb="17">
      <t>ホン</t>
    </rPh>
    <phoneticPr fontId="8"/>
  </si>
  <si>
    <t>2025/8/26数　9月伝</t>
    <rPh sb="9" eb="10">
      <t>スウ</t>
    </rPh>
    <rPh sb="12" eb="14">
      <t>ガツデン</t>
    </rPh>
    <phoneticPr fontId="8"/>
  </si>
  <si>
    <t>ディノス9月美健秋チラシ2色組①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</si>
  <si>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JODメルシー1008/2色組</t>
    <rPh sb="13" eb="15">
      <t>ショククミ</t>
    </rPh>
    <phoneticPr fontId="8"/>
  </si>
  <si>
    <t>10/8～</t>
    <phoneticPr fontId="8"/>
  </si>
  <si>
    <t>ディノス9月美健秋チラシ2色組②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</si>
  <si>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夢販</t>
    <rPh sb="0" eb="2">
      <t>ユメハン</t>
    </rPh>
    <phoneticPr fontId="8"/>
  </si>
  <si>
    <t>ディノス9月美健秋チラシ2色組③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</si>
  <si>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ディノス9月美健秋チラシ2色組④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</si>
  <si>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ディノス9月美健秋差分予測</t>
    <rPh sb="5" eb="6">
      <t>ガツ</t>
    </rPh>
    <rPh sb="6" eb="8">
      <t>ビケン</t>
    </rPh>
    <rPh sb="8" eb="9">
      <t>アキ</t>
    </rPh>
    <rPh sb="9" eb="13">
      <t>サブンヨソク</t>
    </rPh>
    <phoneticPr fontId="8"/>
  </si>
  <si>
    <t>ディノス9月美健秋チラシ2色組⑤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</si>
  <si>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ディノス9月美健秋チラシ2色組⑥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</si>
  <si>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コープきんき10月4回①</t>
    <rPh sb="8" eb="9">
      <t>ガツ</t>
    </rPh>
    <rPh sb="10" eb="11">
      <t>カイ</t>
    </rPh>
    <phoneticPr fontId="8"/>
  </si>
  <si>
    <t>パルくらすsample</t>
    <phoneticPr fontId="8"/>
  </si>
  <si>
    <t>4615-110～113</t>
    <phoneticPr fontId="8"/>
  </si>
  <si>
    <t>不足分</t>
    <rPh sb="0" eb="3">
      <t>フソクブン</t>
    </rPh>
    <phoneticPr fontId="2"/>
  </si>
  <si>
    <t>2025/10/1数伝</t>
    <rPh sb="9" eb="10">
      <t>スウ</t>
    </rPh>
    <rPh sb="10" eb="11">
      <t>デン</t>
    </rPh>
    <phoneticPr fontId="8"/>
  </si>
  <si>
    <t>かりん</t>
    <phoneticPr fontId="8"/>
  </si>
  <si>
    <t>夢販</t>
    <rPh sb="0" eb="2">
      <t>ユメハン</t>
    </rPh>
    <phoneticPr fontId="8"/>
  </si>
  <si>
    <t>JOD2色組①</t>
    <rPh sb="4" eb="5">
      <t>ショク</t>
    </rPh>
    <rPh sb="5" eb="6">
      <t>グミ</t>
    </rPh>
    <phoneticPr fontId="8"/>
  </si>
  <si>
    <t>シアーリブハイネックインナー　（KPORT在庫）@430  \1780～￥1900</t>
    <rPh sb="21" eb="23">
      <t>ザイコ</t>
    </rPh>
    <phoneticPr fontId="2"/>
  </si>
  <si>
    <t>シアーリブハイネックインナー（夢販在庫）@430</t>
    <rPh sb="15" eb="17">
      <t>ユメハン</t>
    </rPh>
    <rPh sb="17" eb="19">
      <t>ザイコ</t>
    </rPh>
    <phoneticPr fontId="2"/>
  </si>
  <si>
    <t>コープきんき10月4回②</t>
    <rPh sb="8" eb="9">
      <t>ガツ</t>
    </rPh>
    <rPh sb="10" eb="11">
      <t>カイ</t>
    </rPh>
    <phoneticPr fontId="8"/>
  </si>
  <si>
    <t>JOD2色組②</t>
    <rPh sb="4" eb="5">
      <t>ショク</t>
    </rPh>
    <rPh sb="5" eb="6">
      <t>グミ</t>
    </rPh>
    <phoneticPr fontId="8"/>
  </si>
  <si>
    <t>コープきんき10月4回③</t>
    <rPh sb="8" eb="9">
      <t>ガツ</t>
    </rPh>
    <rPh sb="10" eb="11">
      <t>カイ</t>
    </rPh>
    <phoneticPr fontId="8"/>
  </si>
  <si>
    <t>JOD2色組③</t>
    <rPh sb="4" eb="5">
      <t>ショク</t>
    </rPh>
    <rPh sb="5" eb="6">
      <t>グミ</t>
    </rPh>
    <phoneticPr fontId="8"/>
  </si>
  <si>
    <t>ネット</t>
    <phoneticPr fontId="8"/>
  </si>
  <si>
    <t>コープきんき10月4回④</t>
    <rPh sb="8" eb="9">
      <t>ガツ</t>
    </rPh>
    <rPh sb="10" eb="11">
      <t>カイ</t>
    </rPh>
    <phoneticPr fontId="8"/>
  </si>
  <si>
    <t>JOD2色組④</t>
    <rPh sb="4" eb="5">
      <t>ショク</t>
    </rPh>
    <rPh sb="5" eb="6">
      <t>グミ</t>
    </rPh>
    <phoneticPr fontId="8"/>
  </si>
  <si>
    <t>JOD2色組⑤</t>
    <rPh sb="4" eb="5">
      <t>ショク</t>
    </rPh>
    <rPh sb="5" eb="6">
      <t>グミ</t>
    </rPh>
    <phoneticPr fontId="8"/>
  </si>
  <si>
    <t>JOD2色組⑥</t>
    <rPh sb="4" eb="5">
      <t>ショク</t>
    </rPh>
    <rPh sb="5" eb="6">
      <t>グミ</t>
    </rPh>
    <phoneticPr fontId="8"/>
  </si>
  <si>
    <t>パル　きなり流2月3回差分予測</t>
    <rPh sb="6" eb="7">
      <t>リュウ</t>
    </rPh>
    <rPh sb="8" eb="9">
      <t>ガツ</t>
    </rPh>
    <rPh sb="10" eb="11">
      <t>カイ</t>
    </rPh>
    <rPh sb="11" eb="15">
      <t>サブンヨソク</t>
    </rPh>
    <phoneticPr fontId="8"/>
  </si>
  <si>
    <t>パル　きなり流2月3回</t>
    <rPh sb="6" eb="7">
      <t>リュウ</t>
    </rPh>
    <rPh sb="8" eb="9">
      <t>ガツ</t>
    </rPh>
    <rPh sb="10" eb="11">
      <t>カイ</t>
    </rPh>
    <phoneticPr fontId="8"/>
  </si>
  <si>
    <t>ロイヤルステージ2月号2色組</t>
    <rPh sb="9" eb="10">
      <t>ガツ</t>
    </rPh>
    <rPh sb="10" eb="11">
      <t>ゴウ</t>
    </rPh>
    <rPh sb="12" eb="14">
      <t>ショククミ</t>
    </rPh>
    <phoneticPr fontId="8"/>
  </si>
  <si>
    <t>2/13～</t>
    <phoneticPr fontId="8"/>
  </si>
  <si>
    <t>点1/29、アバウト・初回2/10、最終発注2/16（慶弔/ブラックのみ）</t>
    <rPh sb="0" eb="1">
      <t>テン</t>
    </rPh>
    <rPh sb="11" eb="13">
      <t>ショカイ</t>
    </rPh>
    <rPh sb="18" eb="20">
      <t>サイシュウ</t>
    </rPh>
    <rPh sb="20" eb="22">
      <t>ハッチュウ</t>
    </rPh>
    <rPh sb="27" eb="29">
      <t>ケイチョウ</t>
    </rPh>
    <phoneticPr fontId="8"/>
  </si>
  <si>
    <t>JODメルシー1126/2色組</t>
    <rPh sb="13" eb="15">
      <t>ショククミ</t>
    </rPh>
    <phoneticPr fontId="8"/>
  </si>
  <si>
    <t>11/26～</t>
    <phoneticPr fontId="8"/>
  </si>
  <si>
    <t>JOD2色組⑦</t>
    <rPh sb="4" eb="5">
      <t>ショク</t>
    </rPh>
    <rPh sb="5" eb="6">
      <t>グミ</t>
    </rPh>
    <phoneticPr fontId="8"/>
  </si>
  <si>
    <t>JOD2色組⑧</t>
    <rPh sb="4" eb="5">
      <t>ショク</t>
    </rPh>
    <rPh sb="5" eb="6">
      <t>グミ</t>
    </rPh>
    <phoneticPr fontId="8"/>
  </si>
  <si>
    <t>JOD2色組⑨</t>
    <rPh sb="4" eb="5">
      <t>ショク</t>
    </rPh>
    <rPh sb="5" eb="6">
      <t>グミ</t>
    </rPh>
    <phoneticPr fontId="8"/>
  </si>
  <si>
    <t>JOD2色組⑩</t>
    <rPh sb="4" eb="5">
      <t>ショク</t>
    </rPh>
    <rPh sb="5" eb="6">
      <t>グミ</t>
    </rPh>
    <phoneticPr fontId="8"/>
  </si>
  <si>
    <t>酒井個人買い</t>
    <rPh sb="0" eb="2">
      <t>サカイ</t>
    </rPh>
    <rPh sb="2" eb="5">
      <t>コジンガ</t>
    </rPh>
    <phoneticPr fontId="8"/>
  </si>
  <si>
    <t>なごみsample</t>
    <phoneticPr fontId="8"/>
  </si>
  <si>
    <t>JOD2色組⑪</t>
    <rPh sb="4" eb="5">
      <t>ショク</t>
    </rPh>
    <rPh sb="5" eb="6">
      <t>グミ</t>
    </rPh>
    <phoneticPr fontId="8"/>
  </si>
  <si>
    <t>西本さん個人買い</t>
    <rPh sb="0" eb="2">
      <t>ニシモト</t>
    </rPh>
    <rPh sb="4" eb="7">
      <t>コジンガ</t>
    </rPh>
    <phoneticPr fontId="8"/>
  </si>
  <si>
    <t>JOD2色組⑫</t>
    <rPh sb="4" eb="5">
      <t>ショク</t>
    </rPh>
    <rPh sb="5" eb="6">
      <t>グミ</t>
    </rPh>
    <phoneticPr fontId="8"/>
  </si>
  <si>
    <t>村田さん</t>
    <rPh sb="0" eb="2">
      <t>ムラタ</t>
    </rPh>
    <phoneticPr fontId="8"/>
  </si>
  <si>
    <t>JOD2色組⑬</t>
    <rPh sb="4" eb="5">
      <t>ショク</t>
    </rPh>
    <rPh sb="5" eb="6">
      <t>グミ</t>
    </rPh>
    <phoneticPr fontId="8"/>
  </si>
  <si>
    <t>かりん</t>
    <phoneticPr fontId="8"/>
  </si>
  <si>
    <t>コープさっぽろ1月4回</t>
    <rPh sb="8" eb="9">
      <t>ガツ</t>
    </rPh>
    <rPh sb="10" eb="11">
      <t>カイ</t>
    </rPh>
    <phoneticPr fontId="8"/>
  </si>
  <si>
    <t>1/14、1/19</t>
    <phoneticPr fontId="8"/>
  </si>
  <si>
    <t>2/20～5/10</t>
    <phoneticPr fontId="8"/>
  </si>
  <si>
    <t>なごみ検品用sample</t>
    <rPh sb="3" eb="6">
      <t>ケンピンヨウ</t>
    </rPh>
    <phoneticPr fontId="8"/>
  </si>
  <si>
    <t>なごみ3月号別冊</t>
    <rPh sb="4" eb="5">
      <t>ガツ</t>
    </rPh>
    <rPh sb="5" eb="6">
      <t>ゴウ</t>
    </rPh>
    <rPh sb="6" eb="8">
      <t>ベッサツ</t>
    </rPh>
    <phoneticPr fontId="8"/>
  </si>
  <si>
    <t>ユーコープ2月4回</t>
    <rPh sb="6" eb="7">
      <t>ガツ</t>
    </rPh>
    <rPh sb="8" eb="9">
      <t>カイ</t>
    </rPh>
    <phoneticPr fontId="8"/>
  </si>
  <si>
    <t>JODアクセス7014/2色組</t>
    <rPh sb="13" eb="15">
      <t>ショククミ</t>
    </rPh>
    <phoneticPr fontId="8"/>
  </si>
  <si>
    <t>1/14～</t>
    <phoneticPr fontId="8"/>
  </si>
  <si>
    <t>JOD2色組⑭</t>
    <rPh sb="4" eb="5">
      <t>ショク</t>
    </rPh>
    <rPh sb="5" eb="6">
      <t>グミ</t>
    </rPh>
    <phoneticPr fontId="8"/>
  </si>
  <si>
    <t>はぴねすくらぶ2月号</t>
    <rPh sb="8" eb="10">
      <t>ガツゴウ</t>
    </rPh>
    <phoneticPr fontId="8"/>
  </si>
  <si>
    <t>2/9～</t>
    <phoneticPr fontId="8"/>
  </si>
  <si>
    <t>ディノス返品</t>
    <rPh sb="4" eb="6">
      <t>ヘンピン</t>
    </rPh>
    <phoneticPr fontId="2"/>
  </si>
  <si>
    <t>JOD2色組⑮</t>
    <rPh sb="4" eb="5">
      <t>ショク</t>
    </rPh>
    <rPh sb="5" eb="6">
      <t>グミ</t>
    </rPh>
    <phoneticPr fontId="8"/>
  </si>
  <si>
    <t>2/4～2/11</t>
    <phoneticPr fontId="8"/>
  </si>
  <si>
    <t>はぴねすくらぶ2月号差分予測</t>
    <rPh sb="8" eb="10">
      <t>ガツゴウ</t>
    </rPh>
    <rPh sb="10" eb="14">
      <t>サブンヨソク</t>
    </rPh>
    <phoneticPr fontId="8"/>
  </si>
  <si>
    <t>ユーコープ2月4回差分予測</t>
    <rPh sb="6" eb="7">
      <t>ガツ</t>
    </rPh>
    <rPh sb="8" eb="9">
      <t>カイ</t>
    </rPh>
    <rPh sb="9" eb="13">
      <t>サブンヨソク</t>
    </rPh>
    <phoneticPr fontId="8"/>
  </si>
  <si>
    <t>ロイヤルステージ2月号2色組差分予測</t>
    <rPh sb="9" eb="10">
      <t>ガツ</t>
    </rPh>
    <rPh sb="10" eb="11">
      <t>ゴウ</t>
    </rPh>
    <rPh sb="12" eb="14">
      <t>ショククミ</t>
    </rPh>
    <rPh sb="14" eb="18">
      <t>サブンヨソク</t>
    </rPh>
    <phoneticPr fontId="8"/>
  </si>
  <si>
    <t>コープさっぽろ1月4回差分予測</t>
    <rPh sb="8" eb="9">
      <t>ガツ</t>
    </rPh>
    <rPh sb="10" eb="11">
      <t>カイ</t>
    </rPh>
    <rPh sb="11" eb="15">
      <t>サブンヨソク</t>
    </rPh>
    <phoneticPr fontId="8"/>
  </si>
  <si>
    <t>くらし返品</t>
    <rPh sb="3" eb="5">
      <t>ヘンピン</t>
    </rPh>
    <phoneticPr fontId="2"/>
  </si>
  <si>
    <t>グリーンコープ2月48号（不透明袋）</t>
    <rPh sb="8" eb="9">
      <t>ガツ</t>
    </rPh>
    <rPh sb="11" eb="12">
      <t>ゴウ</t>
    </rPh>
    <rPh sb="13" eb="17">
      <t>フトウメイフクロ</t>
    </rPh>
    <phoneticPr fontId="8"/>
  </si>
  <si>
    <t>グリーンコープ2月48号差分予測</t>
    <rPh sb="8" eb="9">
      <t>ガツ</t>
    </rPh>
    <rPh sb="11" eb="12">
      <t>ゴウ</t>
    </rPh>
    <rPh sb="12" eb="16">
      <t>サブンヨソク</t>
    </rPh>
    <phoneticPr fontId="8"/>
  </si>
  <si>
    <t>コープきんき3月3回差分予測</t>
    <rPh sb="7" eb="8">
      <t>ガツ</t>
    </rPh>
    <rPh sb="9" eb="10">
      <t>カイ</t>
    </rPh>
    <rPh sb="10" eb="14">
      <t>サブンヨソク</t>
    </rPh>
    <phoneticPr fontId="8"/>
  </si>
  <si>
    <t>JOD特別版1225/2色組</t>
    <rPh sb="3" eb="6">
      <t>トクベツバン</t>
    </rPh>
    <rPh sb="12" eb="14">
      <t>ショククミ</t>
    </rPh>
    <phoneticPr fontId="8"/>
  </si>
  <si>
    <t>12/24～</t>
    <phoneticPr fontId="8"/>
  </si>
  <si>
    <t>ディノス9月美健秋チラシ2色組⑦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</si>
  <si>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JOD返品</t>
    <rPh sb="3" eb="5">
      <t>ヘンピン</t>
    </rPh>
    <phoneticPr fontId="2"/>
  </si>
  <si>
    <t>JOD2色組⑯</t>
    <rPh sb="4" eb="5">
      <t>ショク</t>
    </rPh>
    <rPh sb="5" eb="6">
      <t>グミ</t>
    </rPh>
    <phoneticPr fontId="8"/>
  </si>
  <si>
    <t>夢販</t>
    <rPh sb="0" eb="2">
      <t>ユメハン</t>
    </rPh>
    <phoneticPr fontId="8"/>
  </si>
  <si>
    <t>ディノス9月美健秋チラシ2色組⑧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</si>
  <si>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JOD2色組⑰</t>
    <rPh sb="4" eb="5">
      <t>ショク</t>
    </rPh>
    <rPh sb="5" eb="6">
      <t>グミ</t>
    </rPh>
    <phoneticPr fontId="8"/>
  </si>
  <si>
    <t>夢販</t>
    <rPh sb="0" eb="2">
      <t>ユメハン</t>
    </rPh>
    <phoneticPr fontId="8"/>
  </si>
  <si>
    <t>JOD2色組⑱</t>
    <rPh sb="4" eb="5">
      <t>ショク</t>
    </rPh>
    <rPh sb="5" eb="6">
      <t>グミ</t>
    </rPh>
    <phoneticPr fontId="8"/>
  </si>
  <si>
    <t>2/11～25</t>
    <phoneticPr fontId="8"/>
  </si>
  <si>
    <t>JOD2色組⑲</t>
    <rPh sb="4" eb="5">
      <t>ショク</t>
    </rPh>
    <rPh sb="5" eb="6">
      <t>グミ</t>
    </rPh>
    <phoneticPr fontId="8"/>
  </si>
  <si>
    <t>JOD2色組⑳</t>
    <rPh sb="4" eb="5">
      <t>ショク</t>
    </rPh>
    <rPh sb="5" eb="6">
      <t>グミ</t>
    </rPh>
    <phoneticPr fontId="8"/>
  </si>
  <si>
    <t>JOD2色組㉑</t>
    <rPh sb="4" eb="5">
      <t>ショク</t>
    </rPh>
    <rPh sb="5" eb="6">
      <t>グミ</t>
    </rPh>
    <phoneticPr fontId="8"/>
  </si>
  <si>
    <t>JOD特別号9553/2色組</t>
    <rPh sb="3" eb="6">
      <t>トクベツゴウ</t>
    </rPh>
    <rPh sb="12" eb="14">
      <t>ショククミ</t>
    </rPh>
    <phoneticPr fontId="8"/>
  </si>
  <si>
    <t>1/29～</t>
    <phoneticPr fontId="8"/>
  </si>
  <si>
    <t>追加３ 2-2</t>
    <rPh sb="0" eb="2">
      <t>ツイカ</t>
    </rPh>
    <phoneticPr fontId="2"/>
  </si>
  <si>
    <t>JOD2色組㉒</t>
    <rPh sb="4" eb="5">
      <t>ショク</t>
    </rPh>
    <rPh sb="5" eb="6">
      <t>グミ</t>
    </rPh>
    <phoneticPr fontId="8"/>
  </si>
  <si>
    <t>追加５　2-1</t>
    <rPh sb="0" eb="2">
      <t>ツイカ</t>
    </rPh>
    <phoneticPr fontId="2"/>
  </si>
  <si>
    <t>JOD2色組㉓</t>
    <rPh sb="4" eb="5">
      <t>ショク</t>
    </rPh>
    <rPh sb="5" eb="6">
      <t>グミ</t>
    </rPh>
    <phoneticPr fontId="8"/>
  </si>
  <si>
    <t>JOD2色組㉔</t>
    <rPh sb="4" eb="5">
      <t>ショク</t>
    </rPh>
    <rPh sb="5" eb="6">
      <t>グミ</t>
    </rPh>
    <phoneticPr fontId="8"/>
  </si>
  <si>
    <t>JOD2色組㉕</t>
    <rPh sb="4" eb="5">
      <t>ショク</t>
    </rPh>
    <rPh sb="5" eb="6">
      <t>グミ</t>
    </rPh>
    <phoneticPr fontId="8"/>
  </si>
  <si>
    <t>りすぺーる4月3回差分予測</t>
    <rPh sb="6" eb="7">
      <t>ガツ</t>
    </rPh>
    <rPh sb="8" eb="9">
      <t>カイ</t>
    </rPh>
    <rPh sb="9" eb="13">
      <t>サブンヨソク</t>
    </rPh>
    <phoneticPr fontId="8"/>
  </si>
  <si>
    <t>りすぺーる4月3回</t>
    <rPh sb="6" eb="7">
      <t>ガツ</t>
    </rPh>
    <rPh sb="8" eb="9">
      <t>カイ</t>
    </rPh>
    <phoneticPr fontId="8"/>
  </si>
  <si>
    <t>点3/26、初回・アバウト4/7、最終発注日4/13</t>
    <rPh sb="0" eb="1">
      <t>テン</t>
    </rPh>
    <rPh sb="6" eb="8">
      <t>ショカイ</t>
    </rPh>
    <rPh sb="17" eb="22">
      <t>サイシュウハッチュウビ</t>
    </rPh>
    <phoneticPr fontId="8"/>
  </si>
  <si>
    <t>かりん</t>
    <phoneticPr fontId="8"/>
  </si>
  <si>
    <t>ネット</t>
    <phoneticPr fontId="8"/>
  </si>
  <si>
    <t>JOD2色組㉖</t>
    <rPh sb="4" eb="5">
      <t>ショク</t>
    </rPh>
    <rPh sb="5" eb="6">
      <t>グミ</t>
    </rPh>
    <phoneticPr fontId="8"/>
  </si>
  <si>
    <t>ディノス9月美健秋チラシ2色組⑨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</si>
  <si>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JOD2色組㉗</t>
    <rPh sb="4" eb="5">
      <t>ショク</t>
    </rPh>
    <rPh sb="5" eb="6">
      <t>グミ</t>
    </rPh>
    <phoneticPr fontId="8"/>
  </si>
  <si>
    <t>ディノス9月美健秋チラシ2色組⑩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</si>
  <si>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夢販</t>
    <rPh sb="0" eb="2">
      <t>y</t>
    </rPh>
    <phoneticPr fontId="8"/>
  </si>
  <si>
    <t>JOD2色組㉘</t>
    <rPh sb="4" eb="5">
      <t>ショク</t>
    </rPh>
    <rPh sb="5" eb="6">
      <t>グミ</t>
    </rPh>
    <phoneticPr fontId="8"/>
  </si>
  <si>
    <t>なごみ3月号別冊①</t>
    <rPh sb="4" eb="5">
      <t>ガツ</t>
    </rPh>
    <rPh sb="5" eb="6">
      <t>ゴウ</t>
    </rPh>
    <rPh sb="6" eb="8">
      <t>ベッサツ</t>
    </rPh>
    <phoneticPr fontId="8"/>
  </si>
  <si>
    <t>JOD2色組㉙</t>
    <rPh sb="4" eb="5">
      <t>ショク</t>
    </rPh>
    <rPh sb="5" eb="6">
      <t>グミ</t>
    </rPh>
    <phoneticPr fontId="8"/>
  </si>
  <si>
    <t>JOD2色組㉚</t>
    <rPh sb="4" eb="5">
      <t>ショク</t>
    </rPh>
    <rPh sb="5" eb="6">
      <t>グミ</t>
    </rPh>
    <phoneticPr fontId="8"/>
  </si>
  <si>
    <t>2025/1/10数伝</t>
    <rPh sb="9" eb="11">
      <t>スウデン</t>
    </rPh>
    <phoneticPr fontId="8"/>
  </si>
  <si>
    <t>点2/20、アバウト3/10、本3/10～16</t>
    <rPh sb="0" eb="1">
      <t>テン</t>
    </rPh>
    <rPh sb="15" eb="16">
      <t>ホン</t>
    </rPh>
    <phoneticPr fontId="8"/>
  </si>
  <si>
    <t>コープきんき3月3回 特価￥1580</t>
    <rPh sb="7" eb="8">
      <t>ガツ</t>
    </rPh>
    <rPh sb="9" eb="10">
      <t>カイ</t>
    </rPh>
    <rPh sb="11" eb="13">
      <t>トッカ</t>
    </rPh>
    <phoneticPr fontId="8"/>
  </si>
  <si>
    <t>JOD2色組㉛</t>
    <rPh sb="4" eb="5">
      <t>ショク</t>
    </rPh>
    <rPh sb="5" eb="6">
      <t>グミ</t>
    </rPh>
    <phoneticPr fontId="8"/>
  </si>
  <si>
    <t>コープさっぽろ1月4回①</t>
    <rPh sb="8" eb="9">
      <t>ガツ</t>
    </rPh>
    <rPh sb="10" eb="11">
      <t>カイ</t>
    </rPh>
    <phoneticPr fontId="8"/>
  </si>
  <si>
    <t>JOD2色組㉜</t>
    <rPh sb="4" eb="5">
      <t>ショク</t>
    </rPh>
    <rPh sb="5" eb="6">
      <t>グミ</t>
    </rPh>
    <phoneticPr fontId="8"/>
  </si>
  <si>
    <t>JOD2色組㉝</t>
    <rPh sb="4" eb="5">
      <t>ショク</t>
    </rPh>
    <rPh sb="5" eb="6">
      <t>グミ</t>
    </rPh>
    <phoneticPr fontId="8"/>
  </si>
  <si>
    <t>JOD2色組㉞</t>
    <rPh sb="4" eb="5">
      <t>ショク</t>
    </rPh>
    <rPh sb="5" eb="6">
      <t>グミ</t>
    </rPh>
    <phoneticPr fontId="8"/>
  </si>
  <si>
    <t>コープさっぽろ1月4回②</t>
    <rPh sb="8" eb="9">
      <t>ガツ</t>
    </rPh>
    <rPh sb="10" eb="11">
      <t>カイ</t>
    </rPh>
    <phoneticPr fontId="8"/>
  </si>
  <si>
    <t>JOD特別版0226/2色組</t>
    <rPh sb="3" eb="5">
      <t>トクベツ</t>
    </rPh>
    <rPh sb="5" eb="6">
      <t>バン</t>
    </rPh>
    <rPh sb="12" eb="14">
      <t>ショククミ</t>
    </rPh>
    <phoneticPr fontId="8"/>
  </si>
  <si>
    <t>2/25～</t>
    <phoneticPr fontId="8"/>
  </si>
  <si>
    <t>JOD2色組㉟</t>
    <rPh sb="4" eb="5">
      <t>ショク</t>
    </rPh>
    <rPh sb="5" eb="6">
      <t>グミ</t>
    </rPh>
    <phoneticPr fontId="8"/>
  </si>
  <si>
    <t>ディノス9月美健秋チラシ2色組⑪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</si>
  <si>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JOD2色組㊱</t>
    <rPh sb="4" eb="5">
      <t>ショク</t>
    </rPh>
    <rPh sb="5" eb="6">
      <t>グミ</t>
    </rPh>
    <phoneticPr fontId="8"/>
  </si>
  <si>
    <t>JOD2色組㊲</t>
    <rPh sb="4" eb="5">
      <t>ショク</t>
    </rPh>
    <rPh sb="5" eb="6">
      <t>グミ</t>
    </rPh>
    <phoneticPr fontId="8"/>
  </si>
  <si>
    <t>パル　きなり流2月3回①</t>
    <rPh sb="6" eb="7">
      <t>リュウ</t>
    </rPh>
    <rPh sb="8" eb="9">
      <t>ガツ</t>
    </rPh>
    <rPh sb="10" eb="11">
      <t>カイ</t>
    </rPh>
    <phoneticPr fontId="8"/>
  </si>
  <si>
    <t>ゆめはん</t>
    <phoneticPr fontId="8"/>
  </si>
  <si>
    <t>ディノス9月美健秋チラシ2色組⑫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</si>
  <si>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JOD返品</t>
    <rPh sb="3" eb="5">
      <t>ヘンピン</t>
    </rPh>
    <phoneticPr fontId="8"/>
  </si>
  <si>
    <t>はぴねすくらぶ2月号2色組①</t>
    <rPh sb="8" eb="10">
      <t>ガツゴウ</t>
    </rPh>
    <rPh sb="11" eb="13">
      <t>ショクグミ</t>
    </rPh>
    <phoneticPr fontId="8"/>
  </si>
  <si>
    <t>追加</t>
    <rPh sb="0" eb="2">
      <t>t</t>
    </rPh>
    <phoneticPr fontId="8"/>
  </si>
  <si>
    <t>過入荷分</t>
    <rPh sb="0" eb="4">
      <t>カニュウカブン</t>
    </rPh>
    <phoneticPr fontId="2"/>
  </si>
  <si>
    <t>ディノス9月美健秋チラシ2色組⑬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</si>
  <si>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グリーンコープ2月48号（不透明袋）①</t>
    <rPh sb="8" eb="9">
      <t>ガツ</t>
    </rPh>
    <rPh sb="11" eb="12">
      <t>ゴウ</t>
    </rPh>
    <rPh sb="13" eb="17">
      <t>フトウメイフクロ</t>
    </rPh>
    <phoneticPr fontId="8"/>
  </si>
  <si>
    <t>グリーンコープ2月48号（不透明袋）②</t>
    <rPh sb="8" eb="9">
      <t>ガツ</t>
    </rPh>
    <rPh sb="11" eb="12">
      <t>ゴウ</t>
    </rPh>
    <rPh sb="13" eb="17">
      <t>フトウメイフクロ</t>
    </rPh>
    <phoneticPr fontId="8"/>
  </si>
  <si>
    <t>2026/2/9数伝</t>
    <rPh sb="8" eb="9">
      <t>スウ</t>
    </rPh>
    <rPh sb="9" eb="10">
      <t>デン</t>
    </rPh>
    <phoneticPr fontId="8"/>
  </si>
  <si>
    <t>JOD2色組㊳</t>
    <rPh sb="4" eb="5">
      <t>ショク</t>
    </rPh>
    <rPh sb="5" eb="6">
      <t>グミ</t>
    </rPh>
    <phoneticPr fontId="8"/>
  </si>
  <si>
    <t>パル　きなり流2月3回②</t>
    <rPh sb="6" eb="7">
      <t>リュウ</t>
    </rPh>
    <rPh sb="8" eb="9">
      <t>ガツ</t>
    </rPh>
    <rPh sb="10" eb="11">
      <t>カイ</t>
    </rPh>
    <phoneticPr fontId="8"/>
  </si>
  <si>
    <t>JOD2色組㊴</t>
    <rPh sb="4" eb="5">
      <t>ショク</t>
    </rPh>
    <rPh sb="5" eb="6">
      <t>グミ</t>
    </rPh>
    <phoneticPr fontId="8"/>
  </si>
  <si>
    <t>ユーコープ2月4回①</t>
    <rPh sb="6" eb="7">
      <t>ガツ</t>
    </rPh>
    <rPh sb="8" eb="9">
      <t>カイ</t>
    </rPh>
    <phoneticPr fontId="8"/>
  </si>
  <si>
    <t>JOD2色組㊵</t>
    <rPh sb="4" eb="5">
      <t>ショク</t>
    </rPh>
    <rPh sb="5" eb="6">
      <t>グミ</t>
    </rPh>
    <phoneticPr fontId="8"/>
  </si>
  <si>
    <t>パル　きなり流2月3回③</t>
    <rPh sb="6" eb="7">
      <t>リュウ</t>
    </rPh>
    <rPh sb="8" eb="9">
      <t>ガツ</t>
    </rPh>
    <rPh sb="10" eb="11">
      <t>カイ</t>
    </rPh>
    <phoneticPr fontId="8"/>
  </si>
  <si>
    <t>ロイヤルステージ2月号2色組①</t>
    <rPh sb="9" eb="10">
      <t>ガツ</t>
    </rPh>
    <rPh sb="10" eb="11">
      <t>ゴウ</t>
    </rPh>
    <rPh sb="12" eb="14">
      <t>ショククミ</t>
    </rPh>
    <phoneticPr fontId="8"/>
  </si>
  <si>
    <t>ゆめはん</t>
    <phoneticPr fontId="8"/>
  </si>
  <si>
    <t>JOD2色組㊶</t>
    <rPh sb="4" eb="5">
      <t>ショク</t>
    </rPh>
    <rPh sb="5" eb="6">
      <t>グミ</t>
    </rPh>
    <phoneticPr fontId="8"/>
  </si>
  <si>
    <t>JOD2色組㊷</t>
    <rPh sb="4" eb="5">
      <t>ショク</t>
    </rPh>
    <rPh sb="5" eb="6">
      <t>グミ</t>
    </rPh>
    <phoneticPr fontId="8"/>
  </si>
  <si>
    <t>ユーコープ2月4回②</t>
    <rPh sb="6" eb="7">
      <t>ガツ</t>
    </rPh>
    <rPh sb="8" eb="9">
      <t>カイ</t>
    </rPh>
    <phoneticPr fontId="8"/>
  </si>
  <si>
    <t>コープきんき3月3回 特価￥1580①</t>
    <rPh sb="7" eb="8">
      <t>ガツ</t>
    </rPh>
    <rPh sb="9" eb="10">
      <t>カイ</t>
    </rPh>
    <rPh sb="11" eb="13">
      <t>トッカ</t>
    </rPh>
    <phoneticPr fontId="8"/>
  </si>
  <si>
    <t>在庫確認</t>
    <rPh sb="0" eb="4">
      <t>ザイコカクニン</t>
    </rPh>
    <phoneticPr fontId="2"/>
  </si>
  <si>
    <t>JOD2色組㊸</t>
    <rPh sb="4" eb="5">
      <t>ショク</t>
    </rPh>
    <rPh sb="5" eb="6">
      <t>グミ</t>
    </rPh>
    <phoneticPr fontId="8"/>
  </si>
  <si>
    <t>ユーコープ2月4回③</t>
    <rPh sb="6" eb="7">
      <t>ガツ</t>
    </rPh>
    <rPh sb="8" eb="9">
      <t>カイ</t>
    </rPh>
    <phoneticPr fontId="8"/>
  </si>
  <si>
    <t>JOD2色組㊹</t>
    <rPh sb="4" eb="5">
      <t>ショク</t>
    </rPh>
    <rPh sb="5" eb="6">
      <t>グミ</t>
    </rPh>
    <phoneticPr fontId="8"/>
  </si>
  <si>
    <t>3/14ship</t>
    <phoneticPr fontId="8"/>
  </si>
  <si>
    <t>JOD2色組㊺</t>
    <rPh sb="4" eb="5">
      <t>ショク</t>
    </rPh>
    <rPh sb="5" eb="6">
      <t>グミ</t>
    </rPh>
    <phoneticPr fontId="8"/>
  </si>
  <si>
    <t>かりん</t>
    <phoneticPr fontId="8"/>
  </si>
  <si>
    <t>オバタ返品</t>
    <rPh sb="3" eb="5">
      <t>ヘンピン</t>
    </rPh>
    <phoneticPr fontId="2"/>
  </si>
  <si>
    <t>JOD2色組㊻</t>
    <rPh sb="4" eb="5">
      <t>ショク</t>
    </rPh>
    <rPh sb="5" eb="6">
      <t>グミ</t>
    </rPh>
    <phoneticPr fontId="8"/>
  </si>
  <si>
    <t>ディノス9月美健秋チラシ2色組⑭</t>
    <rPh sb="5" eb="6">
      <t>ガツ</t>
    </rPh>
    <rPh sb="6" eb="8">
      <t>ビケン</t>
    </rPh>
    <rPh sb="8" eb="9">
      <t>アキ</t>
    </rPh>
    <rPh sb="13" eb="15">
      <t>ショククミ</t>
    </rPh>
    <phoneticPr fontId="8"/>
  </si>
  <si>
    <t>←ここまで在庫確認済2/25</t>
    <rPh sb="0" eb="10">
      <t>ヤジルシココマデザイコカクニンスミ</t>
    </rPh>
    <phoneticPr fontId="8"/>
  </si>
  <si>
    <t>JOD2色組㊼</t>
    <rPh sb="4" eb="5">
      <t>ショク</t>
    </rPh>
    <rPh sb="5" eb="6">
      <t>グミ</t>
    </rPh>
    <phoneticPr fontId="8"/>
  </si>
  <si>
    <t>JOD2色組㊽</t>
    <rPh sb="4" eb="5">
      <t>ショク</t>
    </rPh>
    <rPh sb="5" eb="6">
      <t>グミ</t>
    </rPh>
    <phoneticPr fontId="8"/>
  </si>
  <si>
    <t>JOD2色組㊾</t>
    <rPh sb="4" eb="5">
      <t>ショク</t>
    </rPh>
    <rPh sb="5" eb="6">
      <t>グミ</t>
    </rPh>
    <phoneticPr fontId="8"/>
  </si>
  <si>
    <t>かりん</t>
    <phoneticPr fontId="8"/>
  </si>
  <si>
    <t>JOD2色組㊿</t>
    <rPh sb="4" eb="5">
      <t>ショク</t>
    </rPh>
    <rPh sb="5" eb="6">
      <t>グミ</t>
    </rPh>
    <phoneticPr fontId="8"/>
  </si>
  <si>
    <t>JOD2色組51</t>
    <rPh sb="4" eb="5">
      <t>ショク</t>
    </rPh>
    <rPh sb="5" eb="6">
      <t>グミ</t>
    </rPh>
    <phoneticPr fontId="8"/>
  </si>
  <si>
    <t>JOD2色組52</t>
    <rPh sb="4" eb="5">
      <t>ショク</t>
    </rPh>
    <rPh sb="5" eb="6">
      <t>グミ</t>
    </rPh>
    <phoneticPr fontId="8"/>
  </si>
  <si>
    <t>ロイヤルステージ2月号2色組②</t>
    <rPh sb="9" eb="10">
      <t>ガツ</t>
    </rPh>
    <rPh sb="10" eb="11">
      <t>ゴウ</t>
    </rPh>
    <rPh sb="12" eb="14">
      <t>ショククミ</t>
    </rPh>
    <phoneticPr fontId="8"/>
  </si>
  <si>
    <t>JOD2色組53</t>
    <rPh sb="4" eb="5">
      <t>ショク</t>
    </rPh>
    <rPh sb="5" eb="6">
      <t>グミ</t>
    </rPh>
    <phoneticPr fontId="8"/>
  </si>
  <si>
    <t>なごみ3月号別冊　差分予測</t>
    <rPh sb="4" eb="5">
      <t>ガツ</t>
    </rPh>
    <rPh sb="5" eb="6">
      <t>ゴウ</t>
    </rPh>
    <rPh sb="6" eb="8">
      <t>ベッサツ</t>
    </rPh>
    <rPh sb="9" eb="13">
      <t>サブンヨソク</t>
    </rPh>
    <phoneticPr fontId="8"/>
  </si>
  <si>
    <t>なごみ3月号別冊②</t>
    <rPh sb="4" eb="5">
      <t>ガツ</t>
    </rPh>
    <rPh sb="5" eb="6">
      <t>ゴウ</t>
    </rPh>
    <rPh sb="6" eb="8">
      <t>ベッサツ</t>
    </rPh>
    <phoneticPr fontId="8"/>
  </si>
  <si>
    <t>ロイヤルステージ2月号2色組③</t>
    <rPh sb="9" eb="10">
      <t>ガツ</t>
    </rPh>
    <rPh sb="10" eb="11">
      <t>ゴウ</t>
    </rPh>
    <rPh sb="12" eb="14">
      <t>ショククミ</t>
    </rPh>
    <phoneticPr fontId="8"/>
  </si>
  <si>
    <t>JOD2色組54</t>
    <rPh sb="4" eb="5">
      <t>ショク</t>
    </rPh>
    <rPh sb="5" eb="6">
      <t>グミ</t>
    </rPh>
    <phoneticPr fontId="8"/>
  </si>
  <si>
    <t>コープきんき3月3回 特価￥1580②</t>
    <rPh sb="7" eb="8">
      <t>ガツ</t>
    </rPh>
    <rPh sb="9" eb="10">
      <t>カイ</t>
    </rPh>
    <rPh sb="11" eb="13">
      <t>トッカ</t>
    </rPh>
    <phoneticPr fontId="8"/>
  </si>
  <si>
    <t>JOD2色組55</t>
    <rPh sb="4" eb="5">
      <t>ショク</t>
    </rPh>
    <rPh sb="5" eb="6">
      <t>グミ</t>
    </rPh>
    <phoneticPr fontId="8"/>
  </si>
  <si>
    <t>追加</t>
    <rPh sb="0" eb="2">
      <t>ツイカ</t>
    </rPh>
    <phoneticPr fontId="8"/>
  </si>
  <si>
    <t>ロイヤルステージ2月号2色組④</t>
    <rPh sb="9" eb="10">
      <t>ガツ</t>
    </rPh>
    <rPh sb="10" eb="11">
      <t>ゴウ</t>
    </rPh>
    <rPh sb="12" eb="14">
      <t>ショククミ</t>
    </rPh>
    <phoneticPr fontId="8"/>
  </si>
  <si>
    <t>JOD2色組56</t>
    <rPh sb="4" eb="5">
      <t>ショク</t>
    </rPh>
    <rPh sb="5" eb="6">
      <t>グミ</t>
    </rPh>
    <phoneticPr fontId="8"/>
  </si>
  <si>
    <t>JOD2色組57</t>
    <rPh sb="4" eb="5">
      <t>ショク</t>
    </rPh>
    <rPh sb="5" eb="6">
      <t>グミ</t>
    </rPh>
    <phoneticPr fontId="8"/>
  </si>
  <si>
    <t>コープきんき3月3回 特価￥1580③</t>
    <rPh sb="7" eb="8">
      <t>ガツ</t>
    </rPh>
    <rPh sb="9" eb="10">
      <t>カイ</t>
    </rPh>
    <rPh sb="11" eb="13">
      <t>トッカ</t>
    </rPh>
    <phoneticPr fontId="8"/>
  </si>
  <si>
    <t>サクラマチ返品</t>
    <rPh sb="5" eb="7">
      <t>ヘンピン</t>
    </rPh>
    <phoneticPr fontId="2"/>
  </si>
  <si>
    <t>はぴねすくらぶ2月号2色組②</t>
    <rPh sb="8" eb="10">
      <t>ガツゴウ</t>
    </rPh>
    <rPh sb="11" eb="13">
      <t>ショクグミ</t>
    </rPh>
    <phoneticPr fontId="8"/>
  </si>
  <si>
    <t>くらし直送</t>
    <rPh sb="3" eb="5">
      <t>チョクソウ</t>
    </rPh>
    <phoneticPr fontId="8"/>
  </si>
  <si>
    <t>かりん</t>
    <phoneticPr fontId="8"/>
  </si>
  <si>
    <t>りすぺーる4月3回①</t>
    <rPh sb="6" eb="7">
      <t>ガツ</t>
    </rPh>
    <rPh sb="8" eb="9">
      <t>カイ</t>
    </rPh>
    <phoneticPr fontId="8"/>
  </si>
  <si>
    <t>ロイヤルステージ2月号2色組⑤</t>
    <rPh sb="9" eb="10">
      <t>ガツ</t>
    </rPh>
    <rPh sb="10" eb="11">
      <t>ゴウ</t>
    </rPh>
    <rPh sb="12" eb="14">
      <t>ショククミ</t>
    </rPh>
    <phoneticPr fontId="8"/>
  </si>
  <si>
    <t>パルくらすsample返却</t>
    <rPh sb="11" eb="13">
      <t>ヘンキャク</t>
    </rPh>
    <phoneticPr fontId="8"/>
  </si>
  <si>
    <t>JOD2色組58</t>
    <rPh sb="4" eb="5">
      <t>ショク</t>
    </rPh>
    <rPh sb="5" eb="6">
      <t>グミ</t>
    </rPh>
    <phoneticPr fontId="8"/>
  </si>
  <si>
    <t>はぴねすくらぶ2月号2色組③</t>
    <rPh sb="8" eb="10">
      <t>ガツゴウ</t>
    </rPh>
    <rPh sb="11" eb="13">
      <t>ショクグミ</t>
    </rPh>
    <phoneticPr fontId="8"/>
  </si>
  <si>
    <t>JOD2色組59</t>
    <rPh sb="4" eb="5">
      <t>ショク</t>
    </rPh>
    <rPh sb="5" eb="6">
      <t>グミ</t>
    </rPh>
    <phoneticPr fontId="8"/>
  </si>
  <si>
    <t>2026/3/24数伝</t>
    <rPh sb="9" eb="11">
      <t>スウデン</t>
    </rPh>
    <phoneticPr fontId="8"/>
  </si>
  <si>
    <t>はぴねすくらぶ2月号2色組④</t>
    <rPh sb="8" eb="10">
      <t>ガツゴウ</t>
    </rPh>
    <rPh sb="11" eb="13">
      <t>ショクグミ</t>
    </rPh>
    <phoneticPr fontId="8"/>
  </si>
  <si>
    <t>JOD2色組60</t>
    <rPh sb="4" eb="5">
      <t>ショク</t>
    </rPh>
    <rPh sb="5" eb="6">
      <t>グミ</t>
    </rPh>
    <phoneticPr fontId="8"/>
  </si>
  <si>
    <t>JOD返品</t>
    <rPh sb="3" eb="5">
      <t>ヘンピン</t>
    </rPh>
    <phoneticPr fontId="8"/>
  </si>
  <si>
    <t>ロイヤルステージ返品</t>
    <rPh sb="8" eb="10">
      <t>ヘンピン</t>
    </rPh>
    <phoneticPr fontId="8"/>
  </si>
  <si>
    <t>追加</t>
    <rPh sb="0" eb="2">
      <t>ツイカ</t>
    </rPh>
    <phoneticPr fontId="8"/>
  </si>
  <si>
    <t>ゆめはん</t>
    <phoneticPr fontId="8"/>
  </si>
  <si>
    <t>JOD2色組61</t>
    <rPh sb="4" eb="5">
      <t>ショク</t>
    </rPh>
    <rPh sb="5" eb="6">
      <t>グミ</t>
    </rPh>
    <phoneticPr fontId="8"/>
  </si>
  <si>
    <t>なごみ3月号別冊③</t>
    <rPh sb="4" eb="5">
      <t>ガツ</t>
    </rPh>
    <rPh sb="5" eb="6">
      <t>ゴウ</t>
    </rPh>
    <rPh sb="6" eb="8">
      <t>ベッサツ</t>
    </rPh>
    <phoneticPr fontId="8"/>
  </si>
  <si>
    <t>ロイヤルステージ2月号2色組⑥</t>
    <rPh sb="9" eb="10">
      <t>ガツ</t>
    </rPh>
    <rPh sb="10" eb="11">
      <t>ゴウ</t>
    </rPh>
    <rPh sb="12" eb="14">
      <t>ショククミ</t>
    </rPh>
    <phoneticPr fontId="8"/>
  </si>
  <si>
    <t>はぴねすくらぶ2月号2色組⑤</t>
    <rPh sb="8" eb="10">
      <t>ガツゴウ</t>
    </rPh>
    <rPh sb="11" eb="13">
      <t>ショクグミ</t>
    </rPh>
    <phoneticPr fontId="8"/>
  </si>
  <si>
    <t>JOD2色組62</t>
    <rPh sb="4" eb="5">
      <t>ショク</t>
    </rPh>
    <rPh sb="5" eb="6">
      <t>グミ</t>
    </rPh>
    <phoneticPr fontId="8"/>
  </si>
  <si>
    <t>りすぺーる4月3回②</t>
    <rPh sb="6" eb="7">
      <t>ガツ</t>
    </rPh>
    <rPh sb="8" eb="9">
      <t>カイ</t>
    </rPh>
    <phoneticPr fontId="8"/>
  </si>
  <si>
    <t>なごみ3月号別冊④</t>
    <rPh sb="4" eb="5">
      <t>ガツ</t>
    </rPh>
    <rPh sb="5" eb="6">
      <t>ゴウ</t>
    </rPh>
    <rPh sb="6" eb="8">
      <t>ベッサツ</t>
    </rPh>
    <phoneticPr fontId="8"/>
  </si>
  <si>
    <t>りすぺーる4月3回③</t>
    <rPh sb="6" eb="7">
      <t>ガツ</t>
    </rPh>
    <rPh sb="8" eb="9">
      <t>カイ</t>
    </rPh>
    <phoneticPr fontId="8"/>
  </si>
  <si>
    <t>JOD2色組63</t>
    <rPh sb="4" eb="5">
      <t>ショク</t>
    </rPh>
    <rPh sb="5" eb="6">
      <t>グミ</t>
    </rPh>
    <phoneticPr fontId="8"/>
  </si>
  <si>
    <t>りすぺーる4月3回④</t>
    <rPh sb="6" eb="7">
      <t>ガツ</t>
    </rPh>
    <rPh sb="8" eb="9">
      <t>カイ</t>
    </rPh>
    <phoneticPr fontId="8"/>
  </si>
  <si>
    <t>かりん</t>
  </si>
  <si>
    <t>りすぺーる4月3回⑤</t>
    <rPh sb="6" eb="7">
      <t>ガツ</t>
    </rPh>
    <rPh sb="8" eb="9">
      <t>カイ</t>
    </rPh>
    <phoneticPr fontId="8"/>
  </si>
  <si>
    <t>かりん</t>
    <phoneticPr fontId="8"/>
  </si>
  <si>
    <t>JOD2色組64</t>
    <rPh sb="4" eb="5">
      <t>ショク</t>
    </rPh>
    <rPh sb="5" eb="6">
      <t>グミ</t>
    </rPh>
    <phoneticPr fontId="8"/>
  </si>
  <si>
    <t>KPORT</t>
    <phoneticPr fontId="8"/>
  </si>
  <si>
    <t>夢販移動</t>
    <rPh sb="0" eb="4">
      <t>ユメハンイドウ</t>
    </rPh>
    <phoneticPr fontId="2"/>
  </si>
  <si>
    <t>はぴねす返品</t>
    <rPh sb="4" eb="6">
      <t>ヘンピン</t>
    </rPh>
    <phoneticPr fontId="2"/>
  </si>
  <si>
    <t>JOD2色組65</t>
    <rPh sb="4" eb="5">
      <t>ショク</t>
    </rPh>
    <rPh sb="5" eb="6">
      <t>グミ</t>
    </rPh>
    <phoneticPr fontId="8"/>
  </si>
  <si>
    <t>JOD2色組66</t>
    <rPh sb="4" eb="5">
      <t>ショク</t>
    </rPh>
    <rPh sb="5" eb="6">
      <t>グミ</t>
    </rPh>
    <phoneticPr fontId="8"/>
  </si>
  <si>
    <t>夢販</t>
    <rPh sb="0" eb="2">
      <t>ユメハン</t>
    </rPh>
    <phoneticPr fontId="2"/>
  </si>
  <si>
    <t>JOD2色組67</t>
    <rPh sb="4" eb="5">
      <t>ショク</t>
    </rPh>
    <rPh sb="5" eb="6">
      <t>グミ</t>
    </rPh>
    <phoneticPr fontId="8"/>
  </si>
  <si>
    <t>JOD2色組68</t>
    <rPh sb="4" eb="5">
      <t>ショク</t>
    </rPh>
    <rPh sb="5" eb="6">
      <t>グミ</t>
    </rPh>
    <phoneticPr fontId="8"/>
  </si>
  <si>
    <t>JOD2色組69</t>
    <rPh sb="4" eb="5">
      <t>ショク</t>
    </rPh>
    <rPh sb="5" eb="6">
      <t>グミ</t>
    </rPh>
    <phoneticPr fontId="8"/>
  </si>
  <si>
    <t>はぴねすくらぶ2月号2色組⑥</t>
    <rPh sb="8" eb="10">
      <t>ガツゴウ</t>
    </rPh>
    <rPh sb="11" eb="13">
      <t>ショクグミ</t>
    </rPh>
    <phoneticPr fontId="8"/>
  </si>
  <si>
    <t>JOD2色組70</t>
    <rPh sb="4" eb="5">
      <t>ショク</t>
    </rPh>
    <rPh sb="5" eb="6">
      <t>グミ</t>
    </rPh>
    <phoneticPr fontId="8"/>
  </si>
  <si>
    <t>ロイヤルステージ2月号2色組⑦</t>
    <rPh sb="9" eb="10">
      <t>ガツ</t>
    </rPh>
    <rPh sb="10" eb="11">
      <t>ゴウ</t>
    </rPh>
    <rPh sb="12" eb="14">
      <t>ショククミ</t>
    </rPh>
    <phoneticPr fontId="8"/>
  </si>
  <si>
    <t>ディノス返品</t>
    <rPh sb="4" eb="6">
      <t>ヘンピン</t>
    </rPh>
    <phoneticPr fontId="8"/>
  </si>
  <si>
    <t>かりん</t>
    <phoneticPr fontId="8"/>
  </si>
  <si>
    <t>JOD2色組71</t>
    <rPh sb="4" eb="5">
      <t>ショク</t>
    </rPh>
    <rPh sb="5" eb="6">
      <t>グミ</t>
    </rPh>
    <phoneticPr fontId="8"/>
  </si>
  <si>
    <t>なごみ返品</t>
    <rPh sb="3" eb="5">
      <t>ヘンピン</t>
    </rPh>
    <phoneticPr fontId="2"/>
  </si>
  <si>
    <t>JOD2色組72</t>
    <rPh sb="4" eb="5">
      <t>ショク</t>
    </rPh>
    <rPh sb="5" eb="6">
      <t>グミ</t>
    </rPh>
    <phoneticPr fontId="8"/>
  </si>
  <si>
    <t>かりん</t>
    <phoneticPr fontId="8"/>
  </si>
  <si>
    <t>ロイヤル返品</t>
    <rPh sb="4" eb="6">
      <t>ヘンピン</t>
    </rPh>
    <phoneticPr fontId="2"/>
  </si>
  <si>
    <t>9/15～3/31</t>
    <phoneticPr fontId="8"/>
  </si>
  <si>
    <t>ディノス9/15発刊チラシ　2色組</t>
    <rPh sb="8" eb="10">
      <t>ハッカン</t>
    </rPh>
    <rPh sb="15" eb="17">
      <t>ショククミ</t>
    </rPh>
    <phoneticPr fontId="8"/>
  </si>
  <si>
    <t>ロイヤルステージ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</si>
</sst>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4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12" xfId="1" applyBorder="1"/>
    <xf numFmtId="0" fontId="1" fillId="0" borderId="13" xfId="1" applyBorder="1"/>
    <xf numFmtId="0" fontId="1" fillId="0" borderId="14" xfId="1" applyBorder="1"/>
    <xf numFmtId="0" fontId="1" fillId="0" borderId="15" xfId="1" applyBorder="1"/>
    <xf numFmtId="0" fontId="1" fillId="0" borderId="17" xfId="1" applyBorder="1"/>
    <xf numFmtId="0" fontId="6" fillId="0" borderId="19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56" fontId="1" fillId="0" borderId="18" xfId="1" applyNumberFormat="1" applyBorder="1" applyAlignment="1">
      <alignment horizontal="center" vertical="center"/>
    </xf>
    <xf numFmtId="0" fontId="1" fillId="0" borderId="7" xfId="1" applyBorder="1" applyAlignment="1">
      <alignment horizontal="center" vertical="center" shrinkToFit="1"/>
    </xf>
    <xf numFmtId="56" fontId="7" fillId="0" borderId="19" xfId="1" applyNumberFormat="1" applyFont="1" applyBorder="1" applyAlignment="1">
      <alignment horizontal="center" vertical="center"/>
    </xf>
    <xf numFmtId="0" fontId="7" fillId="0" borderId="1" xfId="1" applyFont="1" applyBorder="1"/>
    <xf numFmtId="0" fontId="7" fillId="0" borderId="2" xfId="1" applyFont="1" applyBorder="1"/>
    <xf numFmtId="0" fontId="7" fillId="0" borderId="8" xfId="1" applyFont="1" applyBorder="1"/>
    <xf numFmtId="0" fontId="1" fillId="0" borderId="20" xfId="1" applyBorder="1"/>
    <xf numFmtId="0" fontId="1" fillId="0" borderId="21" xfId="1" applyBorder="1"/>
    <xf numFmtId="0" fontId="7" fillId="0" borderId="19" xfId="1" applyFont="1" applyBorder="1" applyAlignment="1">
      <alignment horizontal="center" vertical="center"/>
    </xf>
    <xf numFmtId="0" fontId="9" fillId="0" borderId="0" xfId="0" applyFont="1">
      <alignment vertical="center"/>
    </xf>
    <xf numFmtId="0" fontId="1" fillId="0" borderId="19" xfId="1" applyBorder="1" applyAlignment="1">
      <alignment horizontal="center" vertical="center"/>
    </xf>
    <xf numFmtId="0" fontId="1" fillId="0" borderId="9" xfId="1" applyBorder="1"/>
    <xf numFmtId="0" fontId="1" fillId="0" borderId="10" xfId="1" applyBorder="1"/>
    <xf numFmtId="0" fontId="1" fillId="0" borderId="8" xfId="1" applyBorder="1"/>
    <xf numFmtId="0" fontId="1" fillId="0" borderId="11" xfId="1" applyBorder="1"/>
    <xf numFmtId="56" fontId="10" fillId="0" borderId="0" xfId="0" applyNumberFormat="1" applyFont="1">
      <alignment vertical="center"/>
    </xf>
    <xf numFmtId="0" fontId="10" fillId="0" borderId="0" xfId="0" applyFont="1">
      <alignment vertical="center"/>
    </xf>
    <xf numFmtId="56" fontId="0" fillId="0" borderId="0" xfId="0" applyNumberFormat="1">
      <alignment vertical="center"/>
    </xf>
    <xf numFmtId="0" fontId="1" fillId="0" borderId="4" xfId="1" applyBorder="1" applyAlignment="1">
      <alignment horizontal="center" vertical="center" shrinkToFit="1"/>
    </xf>
    <xf numFmtId="176" fontId="0" fillId="0" borderId="0" xfId="0" applyNumberFormat="1">
      <alignment vertical="center"/>
    </xf>
    <xf numFmtId="0" fontId="6" fillId="0" borderId="1" xfId="1" applyFont="1" applyBorder="1"/>
    <xf numFmtId="0" fontId="6" fillId="0" borderId="2" xfId="1" applyFont="1" applyBorder="1"/>
    <xf numFmtId="0" fontId="6" fillId="0" borderId="3" xfId="1" applyFont="1" applyBorder="1"/>
    <xf numFmtId="0" fontId="1" fillId="0" borderId="22" xfId="1" applyBorder="1"/>
    <xf numFmtId="0" fontId="7" fillId="0" borderId="23" xfId="1" applyFont="1" applyBorder="1"/>
    <xf numFmtId="0" fontId="7" fillId="0" borderId="24" xfId="1" applyFont="1" applyBorder="1"/>
    <xf numFmtId="0" fontId="1" fillId="2" borderId="0" xfId="1" applyFill="1"/>
    <xf numFmtId="0" fontId="1" fillId="0" borderId="4" xfId="1" applyBorder="1"/>
    <xf numFmtId="0" fontId="1" fillId="0" borderId="18" xfId="1" applyBorder="1"/>
    <xf numFmtId="56" fontId="1" fillId="0" borderId="25" xfId="1" applyNumberFormat="1" applyBorder="1" applyAlignment="1">
      <alignment horizontal="center" vertical="center"/>
    </xf>
    <xf numFmtId="0" fontId="1" fillId="0" borderId="25" xfId="1" applyBorder="1"/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7" fillId="0" borderId="29" xfId="1" applyFont="1" applyBorder="1"/>
    <xf numFmtId="0" fontId="6" fillId="0" borderId="29" xfId="1" applyFont="1" applyBorder="1"/>
    <xf numFmtId="0" fontId="6" fillId="0" borderId="8" xfId="1" applyFont="1" applyBorder="1"/>
    <xf numFmtId="0" fontId="3" fillId="5" borderId="27" xfId="1" applyFont="1" applyFill="1" applyBorder="1"/>
    <xf numFmtId="0" fontId="1" fillId="5" borderId="0" xfId="1" applyFill="1"/>
    <xf numFmtId="0" fontId="3" fillId="2" borderId="27" xfId="1" applyFont="1" applyFill="1" applyBorder="1"/>
    <xf numFmtId="0" fontId="4" fillId="0" borderId="7" xfId="1" applyFont="1" applyBorder="1" applyAlignment="1">
      <alignment horizontal="center" vertical="center"/>
    </xf>
    <xf numFmtId="0" fontId="4" fillId="0" borderId="5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22" xfId="1" applyFont="1" applyBorder="1"/>
    <xf numFmtId="0" fontId="1" fillId="0" borderId="28" xfId="1" applyBorder="1"/>
    <xf numFmtId="0" fontId="11" fillId="0" borderId="7" xfId="1" applyFont="1" applyBorder="1" applyAlignment="1">
      <alignment horizontal="center" vertical="center" shrinkToFit="1"/>
    </xf>
    <xf numFmtId="0" fontId="11" fillId="0" borderId="5" xfId="1" applyFont="1" applyBorder="1"/>
    <xf numFmtId="0" fontId="11" fillId="0" borderId="6" xfId="1" applyFont="1" applyBorder="1"/>
    <xf numFmtId="0" fontId="11" fillId="0" borderId="7" xfId="1" applyFont="1" applyBorder="1"/>
    <xf numFmtId="0" fontId="11" fillId="0" borderId="22" xfId="1" applyFont="1" applyBorder="1"/>
    <xf numFmtId="56" fontId="12" fillId="0" borderId="0" xfId="0" applyNumberFormat="1" applyFont="1" applyAlignment="1">
      <alignment horizontal="left" vertical="center"/>
    </xf>
    <xf numFmtId="56" fontId="11" fillId="0" borderId="18" xfId="1" applyNumberFormat="1" applyFont="1" applyBorder="1" applyAlignment="1">
      <alignment horizontal="center" vertical="center"/>
    </xf>
    <xf numFmtId="56" fontId="12" fillId="0" borderId="0" xfId="0" applyNumberFormat="1" applyFont="1">
      <alignment vertical="center"/>
    </xf>
    <xf numFmtId="56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1" fillId="0" borderId="14" xfId="1" applyFont="1" applyBorder="1"/>
    <xf numFmtId="0" fontId="11" fillId="0" borderId="15" xfId="1" applyFont="1" applyBorder="1"/>
    <xf numFmtId="0" fontId="11" fillId="0" borderId="4" xfId="1" applyFont="1" applyBorder="1"/>
    <xf numFmtId="0" fontId="11" fillId="0" borderId="18" xfId="1" applyFont="1" applyBorder="1"/>
    <xf numFmtId="0" fontId="13" fillId="0" borderId="0" xfId="0" applyFont="1" applyAlignment="1">
      <alignment horizontal="left" vertical="center"/>
    </xf>
    <xf numFmtId="0" fontId="4" fillId="0" borderId="7" xfId="1" applyFont="1" applyBorder="1" applyAlignment="1">
      <alignment horizontal="center" vertical="center" shrinkToFit="1"/>
    </xf>
    <xf numFmtId="0" fontId="11" fillId="0" borderId="4" xfId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1" fillId="0" borderId="12" xfId="1" applyFont="1" applyBorder="1"/>
    <xf numFmtId="0" fontId="11" fillId="0" borderId="13" xfId="1" applyFont="1" applyBorder="1"/>
    <xf numFmtId="0" fontId="11" fillId="0" borderId="20" xfId="1" applyFont="1" applyBorder="1"/>
    <xf numFmtId="0" fontId="11" fillId="0" borderId="21" xfId="1" applyFont="1" applyBorder="1"/>
    <xf numFmtId="0" fontId="11" fillId="0" borderId="17" xfId="1" applyFont="1" applyBorder="1"/>
    <xf numFmtId="56" fontId="10" fillId="0" borderId="0" xfId="0" applyNumberFormat="1" applyFont="1" applyAlignment="1">
      <alignment horizontal="right" vertical="center"/>
    </xf>
    <xf numFmtId="0" fontId="4" fillId="4" borderId="5" xfId="1" applyFont="1" applyFill="1" applyBorder="1"/>
    <xf numFmtId="0" fontId="4" fillId="4" borderId="6" xfId="1" applyFont="1" applyFill="1" applyBorder="1"/>
    <xf numFmtId="0" fontId="1" fillId="4" borderId="5" xfId="1" applyFill="1" applyBorder="1"/>
    <xf numFmtId="0" fontId="1" fillId="4" borderId="6" xfId="1" applyFill="1" applyBorder="1"/>
    <xf numFmtId="0" fontId="4" fillId="0" borderId="4" xfId="1" applyFont="1" applyBorder="1" applyAlignment="1">
      <alignment horizontal="center" vertical="center"/>
    </xf>
    <xf numFmtId="0" fontId="4" fillId="0" borderId="4" xfId="1" applyFont="1" applyBorder="1"/>
    <xf numFmtId="0" fontId="11" fillId="0" borderId="7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2" fillId="0" borderId="0" xfId="0" applyFont="1">
      <alignment vertical="center"/>
    </xf>
    <xf numFmtId="0" fontId="1" fillId="0" borderId="1" xfId="1" applyBorder="1"/>
    <xf numFmtId="0" fontId="1" fillId="0" borderId="29" xfId="1" applyBorder="1"/>
    <xf numFmtId="0" fontId="7" fillId="0" borderId="7" xfId="1" applyFont="1" applyBorder="1" applyAlignment="1">
      <alignment horizontal="center" vertical="center" shrinkToFit="1"/>
    </xf>
    <xf numFmtId="0" fontId="7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22" xfId="1" applyFont="1" applyBorder="1"/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3" borderId="19" xfId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/>
    </xf>
    <xf numFmtId="0" fontId="4" fillId="3" borderId="26" xfId="1" applyFont="1" applyFill="1" applyBorder="1" applyAlignment="1">
      <alignment horizontal="center" vertical="center"/>
    </xf>
    <xf numFmtId="56" fontId="9" fillId="0" borderId="0" xfId="0" applyNumberFormat="1" applyFont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2"/>
  <sheetViews>
    <sheetView tabSelected="1" topLeftCell="B297" zoomScaleNormal="100" workbookViewId="0">
      <selection activeCell="S320" sqref="S320"/>
    </sheetView>
  </sheetViews>
  <sheetFormatPr defaultRowHeight="13.5" x14ac:dyDescent="0.15"/>
  <cols>
    <col min="1" max="1" width="27.5" customWidth="1"/>
    <col min="2" max="8" width="11.25" customWidth="1"/>
    <col min="9" max="9" width="9.25" bestFit="1" customWidth="1"/>
    <col min="10" max="10" width="34.75" customWidth="1"/>
    <col min="11" max="13" width="11.25" customWidth="1"/>
    <col min="14" max="15" width="12.125" customWidth="1"/>
    <col min="16" max="17" width="11.25" customWidth="1"/>
    <col min="18" max="18" width="9.25" style="47" bestFit="1" customWidth="1"/>
  </cols>
  <sheetData>
    <row r="1" spans="1:19" ht="19.5" thickBot="1" x14ac:dyDescent="0.25">
      <c r="A1" s="57" t="s">
        <v>48</v>
      </c>
      <c r="B1" s="57"/>
      <c r="C1" s="57"/>
      <c r="D1" s="57"/>
      <c r="E1" s="42"/>
      <c r="F1" s="42"/>
      <c r="G1" s="42"/>
      <c r="H1" s="42"/>
      <c r="J1" s="55" t="s">
        <v>47</v>
      </c>
      <c r="K1" s="55"/>
      <c r="L1" s="55"/>
      <c r="M1" s="55"/>
      <c r="N1" s="55"/>
      <c r="O1" s="56"/>
      <c r="P1" s="56" t="s">
        <v>41</v>
      </c>
      <c r="Q1" s="56"/>
    </row>
    <row r="2" spans="1:19" ht="14.25" thickBot="1" x14ac:dyDescent="0.2">
      <c r="A2" s="4" t="s">
        <v>0</v>
      </c>
      <c r="B2" s="107" t="s">
        <v>18</v>
      </c>
      <c r="C2" s="108"/>
      <c r="D2" s="109"/>
      <c r="E2" s="110" t="s">
        <v>19</v>
      </c>
      <c r="F2" s="111"/>
      <c r="G2" s="112"/>
      <c r="H2" s="105" t="s">
        <v>1</v>
      </c>
      <c r="J2" s="4" t="s">
        <v>0</v>
      </c>
      <c r="K2" s="107" t="s">
        <v>18</v>
      </c>
      <c r="L2" s="108"/>
      <c r="M2" s="109"/>
      <c r="N2" s="110" t="s">
        <v>19</v>
      </c>
      <c r="O2" s="111"/>
      <c r="P2" s="112"/>
      <c r="Q2" s="105" t="s">
        <v>1</v>
      </c>
    </row>
    <row r="3" spans="1:19" ht="14.25" thickBot="1" x14ac:dyDescent="0.2">
      <c r="A3" s="4" t="s">
        <v>2</v>
      </c>
      <c r="B3" s="1" t="s">
        <v>16</v>
      </c>
      <c r="C3" s="2" t="s">
        <v>17</v>
      </c>
      <c r="D3" s="4" t="s">
        <v>3</v>
      </c>
      <c r="E3" s="1" t="s">
        <v>16</v>
      </c>
      <c r="F3" s="2" t="s">
        <v>17</v>
      </c>
      <c r="G3" s="4" t="s">
        <v>3</v>
      </c>
      <c r="H3" s="106"/>
      <c r="J3" s="4" t="s">
        <v>2</v>
      </c>
      <c r="K3" s="1" t="s">
        <v>16</v>
      </c>
      <c r="L3" s="2" t="s">
        <v>17</v>
      </c>
      <c r="M3" s="4" t="s">
        <v>3</v>
      </c>
      <c r="N3" s="1" t="s">
        <v>16</v>
      </c>
      <c r="O3" s="2" t="s">
        <v>17</v>
      </c>
      <c r="P3" s="4" t="s">
        <v>3</v>
      </c>
      <c r="Q3" s="106"/>
    </row>
    <row r="4" spans="1:19" x14ac:dyDescent="0.15">
      <c r="A4" s="16" t="s">
        <v>4</v>
      </c>
      <c r="B4" s="5">
        <v>3</v>
      </c>
      <c r="C4" s="6">
        <v>3</v>
      </c>
      <c r="D4" s="7">
        <f t="shared" ref="D4:D12" si="0">SUM(B4:C4)</f>
        <v>6</v>
      </c>
      <c r="E4" s="5">
        <v>3</v>
      </c>
      <c r="F4" s="6">
        <v>3</v>
      </c>
      <c r="G4" s="7">
        <f t="shared" ref="G4:G12" si="1">SUM(E4:F4)</f>
        <v>6</v>
      </c>
      <c r="H4" s="7">
        <f t="shared" ref="H4:H12" si="2">D4+G4</f>
        <v>12</v>
      </c>
      <c r="I4" s="31">
        <v>45902</v>
      </c>
      <c r="J4" s="16" t="s">
        <v>4</v>
      </c>
      <c r="K4" s="5">
        <v>50</v>
      </c>
      <c r="L4" s="6">
        <v>50</v>
      </c>
      <c r="M4" s="7">
        <f t="shared" ref="M4:M12" si="3">SUM(K4:L4)</f>
        <v>100</v>
      </c>
      <c r="N4" s="5">
        <v>50</v>
      </c>
      <c r="O4" s="6">
        <v>50</v>
      </c>
      <c r="P4" s="7">
        <f t="shared" ref="P4:P12" si="4">SUM(N4:O4)</f>
        <v>100</v>
      </c>
      <c r="Q4" s="7">
        <f t="shared" ref="Q4:Q12" si="5">M4+P4</f>
        <v>200</v>
      </c>
      <c r="R4" s="49" t="s">
        <v>28</v>
      </c>
      <c r="S4" s="32"/>
    </row>
    <row r="5" spans="1:19" x14ac:dyDescent="0.15">
      <c r="A5" s="16" t="s">
        <v>5</v>
      </c>
      <c r="B5" s="5">
        <v>5</v>
      </c>
      <c r="C5" s="6">
        <v>3</v>
      </c>
      <c r="D5" s="7">
        <f t="shared" si="0"/>
        <v>8</v>
      </c>
      <c r="E5" s="5">
        <v>5</v>
      </c>
      <c r="F5" s="6">
        <v>3</v>
      </c>
      <c r="G5" s="7">
        <f t="shared" si="1"/>
        <v>8</v>
      </c>
      <c r="H5" s="7">
        <f t="shared" si="2"/>
        <v>16</v>
      </c>
      <c r="I5" s="31">
        <v>45937</v>
      </c>
      <c r="J5" s="16" t="s">
        <v>5</v>
      </c>
      <c r="K5" s="5"/>
      <c r="L5" s="6"/>
      <c r="M5" s="7">
        <f t="shared" si="3"/>
        <v>0</v>
      </c>
      <c r="N5" s="5"/>
      <c r="O5" s="6"/>
      <c r="P5" s="39">
        <f t="shared" si="4"/>
        <v>0</v>
      </c>
      <c r="Q5" s="7">
        <f t="shared" si="5"/>
        <v>0</v>
      </c>
      <c r="R5" s="49"/>
    </row>
    <row r="6" spans="1:19" x14ac:dyDescent="0.15">
      <c r="A6" s="16" t="s">
        <v>6</v>
      </c>
      <c r="B6" s="5">
        <v>5</v>
      </c>
      <c r="C6" s="6">
        <v>10</v>
      </c>
      <c r="D6" s="7">
        <f t="shared" si="0"/>
        <v>15</v>
      </c>
      <c r="E6" s="5">
        <v>5</v>
      </c>
      <c r="F6" s="6">
        <v>10</v>
      </c>
      <c r="G6" s="39">
        <f t="shared" si="1"/>
        <v>15</v>
      </c>
      <c r="H6" s="7">
        <f t="shared" si="2"/>
        <v>30</v>
      </c>
      <c r="I6" s="31">
        <v>45948</v>
      </c>
      <c r="J6" s="16" t="s">
        <v>6</v>
      </c>
      <c r="K6" s="5">
        <v>-50</v>
      </c>
      <c r="L6" s="6">
        <v>-50</v>
      </c>
      <c r="M6" s="7">
        <f t="shared" ref="M6" si="6">SUM(K6:L6)</f>
        <v>-100</v>
      </c>
      <c r="N6" s="5">
        <v>-50</v>
      </c>
      <c r="O6" s="6">
        <v>-50</v>
      </c>
      <c r="P6" s="39">
        <f t="shared" ref="P6" si="7">SUM(N6:O6)</f>
        <v>-100</v>
      </c>
      <c r="Q6" s="7">
        <f t="shared" ref="Q6" si="8">M6+P6</f>
        <v>-200</v>
      </c>
      <c r="R6" s="49"/>
      <c r="S6" s="32"/>
    </row>
    <row r="7" spans="1:19" x14ac:dyDescent="0.15">
      <c r="A7" s="70" t="s">
        <v>7</v>
      </c>
      <c r="B7" s="65">
        <v>5</v>
      </c>
      <c r="C7" s="66">
        <v>5</v>
      </c>
      <c r="D7" s="67">
        <f t="shared" ref="D7" si="9">SUM(B7:C7)</f>
        <v>10</v>
      </c>
      <c r="E7" s="65">
        <v>5</v>
      </c>
      <c r="F7" s="66">
        <v>10</v>
      </c>
      <c r="G7" s="68">
        <f t="shared" ref="G7" si="10">SUM(E7:F7)</f>
        <v>15</v>
      </c>
      <c r="H7" s="67">
        <f t="shared" ref="H7" si="11">D7+G7</f>
        <v>25</v>
      </c>
      <c r="I7" s="71">
        <v>45957</v>
      </c>
      <c r="J7" s="16" t="s">
        <v>20</v>
      </c>
      <c r="K7" s="5">
        <v>600</v>
      </c>
      <c r="L7" s="6">
        <v>500</v>
      </c>
      <c r="M7" s="7">
        <f t="shared" ref="M7" si="12">SUM(K7:L7)</f>
        <v>1100</v>
      </c>
      <c r="N7" s="5">
        <v>600</v>
      </c>
      <c r="O7" s="6">
        <v>500</v>
      </c>
      <c r="P7" s="7">
        <f t="shared" ref="P7" si="13">SUM(N7:O7)</f>
        <v>1100</v>
      </c>
      <c r="Q7" s="7">
        <f t="shared" ref="Q7" si="14">M7+P7</f>
        <v>2200</v>
      </c>
      <c r="R7" s="49" t="s">
        <v>43</v>
      </c>
      <c r="S7" s="25"/>
    </row>
    <row r="8" spans="1:19" x14ac:dyDescent="0.15">
      <c r="A8" s="16" t="s">
        <v>8</v>
      </c>
      <c r="B8" s="5">
        <v>5</v>
      </c>
      <c r="C8" s="6">
        <v>5</v>
      </c>
      <c r="D8" s="7">
        <f t="shared" si="0"/>
        <v>10</v>
      </c>
      <c r="E8" s="5">
        <v>10</v>
      </c>
      <c r="F8" s="6">
        <v>5</v>
      </c>
      <c r="G8" s="39">
        <f t="shared" si="1"/>
        <v>15</v>
      </c>
      <c r="H8" s="7">
        <f t="shared" si="2"/>
        <v>25</v>
      </c>
      <c r="I8" s="31">
        <v>45961</v>
      </c>
      <c r="J8" s="16" t="s">
        <v>42</v>
      </c>
      <c r="K8" s="5">
        <v>-27</v>
      </c>
      <c r="L8" s="6">
        <v>-10</v>
      </c>
      <c r="M8" s="7">
        <f t="shared" si="3"/>
        <v>-37</v>
      </c>
      <c r="N8" s="5">
        <v>-28</v>
      </c>
      <c r="O8" s="6">
        <v>-11</v>
      </c>
      <c r="P8" s="39">
        <f t="shared" si="4"/>
        <v>-39</v>
      </c>
      <c r="Q8" s="7">
        <f t="shared" si="5"/>
        <v>-76</v>
      </c>
      <c r="R8" s="49"/>
      <c r="S8" s="32"/>
    </row>
    <row r="9" spans="1:19" x14ac:dyDescent="0.15">
      <c r="A9" s="16" t="s">
        <v>9</v>
      </c>
      <c r="B9" s="5">
        <v>10</v>
      </c>
      <c r="C9" s="6">
        <v>5</v>
      </c>
      <c r="D9" s="7">
        <f t="shared" si="0"/>
        <v>15</v>
      </c>
      <c r="E9" s="5">
        <v>5</v>
      </c>
      <c r="F9" s="6">
        <v>5</v>
      </c>
      <c r="G9" s="39">
        <f t="shared" si="1"/>
        <v>10</v>
      </c>
      <c r="H9" s="7">
        <f t="shared" si="2"/>
        <v>25</v>
      </c>
      <c r="I9" s="31">
        <v>45962</v>
      </c>
      <c r="J9" s="16" t="s">
        <v>9</v>
      </c>
      <c r="K9" s="5"/>
      <c r="L9" s="6"/>
      <c r="M9" s="7">
        <f t="shared" si="3"/>
        <v>0</v>
      </c>
      <c r="N9" s="5"/>
      <c r="O9" s="6"/>
      <c r="P9" s="39">
        <f t="shared" si="4"/>
        <v>0</v>
      </c>
      <c r="Q9" s="7">
        <f t="shared" si="5"/>
        <v>0</v>
      </c>
      <c r="R9" s="49"/>
      <c r="S9" s="32"/>
    </row>
    <row r="10" spans="1:19" x14ac:dyDescent="0.15">
      <c r="A10" s="16" t="s">
        <v>10</v>
      </c>
      <c r="B10" s="5">
        <v>5</v>
      </c>
      <c r="C10" s="6"/>
      <c r="D10" s="7">
        <f t="shared" si="0"/>
        <v>5</v>
      </c>
      <c r="E10" s="5">
        <v>5</v>
      </c>
      <c r="F10" s="6"/>
      <c r="G10" s="39">
        <f t="shared" si="1"/>
        <v>5</v>
      </c>
      <c r="H10" s="7">
        <f t="shared" si="2"/>
        <v>10</v>
      </c>
      <c r="I10" s="31">
        <v>45975</v>
      </c>
      <c r="J10" s="16" t="s">
        <v>10</v>
      </c>
      <c r="K10" s="5"/>
      <c r="L10" s="6"/>
      <c r="M10" s="7">
        <f t="shared" si="3"/>
        <v>0</v>
      </c>
      <c r="N10" s="5"/>
      <c r="O10" s="6"/>
      <c r="P10" s="39">
        <f t="shared" si="4"/>
        <v>0</v>
      </c>
      <c r="Q10" s="7">
        <f t="shared" si="5"/>
        <v>0</v>
      </c>
      <c r="R10" s="49"/>
    </row>
    <row r="11" spans="1:19" x14ac:dyDescent="0.15">
      <c r="A11" s="16" t="s">
        <v>11</v>
      </c>
      <c r="B11" s="8"/>
      <c r="C11" s="9"/>
      <c r="D11" s="7">
        <f t="shared" si="0"/>
        <v>0</v>
      </c>
      <c r="E11" s="8"/>
      <c r="F11" s="9"/>
      <c r="G11" s="39">
        <f t="shared" si="1"/>
        <v>0</v>
      </c>
      <c r="H11" s="7">
        <f t="shared" si="2"/>
        <v>0</v>
      </c>
      <c r="I11" s="32"/>
      <c r="J11" s="16" t="s">
        <v>11</v>
      </c>
      <c r="K11" s="8"/>
      <c r="L11" s="9"/>
      <c r="M11" s="7">
        <f t="shared" si="3"/>
        <v>0</v>
      </c>
      <c r="N11" s="8"/>
      <c r="O11" s="9"/>
      <c r="P11" s="39">
        <f t="shared" si="4"/>
        <v>0</v>
      </c>
      <c r="Q11" s="7">
        <f t="shared" si="5"/>
        <v>0</v>
      </c>
      <c r="R11" s="50"/>
    </row>
    <row r="12" spans="1:19" ht="14.25" thickBot="1" x14ac:dyDescent="0.2">
      <c r="A12" s="45" t="s">
        <v>12</v>
      </c>
      <c r="B12" s="22"/>
      <c r="C12" s="23">
        <v>1</v>
      </c>
      <c r="D12" s="12">
        <f t="shared" si="0"/>
        <v>1</v>
      </c>
      <c r="E12" s="22">
        <v>2</v>
      </c>
      <c r="F12" s="23">
        <v>2</v>
      </c>
      <c r="G12" s="46">
        <f t="shared" si="1"/>
        <v>4</v>
      </c>
      <c r="H12" s="12">
        <f t="shared" si="2"/>
        <v>5</v>
      </c>
      <c r="I12" s="32"/>
      <c r="J12" s="45" t="s">
        <v>12</v>
      </c>
      <c r="K12" s="22"/>
      <c r="L12" s="23"/>
      <c r="M12" s="12">
        <f t="shared" si="3"/>
        <v>0</v>
      </c>
      <c r="N12" s="22"/>
      <c r="O12" s="23"/>
      <c r="P12" s="46">
        <f t="shared" si="4"/>
        <v>0</v>
      </c>
      <c r="Q12" s="12">
        <f t="shared" si="5"/>
        <v>0</v>
      </c>
      <c r="R12" s="50"/>
    </row>
    <row r="13" spans="1:19" ht="14.25" thickBot="1" x14ac:dyDescent="0.2">
      <c r="A13" s="24" t="s">
        <v>13</v>
      </c>
      <c r="B13" s="19">
        <f>SUM(B4:B12)</f>
        <v>38</v>
      </c>
      <c r="C13" s="52">
        <f t="shared" ref="C13:H13" si="15">SUM(C4:C12)</f>
        <v>32</v>
      </c>
      <c r="D13" s="21">
        <f t="shared" si="15"/>
        <v>70</v>
      </c>
      <c r="E13" s="19">
        <f t="shared" si="15"/>
        <v>40</v>
      </c>
      <c r="F13" s="52">
        <f t="shared" si="15"/>
        <v>38</v>
      </c>
      <c r="G13" s="21">
        <f t="shared" si="15"/>
        <v>78</v>
      </c>
      <c r="H13" s="21">
        <f t="shared" si="15"/>
        <v>148</v>
      </c>
      <c r="I13" s="33"/>
      <c r="J13" s="24" t="s">
        <v>13</v>
      </c>
      <c r="K13" s="19">
        <f>SUM(K4:K12)</f>
        <v>573</v>
      </c>
      <c r="L13" s="52">
        <f t="shared" ref="L13:Q13" si="16">SUM(L4:L12)</f>
        <v>490</v>
      </c>
      <c r="M13" s="21">
        <f t="shared" si="16"/>
        <v>1063</v>
      </c>
      <c r="N13" s="19">
        <f t="shared" si="16"/>
        <v>572</v>
      </c>
      <c r="O13" s="52">
        <f t="shared" si="16"/>
        <v>489</v>
      </c>
      <c r="P13" s="21">
        <f t="shared" si="16"/>
        <v>1061</v>
      </c>
      <c r="Q13" s="21">
        <f t="shared" si="16"/>
        <v>2124</v>
      </c>
      <c r="R13" s="51"/>
    </row>
    <row r="14" spans="1:19" x14ac:dyDescent="0.15">
      <c r="A14" s="17" t="s">
        <v>40</v>
      </c>
      <c r="B14" s="5">
        <v>1</v>
      </c>
      <c r="C14" s="6">
        <v>1</v>
      </c>
      <c r="D14" s="7">
        <f t="shared" ref="D14:D40" si="17">SUM(B14:C14)</f>
        <v>2</v>
      </c>
      <c r="E14" s="5">
        <v>1</v>
      </c>
      <c r="F14" s="6">
        <v>1</v>
      </c>
      <c r="G14" s="39">
        <f t="shared" ref="G14:G40" si="18">SUM(E14:F14)</f>
        <v>2</v>
      </c>
      <c r="H14" s="7">
        <f t="shared" ref="H14:H41" si="19">D14+G14</f>
        <v>4</v>
      </c>
      <c r="I14" s="33">
        <v>45926</v>
      </c>
      <c r="J14" s="15" t="s">
        <v>33</v>
      </c>
      <c r="K14" s="5">
        <v>3</v>
      </c>
      <c r="L14" s="6">
        <v>3</v>
      </c>
      <c r="M14" s="7">
        <f t="shared" ref="M14:M39" si="20">SUM(K14:L14)</f>
        <v>6</v>
      </c>
      <c r="N14" s="5">
        <v>3</v>
      </c>
      <c r="O14" s="6">
        <v>3</v>
      </c>
      <c r="P14" s="39">
        <f t="shared" ref="P14:P39" si="21">SUM(N14:O14)</f>
        <v>6</v>
      </c>
      <c r="Q14" s="7">
        <f t="shared" ref="Q14:Q39" si="22">M14+P14</f>
        <v>12</v>
      </c>
      <c r="R14" s="49">
        <v>45902</v>
      </c>
    </row>
    <row r="15" spans="1:19" x14ac:dyDescent="0.15">
      <c r="A15" s="17" t="s">
        <v>44</v>
      </c>
      <c r="B15" s="5"/>
      <c r="C15" s="6"/>
      <c r="D15" s="7">
        <f t="shared" si="17"/>
        <v>0</v>
      </c>
      <c r="E15" s="5"/>
      <c r="F15" s="6">
        <v>1</v>
      </c>
      <c r="G15" s="39">
        <f t="shared" si="18"/>
        <v>1</v>
      </c>
      <c r="H15" s="7">
        <f t="shared" si="19"/>
        <v>1</v>
      </c>
      <c r="I15" s="31">
        <v>45937</v>
      </c>
      <c r="J15" s="15" t="s">
        <v>29</v>
      </c>
      <c r="K15" s="5">
        <v>30</v>
      </c>
      <c r="L15" s="6">
        <v>20</v>
      </c>
      <c r="M15" s="7">
        <f t="shared" ref="M15:M17" si="23">SUM(K15:L15)</f>
        <v>50</v>
      </c>
      <c r="N15" s="5">
        <v>30</v>
      </c>
      <c r="O15" s="6">
        <v>20</v>
      </c>
      <c r="P15" s="39">
        <f t="shared" ref="P15:P17" si="24">SUM(N15:O15)</f>
        <v>50</v>
      </c>
      <c r="Q15" s="7">
        <f t="shared" ref="Q15:Q17" si="25">M15+P15</f>
        <v>100</v>
      </c>
      <c r="R15" s="49">
        <v>45905</v>
      </c>
    </row>
    <row r="16" spans="1:19" x14ac:dyDescent="0.15">
      <c r="A16" s="17" t="s">
        <v>46</v>
      </c>
      <c r="B16" s="5">
        <v>1</v>
      </c>
      <c r="C16" s="6">
        <v>1</v>
      </c>
      <c r="D16" s="7">
        <f t="shared" si="17"/>
        <v>2</v>
      </c>
      <c r="E16" s="5">
        <v>1</v>
      </c>
      <c r="F16" s="6">
        <v>1</v>
      </c>
      <c r="G16" s="39">
        <f t="shared" si="18"/>
        <v>2</v>
      </c>
      <c r="H16" s="7">
        <f t="shared" si="19"/>
        <v>4</v>
      </c>
      <c r="I16" s="31">
        <v>45940</v>
      </c>
      <c r="J16" s="15" t="s">
        <v>32</v>
      </c>
      <c r="K16" s="5">
        <v>3</v>
      </c>
      <c r="L16" s="6">
        <v>7</v>
      </c>
      <c r="M16" s="7">
        <f t="shared" si="23"/>
        <v>10</v>
      </c>
      <c r="N16" s="5">
        <v>3</v>
      </c>
      <c r="O16" s="6">
        <v>7</v>
      </c>
      <c r="P16" s="39">
        <f t="shared" si="24"/>
        <v>10</v>
      </c>
      <c r="Q16" s="7">
        <f t="shared" si="25"/>
        <v>20</v>
      </c>
      <c r="R16" s="49">
        <v>45912</v>
      </c>
      <c r="S16" s="32"/>
    </row>
    <row r="17" spans="1:19" x14ac:dyDescent="0.15">
      <c r="A17" s="17" t="s">
        <v>52</v>
      </c>
      <c r="B17" s="5">
        <v>2</v>
      </c>
      <c r="C17" s="6">
        <v>2</v>
      </c>
      <c r="D17" s="7">
        <f t="shared" si="17"/>
        <v>4</v>
      </c>
      <c r="E17" s="5">
        <v>2</v>
      </c>
      <c r="F17" s="6">
        <v>2</v>
      </c>
      <c r="G17" s="39">
        <f t="shared" si="18"/>
        <v>4</v>
      </c>
      <c r="H17" s="7">
        <f t="shared" si="19"/>
        <v>8</v>
      </c>
      <c r="I17" s="31">
        <v>45950</v>
      </c>
      <c r="J17" s="15" t="s">
        <v>34</v>
      </c>
      <c r="K17" s="5">
        <v>6</v>
      </c>
      <c r="L17" s="6"/>
      <c r="M17" s="7">
        <f t="shared" si="23"/>
        <v>6</v>
      </c>
      <c r="N17" s="5">
        <v>6</v>
      </c>
      <c r="O17" s="6"/>
      <c r="P17" s="39">
        <f t="shared" si="24"/>
        <v>6</v>
      </c>
      <c r="Q17" s="7">
        <f t="shared" si="25"/>
        <v>12</v>
      </c>
      <c r="R17" s="49">
        <v>45919</v>
      </c>
      <c r="S17" s="32"/>
    </row>
    <row r="18" spans="1:19" x14ac:dyDescent="0.15">
      <c r="A18" s="17" t="s">
        <v>53</v>
      </c>
      <c r="B18" s="5"/>
      <c r="C18" s="6">
        <v>1</v>
      </c>
      <c r="D18" s="7">
        <f t="shared" si="17"/>
        <v>1</v>
      </c>
      <c r="E18" s="5"/>
      <c r="F18" s="6">
        <v>1</v>
      </c>
      <c r="G18" s="39">
        <f t="shared" si="18"/>
        <v>1</v>
      </c>
      <c r="H18" s="7">
        <f t="shared" si="19"/>
        <v>2</v>
      </c>
      <c r="I18" s="31">
        <v>45947</v>
      </c>
      <c r="J18" s="15" t="s">
        <v>35</v>
      </c>
      <c r="K18" s="5">
        <v>6</v>
      </c>
      <c r="L18" s="6">
        <v>6</v>
      </c>
      <c r="M18" s="7">
        <f t="shared" si="20"/>
        <v>12</v>
      </c>
      <c r="N18" s="5">
        <v>6</v>
      </c>
      <c r="O18" s="6">
        <v>6</v>
      </c>
      <c r="P18" s="39">
        <f t="shared" si="21"/>
        <v>12</v>
      </c>
      <c r="Q18" s="7">
        <f t="shared" si="22"/>
        <v>24</v>
      </c>
      <c r="R18" s="49">
        <v>45922</v>
      </c>
      <c r="S18" s="32"/>
    </row>
    <row r="19" spans="1:19" x14ac:dyDescent="0.15">
      <c r="A19" s="17" t="s">
        <v>55</v>
      </c>
      <c r="B19" s="5">
        <v>4</v>
      </c>
      <c r="C19" s="6">
        <v>4</v>
      </c>
      <c r="D19" s="7">
        <f t="shared" si="17"/>
        <v>8</v>
      </c>
      <c r="E19" s="5">
        <v>4</v>
      </c>
      <c r="F19" s="6">
        <v>4</v>
      </c>
      <c r="G19" s="39">
        <f t="shared" si="18"/>
        <v>8</v>
      </c>
      <c r="H19" s="7">
        <f t="shared" si="19"/>
        <v>16</v>
      </c>
      <c r="I19" s="31">
        <v>45952</v>
      </c>
      <c r="J19" s="15" t="s">
        <v>37</v>
      </c>
      <c r="K19" s="5">
        <v>44</v>
      </c>
      <c r="L19" s="6">
        <v>24</v>
      </c>
      <c r="M19" s="7">
        <f t="shared" si="20"/>
        <v>68</v>
      </c>
      <c r="N19" s="5">
        <v>44</v>
      </c>
      <c r="O19" s="6">
        <v>24</v>
      </c>
      <c r="P19" s="39">
        <f t="shared" si="21"/>
        <v>68</v>
      </c>
      <c r="Q19" s="7">
        <f t="shared" si="22"/>
        <v>136</v>
      </c>
      <c r="R19" s="49">
        <v>45933</v>
      </c>
      <c r="S19" s="32"/>
    </row>
    <row r="20" spans="1:19" x14ac:dyDescent="0.15">
      <c r="A20" s="17" t="s">
        <v>44</v>
      </c>
      <c r="B20" s="5">
        <v>1</v>
      </c>
      <c r="C20" s="6"/>
      <c r="D20" s="7">
        <f t="shared" si="17"/>
        <v>1</v>
      </c>
      <c r="E20" s="5"/>
      <c r="F20" s="6"/>
      <c r="G20" s="39">
        <f t="shared" si="18"/>
        <v>0</v>
      </c>
      <c r="H20" s="7">
        <f t="shared" si="19"/>
        <v>1</v>
      </c>
      <c r="I20" s="31">
        <v>45951</v>
      </c>
      <c r="J20" s="15" t="s">
        <v>38</v>
      </c>
      <c r="K20" s="5"/>
      <c r="L20" s="6">
        <v>9</v>
      </c>
      <c r="M20" s="7">
        <f t="shared" si="20"/>
        <v>9</v>
      </c>
      <c r="N20" s="5"/>
      <c r="O20" s="6">
        <v>9</v>
      </c>
      <c r="P20" s="39">
        <f t="shared" si="21"/>
        <v>9</v>
      </c>
      <c r="Q20" s="7">
        <f t="shared" si="22"/>
        <v>18</v>
      </c>
      <c r="R20" s="49">
        <v>45926</v>
      </c>
    </row>
    <row r="21" spans="1:19" x14ac:dyDescent="0.15">
      <c r="A21" s="17" t="s">
        <v>53</v>
      </c>
      <c r="B21" s="5"/>
      <c r="C21" s="6"/>
      <c r="D21" s="7">
        <f t="shared" si="17"/>
        <v>0</v>
      </c>
      <c r="E21" s="5"/>
      <c r="F21" s="6">
        <v>1</v>
      </c>
      <c r="G21" s="39">
        <f t="shared" si="18"/>
        <v>1</v>
      </c>
      <c r="H21" s="7">
        <f t="shared" si="19"/>
        <v>1</v>
      </c>
      <c r="I21" s="33">
        <v>45951</v>
      </c>
      <c r="J21" s="15" t="s">
        <v>39</v>
      </c>
      <c r="K21" s="5">
        <v>30</v>
      </c>
      <c r="L21" s="6">
        <v>30</v>
      </c>
      <c r="M21" s="7">
        <f t="shared" si="20"/>
        <v>60</v>
      </c>
      <c r="N21" s="5">
        <v>30</v>
      </c>
      <c r="O21" s="6">
        <v>30</v>
      </c>
      <c r="P21" s="39">
        <f t="shared" si="21"/>
        <v>60</v>
      </c>
      <c r="Q21" s="7">
        <f t="shared" si="22"/>
        <v>120</v>
      </c>
      <c r="R21" s="49">
        <v>45932</v>
      </c>
    </row>
    <row r="22" spans="1:19" x14ac:dyDescent="0.15">
      <c r="A22" s="17" t="s">
        <v>56</v>
      </c>
      <c r="B22" s="5">
        <v>1</v>
      </c>
      <c r="C22" s="6">
        <v>2</v>
      </c>
      <c r="D22" s="7">
        <f t="shared" si="17"/>
        <v>3</v>
      </c>
      <c r="E22" s="5">
        <v>1</v>
      </c>
      <c r="F22" s="6">
        <v>2</v>
      </c>
      <c r="G22" s="39">
        <f t="shared" si="18"/>
        <v>3</v>
      </c>
      <c r="H22" s="7">
        <f t="shared" si="19"/>
        <v>6</v>
      </c>
      <c r="I22" s="31">
        <v>45954</v>
      </c>
      <c r="J22" s="15" t="s">
        <v>38</v>
      </c>
      <c r="K22" s="5">
        <v>50</v>
      </c>
      <c r="L22" s="6">
        <v>20</v>
      </c>
      <c r="M22" s="7">
        <f t="shared" si="20"/>
        <v>70</v>
      </c>
      <c r="N22" s="5">
        <v>50</v>
      </c>
      <c r="O22" s="6">
        <v>20</v>
      </c>
      <c r="P22" s="39">
        <f t="shared" si="21"/>
        <v>70</v>
      </c>
      <c r="Q22" s="7">
        <f t="shared" si="22"/>
        <v>140</v>
      </c>
      <c r="R22" s="49">
        <v>45933</v>
      </c>
    </row>
    <row r="23" spans="1:19" x14ac:dyDescent="0.15">
      <c r="A23" s="17" t="s">
        <v>44</v>
      </c>
      <c r="B23" s="5"/>
      <c r="C23" s="6"/>
      <c r="D23" s="7">
        <f t="shared" si="17"/>
        <v>0</v>
      </c>
      <c r="E23" s="5"/>
      <c r="F23" s="6">
        <v>1</v>
      </c>
      <c r="G23" s="39">
        <f t="shared" si="18"/>
        <v>1</v>
      </c>
      <c r="H23" s="7">
        <f t="shared" si="19"/>
        <v>1</v>
      </c>
      <c r="I23" s="31">
        <v>45953</v>
      </c>
      <c r="J23" s="17" t="s">
        <v>45</v>
      </c>
      <c r="K23" s="5">
        <v>5</v>
      </c>
      <c r="L23" s="6">
        <v>3</v>
      </c>
      <c r="M23" s="7">
        <f t="shared" si="20"/>
        <v>8</v>
      </c>
      <c r="N23" s="5">
        <v>5</v>
      </c>
      <c r="O23" s="6">
        <v>3</v>
      </c>
      <c r="P23" s="39">
        <f t="shared" si="21"/>
        <v>8</v>
      </c>
      <c r="Q23" s="7">
        <f t="shared" si="22"/>
        <v>16</v>
      </c>
      <c r="R23" s="49">
        <v>45937</v>
      </c>
      <c r="S23" s="32"/>
    </row>
    <row r="24" spans="1:19" x14ac:dyDescent="0.15">
      <c r="A24" s="17" t="s">
        <v>57</v>
      </c>
      <c r="B24" s="5">
        <v>1</v>
      </c>
      <c r="C24" s="6">
        <v>1</v>
      </c>
      <c r="D24" s="7">
        <f t="shared" si="17"/>
        <v>2</v>
      </c>
      <c r="E24" s="5">
        <v>1</v>
      </c>
      <c r="F24" s="6">
        <v>1</v>
      </c>
      <c r="G24" s="39">
        <f t="shared" si="18"/>
        <v>2</v>
      </c>
      <c r="H24" s="7">
        <f t="shared" si="19"/>
        <v>4</v>
      </c>
      <c r="I24" s="31">
        <v>45954</v>
      </c>
      <c r="J24" s="15" t="s">
        <v>49</v>
      </c>
      <c r="K24" s="5">
        <v>5</v>
      </c>
      <c r="L24" s="6">
        <v>5</v>
      </c>
      <c r="M24" s="7">
        <f t="shared" si="20"/>
        <v>10</v>
      </c>
      <c r="N24" s="5"/>
      <c r="O24" s="6"/>
      <c r="P24" s="39">
        <f t="shared" si="21"/>
        <v>0</v>
      </c>
      <c r="Q24" s="7">
        <f t="shared" si="22"/>
        <v>10</v>
      </c>
      <c r="R24" s="49">
        <v>45946</v>
      </c>
      <c r="S24" s="32"/>
    </row>
    <row r="25" spans="1:19" x14ac:dyDescent="0.15">
      <c r="A25" s="17" t="s">
        <v>65</v>
      </c>
      <c r="B25" s="5"/>
      <c r="C25" s="6">
        <v>2</v>
      </c>
      <c r="D25" s="7">
        <f t="shared" si="17"/>
        <v>2</v>
      </c>
      <c r="E25" s="5"/>
      <c r="F25" s="6">
        <v>2</v>
      </c>
      <c r="G25" s="39">
        <f t="shared" si="18"/>
        <v>2</v>
      </c>
      <c r="H25" s="7">
        <f t="shared" si="19"/>
        <v>4</v>
      </c>
      <c r="I25" s="31">
        <v>45959</v>
      </c>
      <c r="J25" s="17" t="s">
        <v>50</v>
      </c>
      <c r="K25" s="5">
        <v>9</v>
      </c>
      <c r="L25" s="6">
        <v>1</v>
      </c>
      <c r="M25" s="7">
        <f t="shared" si="20"/>
        <v>10</v>
      </c>
      <c r="N25" s="5">
        <v>9</v>
      </c>
      <c r="O25" s="6">
        <v>1</v>
      </c>
      <c r="P25" s="39">
        <f t="shared" si="21"/>
        <v>10</v>
      </c>
      <c r="Q25" s="7">
        <f t="shared" si="22"/>
        <v>20</v>
      </c>
      <c r="R25" s="49">
        <v>45947</v>
      </c>
    </row>
    <row r="26" spans="1:19" x14ac:dyDescent="0.15">
      <c r="A26" s="17" t="s">
        <v>53</v>
      </c>
      <c r="B26" s="5">
        <v>1</v>
      </c>
      <c r="C26" s="6"/>
      <c r="D26" s="7">
        <f t="shared" si="17"/>
        <v>1</v>
      </c>
      <c r="E26" s="5">
        <v>1</v>
      </c>
      <c r="F26" s="6"/>
      <c r="G26" s="39">
        <f t="shared" si="18"/>
        <v>1</v>
      </c>
      <c r="H26" s="7">
        <f t="shared" si="19"/>
        <v>2</v>
      </c>
      <c r="I26" s="33">
        <v>45957</v>
      </c>
      <c r="J26" s="15" t="s">
        <v>51</v>
      </c>
      <c r="K26" s="5">
        <v>5</v>
      </c>
      <c r="L26" s="6">
        <v>10</v>
      </c>
      <c r="M26" s="7">
        <f t="shared" si="20"/>
        <v>15</v>
      </c>
      <c r="N26" s="5"/>
      <c r="O26" s="6"/>
      <c r="P26" s="39">
        <f t="shared" si="21"/>
        <v>0</v>
      </c>
      <c r="Q26" s="7">
        <f t="shared" si="22"/>
        <v>15</v>
      </c>
      <c r="R26" s="49">
        <v>45947</v>
      </c>
    </row>
    <row r="27" spans="1:19" x14ac:dyDescent="0.15">
      <c r="A27" s="17" t="s">
        <v>66</v>
      </c>
      <c r="B27" s="5"/>
      <c r="C27" s="6">
        <v>1</v>
      </c>
      <c r="D27" s="7">
        <f t="shared" si="17"/>
        <v>1</v>
      </c>
      <c r="E27" s="5"/>
      <c r="F27" s="6">
        <v>1</v>
      </c>
      <c r="G27" s="39">
        <f t="shared" si="18"/>
        <v>1</v>
      </c>
      <c r="H27" s="7">
        <f t="shared" si="19"/>
        <v>2</v>
      </c>
      <c r="I27" s="31">
        <v>45960</v>
      </c>
      <c r="J27" s="17" t="s">
        <v>33</v>
      </c>
      <c r="K27" s="5">
        <v>5</v>
      </c>
      <c r="L27" s="6">
        <v>10</v>
      </c>
      <c r="M27" s="7">
        <f t="shared" si="20"/>
        <v>15</v>
      </c>
      <c r="N27" s="5">
        <v>5</v>
      </c>
      <c r="O27" s="6">
        <v>10</v>
      </c>
      <c r="P27" s="39">
        <f t="shared" si="21"/>
        <v>15</v>
      </c>
      <c r="Q27" s="7">
        <f t="shared" si="22"/>
        <v>30</v>
      </c>
      <c r="R27" s="49">
        <v>45948</v>
      </c>
    </row>
    <row r="28" spans="1:19" x14ac:dyDescent="0.15">
      <c r="A28" s="17" t="s">
        <v>67</v>
      </c>
      <c r="B28" s="5">
        <v>2</v>
      </c>
      <c r="C28" s="6"/>
      <c r="D28" s="7">
        <f t="shared" si="17"/>
        <v>2</v>
      </c>
      <c r="E28" s="5">
        <v>2</v>
      </c>
      <c r="F28" s="6"/>
      <c r="G28" s="39">
        <f t="shared" si="18"/>
        <v>2</v>
      </c>
      <c r="H28" s="7">
        <f t="shared" si="19"/>
        <v>4</v>
      </c>
      <c r="I28" s="31">
        <v>45961</v>
      </c>
      <c r="J28" s="15" t="s">
        <v>54</v>
      </c>
      <c r="K28" s="5">
        <v>5</v>
      </c>
      <c r="L28" s="6"/>
      <c r="M28" s="7">
        <f t="shared" si="20"/>
        <v>5</v>
      </c>
      <c r="N28" s="5"/>
      <c r="O28" s="6"/>
      <c r="P28" s="39">
        <f t="shared" si="21"/>
        <v>0</v>
      </c>
      <c r="Q28" s="7">
        <f t="shared" si="22"/>
        <v>5</v>
      </c>
      <c r="R28" s="51">
        <v>45948</v>
      </c>
    </row>
    <row r="29" spans="1:19" x14ac:dyDescent="0.15">
      <c r="A29" s="17" t="s">
        <v>53</v>
      </c>
      <c r="B29" s="5"/>
      <c r="C29" s="6"/>
      <c r="D29" s="7">
        <f t="shared" si="17"/>
        <v>0</v>
      </c>
      <c r="E29" s="5">
        <v>2</v>
      </c>
      <c r="F29" s="6"/>
      <c r="G29" s="39">
        <f t="shared" si="18"/>
        <v>2</v>
      </c>
      <c r="H29" s="7">
        <f t="shared" si="19"/>
        <v>2</v>
      </c>
      <c r="I29" s="31">
        <v>45959</v>
      </c>
      <c r="J29" s="64" t="s">
        <v>33</v>
      </c>
      <c r="K29" s="65">
        <v>5</v>
      </c>
      <c r="L29" s="66">
        <v>5</v>
      </c>
      <c r="M29" s="67">
        <f t="shared" si="20"/>
        <v>10</v>
      </c>
      <c r="N29" s="65">
        <v>5</v>
      </c>
      <c r="O29" s="66">
        <v>10</v>
      </c>
      <c r="P29" s="39">
        <f t="shared" si="21"/>
        <v>15</v>
      </c>
      <c r="Q29" s="7">
        <f t="shared" si="22"/>
        <v>25</v>
      </c>
      <c r="R29" s="69">
        <v>45957</v>
      </c>
    </row>
    <row r="30" spans="1:19" x14ac:dyDescent="0.15">
      <c r="A30" s="17" t="s">
        <v>68</v>
      </c>
      <c r="B30" s="5">
        <v>2</v>
      </c>
      <c r="C30" s="6">
        <v>1</v>
      </c>
      <c r="D30" s="7">
        <f t="shared" si="17"/>
        <v>3</v>
      </c>
      <c r="E30" s="5">
        <v>2</v>
      </c>
      <c r="F30" s="6">
        <v>1</v>
      </c>
      <c r="G30" s="39">
        <f t="shared" si="18"/>
        <v>3</v>
      </c>
      <c r="H30" s="7">
        <f t="shared" si="19"/>
        <v>6</v>
      </c>
      <c r="I30" s="31">
        <v>45961</v>
      </c>
      <c r="J30" s="17" t="s">
        <v>33</v>
      </c>
      <c r="K30" s="5">
        <v>5</v>
      </c>
      <c r="L30" s="6">
        <v>5</v>
      </c>
      <c r="M30" s="7">
        <f t="shared" si="20"/>
        <v>10</v>
      </c>
      <c r="N30" s="5">
        <v>10</v>
      </c>
      <c r="O30" s="6">
        <v>5</v>
      </c>
      <c r="P30" s="39">
        <f t="shared" si="21"/>
        <v>15</v>
      </c>
      <c r="Q30" s="7">
        <f t="shared" si="22"/>
        <v>25</v>
      </c>
      <c r="R30" s="49">
        <v>45961</v>
      </c>
    </row>
    <row r="31" spans="1:19" x14ac:dyDescent="0.15">
      <c r="A31" s="17" t="s">
        <v>69</v>
      </c>
      <c r="B31" s="5">
        <v>1</v>
      </c>
      <c r="C31" s="6"/>
      <c r="D31" s="7">
        <f t="shared" si="17"/>
        <v>1</v>
      </c>
      <c r="E31" s="5">
        <v>1</v>
      </c>
      <c r="F31" s="6"/>
      <c r="G31" s="39">
        <f t="shared" si="18"/>
        <v>1</v>
      </c>
      <c r="H31" s="7">
        <f t="shared" si="19"/>
        <v>2</v>
      </c>
      <c r="I31" s="31">
        <v>45960</v>
      </c>
      <c r="J31" s="17" t="s">
        <v>33</v>
      </c>
      <c r="K31" s="5">
        <v>10</v>
      </c>
      <c r="L31" s="6">
        <v>5</v>
      </c>
      <c r="M31" s="7">
        <f t="shared" si="20"/>
        <v>15</v>
      </c>
      <c r="N31" s="5">
        <v>5</v>
      </c>
      <c r="O31" s="6">
        <v>5</v>
      </c>
      <c r="P31" s="39">
        <f t="shared" si="21"/>
        <v>10</v>
      </c>
      <c r="Q31" s="7">
        <f t="shared" si="22"/>
        <v>25</v>
      </c>
      <c r="R31" s="49">
        <v>45962</v>
      </c>
    </row>
    <row r="32" spans="1:19" x14ac:dyDescent="0.15">
      <c r="A32" s="14" t="s">
        <v>70</v>
      </c>
      <c r="B32" s="5">
        <v>1</v>
      </c>
      <c r="C32" s="6"/>
      <c r="D32" s="7">
        <f t="shared" si="17"/>
        <v>1</v>
      </c>
      <c r="E32" s="5">
        <v>1</v>
      </c>
      <c r="F32" s="6"/>
      <c r="G32" s="39">
        <f t="shared" si="18"/>
        <v>1</v>
      </c>
      <c r="H32" s="7">
        <f t="shared" si="19"/>
        <v>2</v>
      </c>
      <c r="I32" s="31">
        <v>45966</v>
      </c>
      <c r="J32" s="17" t="s">
        <v>33</v>
      </c>
      <c r="K32" s="5">
        <v>5</v>
      </c>
      <c r="L32" s="6"/>
      <c r="M32" s="7">
        <f t="shared" si="20"/>
        <v>5</v>
      </c>
      <c r="N32" s="5">
        <v>5</v>
      </c>
      <c r="O32" s="6"/>
      <c r="P32" s="39">
        <f t="shared" si="21"/>
        <v>5</v>
      </c>
      <c r="Q32" s="7">
        <f t="shared" si="22"/>
        <v>10</v>
      </c>
      <c r="R32" s="49">
        <v>45975</v>
      </c>
    </row>
    <row r="33" spans="1:18" x14ac:dyDescent="0.15">
      <c r="A33" s="17" t="s">
        <v>71</v>
      </c>
      <c r="B33" s="5">
        <v>1</v>
      </c>
      <c r="C33" s="6">
        <v>2</v>
      </c>
      <c r="D33" s="7">
        <f t="shared" si="17"/>
        <v>3</v>
      </c>
      <c r="E33" s="5">
        <v>1</v>
      </c>
      <c r="F33" s="6">
        <v>2</v>
      </c>
      <c r="G33" s="39">
        <f t="shared" si="18"/>
        <v>3</v>
      </c>
      <c r="H33" s="7">
        <f t="shared" si="19"/>
        <v>6</v>
      </c>
      <c r="I33" s="31">
        <v>45965</v>
      </c>
      <c r="J33" s="14"/>
      <c r="K33" s="5"/>
      <c r="L33" s="6"/>
      <c r="M33" s="7">
        <f t="shared" si="20"/>
        <v>0</v>
      </c>
      <c r="N33" s="5"/>
      <c r="O33" s="6"/>
      <c r="P33" s="39">
        <f t="shared" si="21"/>
        <v>0</v>
      </c>
      <c r="Q33" s="7">
        <f t="shared" si="22"/>
        <v>0</v>
      </c>
      <c r="R33" s="49"/>
    </row>
    <row r="34" spans="1:18" x14ac:dyDescent="0.15">
      <c r="A34" s="14" t="s">
        <v>44</v>
      </c>
      <c r="B34" s="5">
        <v>1</v>
      </c>
      <c r="C34" s="6"/>
      <c r="D34" s="7">
        <f t="shared" si="17"/>
        <v>1</v>
      </c>
      <c r="E34" s="5">
        <v>1</v>
      </c>
      <c r="F34" s="6"/>
      <c r="G34" s="39">
        <f t="shared" si="18"/>
        <v>1</v>
      </c>
      <c r="H34" s="7">
        <f t="shared" si="19"/>
        <v>2</v>
      </c>
      <c r="I34" s="31">
        <v>45962</v>
      </c>
      <c r="J34" s="14"/>
      <c r="K34" s="5"/>
      <c r="L34" s="6"/>
      <c r="M34" s="7">
        <f t="shared" si="20"/>
        <v>0</v>
      </c>
      <c r="N34" s="5"/>
      <c r="O34" s="6"/>
      <c r="P34" s="39">
        <f t="shared" si="21"/>
        <v>0</v>
      </c>
      <c r="Q34" s="7">
        <f t="shared" si="22"/>
        <v>0</v>
      </c>
      <c r="R34" s="49"/>
    </row>
    <row r="35" spans="1:18" x14ac:dyDescent="0.15">
      <c r="A35" s="17" t="s">
        <v>72</v>
      </c>
      <c r="B35" s="8">
        <v>1</v>
      </c>
      <c r="C35" s="9"/>
      <c r="D35" s="7">
        <f t="shared" si="17"/>
        <v>1</v>
      </c>
      <c r="E35" s="8">
        <v>1</v>
      </c>
      <c r="F35" s="9"/>
      <c r="G35" s="39">
        <f t="shared" si="18"/>
        <v>1</v>
      </c>
      <c r="H35" s="7">
        <f t="shared" si="19"/>
        <v>2</v>
      </c>
      <c r="I35" s="31">
        <v>45961</v>
      </c>
      <c r="J35" s="17" t="s">
        <v>30</v>
      </c>
      <c r="K35" s="5"/>
      <c r="L35" s="6"/>
      <c r="M35" s="7">
        <f t="shared" ref="M35" si="26">SUM(K35:L35)</f>
        <v>0</v>
      </c>
      <c r="N35" s="5"/>
      <c r="O35" s="6"/>
      <c r="P35" s="39">
        <f t="shared" ref="P35" si="27">SUM(N35:O35)</f>
        <v>0</v>
      </c>
      <c r="Q35" s="7">
        <f t="shared" ref="Q35" si="28">M35+P35</f>
        <v>0</v>
      </c>
      <c r="R35" s="49" t="s">
        <v>31</v>
      </c>
    </row>
    <row r="36" spans="1:18" x14ac:dyDescent="0.15">
      <c r="A36" s="17" t="s">
        <v>74</v>
      </c>
      <c r="B36" s="5">
        <v>1</v>
      </c>
      <c r="C36" s="6"/>
      <c r="D36" s="7">
        <f t="shared" si="17"/>
        <v>1</v>
      </c>
      <c r="E36" s="5">
        <v>1</v>
      </c>
      <c r="F36" s="6"/>
      <c r="G36" s="39">
        <f t="shared" si="18"/>
        <v>1</v>
      </c>
      <c r="H36" s="7">
        <f t="shared" si="19"/>
        <v>2</v>
      </c>
      <c r="I36" s="31">
        <v>45965</v>
      </c>
      <c r="J36" s="58" t="s">
        <v>36</v>
      </c>
      <c r="K36" s="59"/>
      <c r="L36" s="60"/>
      <c r="M36" s="61">
        <f t="shared" si="20"/>
        <v>0</v>
      </c>
      <c r="N36" s="59"/>
      <c r="O36" s="60"/>
      <c r="P36" s="62">
        <f t="shared" si="21"/>
        <v>0</v>
      </c>
      <c r="Q36" s="61">
        <f t="shared" si="22"/>
        <v>0</v>
      </c>
      <c r="R36" s="72"/>
    </row>
    <row r="37" spans="1:18" x14ac:dyDescent="0.15">
      <c r="A37" s="17" t="s">
        <v>73</v>
      </c>
      <c r="B37" s="5">
        <v>1</v>
      </c>
      <c r="C37" s="6">
        <v>2</v>
      </c>
      <c r="D37" s="7">
        <f t="shared" si="17"/>
        <v>3</v>
      </c>
      <c r="E37" s="5">
        <v>1</v>
      </c>
      <c r="F37" s="6">
        <v>2</v>
      </c>
      <c r="G37" s="39">
        <f t="shared" si="18"/>
        <v>3</v>
      </c>
      <c r="H37" s="7">
        <f t="shared" si="19"/>
        <v>6</v>
      </c>
      <c r="I37" s="31">
        <v>45968</v>
      </c>
      <c r="J37" s="15" t="s">
        <v>22</v>
      </c>
      <c r="K37" s="5"/>
      <c r="L37" s="6"/>
      <c r="M37" s="7">
        <f t="shared" si="20"/>
        <v>0</v>
      </c>
      <c r="N37" s="5"/>
      <c r="O37" s="6"/>
      <c r="P37" s="39">
        <f t="shared" si="21"/>
        <v>0</v>
      </c>
      <c r="Q37" s="7">
        <f t="shared" si="22"/>
        <v>0</v>
      </c>
      <c r="R37" s="49" t="s">
        <v>23</v>
      </c>
    </row>
    <row r="38" spans="1:18" x14ac:dyDescent="0.15">
      <c r="A38" s="17" t="s">
        <v>75</v>
      </c>
      <c r="B38" s="5">
        <v>1</v>
      </c>
      <c r="C38" s="6"/>
      <c r="D38" s="7">
        <f t="shared" si="17"/>
        <v>1</v>
      </c>
      <c r="E38" s="5">
        <v>1</v>
      </c>
      <c r="F38" s="6"/>
      <c r="G38" s="39">
        <f t="shared" si="18"/>
        <v>1</v>
      </c>
      <c r="H38" s="7">
        <f t="shared" si="19"/>
        <v>2</v>
      </c>
      <c r="I38" s="31">
        <v>45971</v>
      </c>
      <c r="J38" s="58" t="s">
        <v>26</v>
      </c>
      <c r="K38" s="59"/>
      <c r="L38" s="60"/>
      <c r="M38" s="61">
        <f t="shared" ref="M38" si="29">SUM(K38:L38)</f>
        <v>0</v>
      </c>
      <c r="N38" s="59"/>
      <c r="O38" s="60"/>
      <c r="P38" s="62">
        <f t="shared" ref="P38" si="30">SUM(N38:O38)</f>
        <v>0</v>
      </c>
      <c r="Q38" s="61">
        <f t="shared" ref="Q38" si="31">M38+P38</f>
        <v>0</v>
      </c>
      <c r="R38" s="49"/>
    </row>
    <row r="39" spans="1:18" ht="14.25" thickBot="1" x14ac:dyDescent="0.2">
      <c r="A39" s="15" t="s">
        <v>53</v>
      </c>
      <c r="B39" s="5">
        <v>2</v>
      </c>
      <c r="C39" s="6"/>
      <c r="D39" s="7">
        <f t="shared" si="17"/>
        <v>2</v>
      </c>
      <c r="E39" s="5">
        <v>2</v>
      </c>
      <c r="F39" s="6"/>
      <c r="G39" s="39">
        <f t="shared" si="18"/>
        <v>2</v>
      </c>
      <c r="H39" s="12">
        <f t="shared" si="19"/>
        <v>4</v>
      </c>
      <c r="I39" s="31">
        <v>45971</v>
      </c>
      <c r="J39" s="15" t="s">
        <v>24</v>
      </c>
      <c r="K39" s="5"/>
      <c r="L39" s="6"/>
      <c r="M39" s="7">
        <f t="shared" si="20"/>
        <v>0</v>
      </c>
      <c r="N39" s="5"/>
      <c r="O39" s="6"/>
      <c r="P39" s="39">
        <f t="shared" si="21"/>
        <v>0</v>
      </c>
      <c r="Q39" s="63">
        <f t="shared" si="22"/>
        <v>0</v>
      </c>
      <c r="R39" s="49" t="s">
        <v>27</v>
      </c>
    </row>
    <row r="40" spans="1:18" ht="14.25" thickBot="1" x14ac:dyDescent="0.2">
      <c r="A40" s="26" t="s">
        <v>14</v>
      </c>
      <c r="B40" s="27">
        <f>SUM(B14:B39)</f>
        <v>26</v>
      </c>
      <c r="C40" s="28">
        <f>SUM(C14:C39)</f>
        <v>20</v>
      </c>
      <c r="D40" s="29">
        <f t="shared" si="17"/>
        <v>46</v>
      </c>
      <c r="E40" s="27">
        <f>SUM(E14:E39)</f>
        <v>27</v>
      </c>
      <c r="F40" s="28">
        <f>SUM(F14:F39)</f>
        <v>23</v>
      </c>
      <c r="G40" s="29">
        <f t="shared" si="18"/>
        <v>50</v>
      </c>
      <c r="H40" s="30">
        <f t="shared" si="19"/>
        <v>96</v>
      </c>
      <c r="I40" s="25"/>
      <c r="J40" s="26" t="s">
        <v>14</v>
      </c>
      <c r="K40" s="27">
        <f>SUM(K14:K39)</f>
        <v>231</v>
      </c>
      <c r="L40" s="28">
        <f t="shared" ref="L40:Q40" si="32">SUM(L14:L39)</f>
        <v>163</v>
      </c>
      <c r="M40" s="29">
        <f t="shared" si="32"/>
        <v>394</v>
      </c>
      <c r="N40" s="27">
        <f t="shared" si="32"/>
        <v>216</v>
      </c>
      <c r="O40" s="28">
        <f t="shared" si="32"/>
        <v>153</v>
      </c>
      <c r="P40" s="29">
        <f t="shared" si="32"/>
        <v>369</v>
      </c>
      <c r="Q40" s="30">
        <f t="shared" si="32"/>
        <v>763</v>
      </c>
      <c r="R40" s="48"/>
    </row>
    <row r="41" spans="1:18" ht="14.25" thickBot="1" x14ac:dyDescent="0.2">
      <c r="A41" s="13" t="s">
        <v>15</v>
      </c>
      <c r="B41" s="36">
        <f>B13-B40</f>
        <v>12</v>
      </c>
      <c r="C41" s="37">
        <f t="shared" ref="C41" si="33">C13-C40</f>
        <v>12</v>
      </c>
      <c r="D41" s="38">
        <f t="shared" ref="D41" si="34">D13-D40</f>
        <v>24</v>
      </c>
      <c r="E41" s="36">
        <f>E13-E40</f>
        <v>13</v>
      </c>
      <c r="F41" s="37">
        <f t="shared" ref="F41" si="35">F13-F40</f>
        <v>15</v>
      </c>
      <c r="G41" s="38">
        <f t="shared" ref="G41" si="36">G13-G40</f>
        <v>28</v>
      </c>
      <c r="H41" s="21">
        <f t="shared" si="19"/>
        <v>52</v>
      </c>
      <c r="J41" s="13" t="s">
        <v>15</v>
      </c>
      <c r="K41" s="36">
        <f>K13-K40</f>
        <v>342</v>
      </c>
      <c r="L41" s="53">
        <f t="shared" ref="L41:Q41" si="37">L13-L40</f>
        <v>327</v>
      </c>
      <c r="M41" s="54">
        <f t="shared" si="37"/>
        <v>669</v>
      </c>
      <c r="N41" s="36">
        <f t="shared" si="37"/>
        <v>356</v>
      </c>
      <c r="O41" s="53">
        <f t="shared" si="37"/>
        <v>336</v>
      </c>
      <c r="P41" s="54">
        <f t="shared" si="37"/>
        <v>692</v>
      </c>
      <c r="Q41" s="21">
        <f t="shared" si="37"/>
        <v>1361</v>
      </c>
    </row>
    <row r="42" spans="1:18" x14ac:dyDescent="0.15">
      <c r="K42" s="35"/>
      <c r="L42" s="35"/>
      <c r="M42" s="35"/>
    </row>
    <row r="44" spans="1:18" ht="19.5" thickBot="1" x14ac:dyDescent="0.25">
      <c r="A44" s="57" t="s">
        <v>48</v>
      </c>
      <c r="B44" s="57"/>
      <c r="C44" s="57"/>
      <c r="D44" s="57"/>
      <c r="E44" s="42"/>
      <c r="F44" s="42"/>
      <c r="G44" s="42"/>
      <c r="H44" s="42"/>
      <c r="J44" s="55" t="s">
        <v>47</v>
      </c>
      <c r="K44" s="55"/>
      <c r="L44" s="55"/>
      <c r="M44" s="55"/>
      <c r="N44" s="55"/>
      <c r="O44" s="56"/>
      <c r="P44" s="56" t="s">
        <v>41</v>
      </c>
      <c r="Q44" s="56"/>
    </row>
    <row r="45" spans="1:18" ht="14.25" thickBot="1" x14ac:dyDescent="0.2">
      <c r="A45" s="4" t="s">
        <v>0</v>
      </c>
      <c r="B45" s="107" t="s">
        <v>18</v>
      </c>
      <c r="C45" s="108"/>
      <c r="D45" s="109"/>
      <c r="E45" s="110" t="s">
        <v>19</v>
      </c>
      <c r="F45" s="111"/>
      <c r="G45" s="112"/>
      <c r="H45" s="105" t="s">
        <v>1</v>
      </c>
      <c r="J45" s="4" t="s">
        <v>0</v>
      </c>
      <c r="K45" s="107" t="s">
        <v>18</v>
      </c>
      <c r="L45" s="108"/>
      <c r="M45" s="109"/>
      <c r="N45" s="110" t="s">
        <v>19</v>
      </c>
      <c r="O45" s="111"/>
      <c r="P45" s="112"/>
      <c r="Q45" s="105" t="s">
        <v>1</v>
      </c>
    </row>
    <row r="46" spans="1:18" ht="14.25" thickBot="1" x14ac:dyDescent="0.2">
      <c r="A46" s="4" t="s">
        <v>2</v>
      </c>
      <c r="B46" s="1" t="s">
        <v>16</v>
      </c>
      <c r="C46" s="2" t="s">
        <v>17</v>
      </c>
      <c r="D46" s="4" t="s">
        <v>3</v>
      </c>
      <c r="E46" s="1" t="s">
        <v>16</v>
      </c>
      <c r="F46" s="2" t="s">
        <v>17</v>
      </c>
      <c r="G46" s="4" t="s">
        <v>3</v>
      </c>
      <c r="H46" s="106"/>
      <c r="J46" s="4" t="s">
        <v>2</v>
      </c>
      <c r="K46" s="1" t="s">
        <v>16</v>
      </c>
      <c r="L46" s="2" t="s">
        <v>17</v>
      </c>
      <c r="M46" s="4" t="s">
        <v>3</v>
      </c>
      <c r="N46" s="1" t="s">
        <v>16</v>
      </c>
      <c r="O46" s="2" t="s">
        <v>17</v>
      </c>
      <c r="P46" s="4" t="s">
        <v>3</v>
      </c>
      <c r="Q46" s="106"/>
    </row>
    <row r="47" spans="1:18" ht="14.25" thickBot="1" x14ac:dyDescent="0.2">
      <c r="A47" s="18" t="s">
        <v>15</v>
      </c>
      <c r="B47" s="19">
        <f>B41</f>
        <v>12</v>
      </c>
      <c r="C47" s="20">
        <f t="shared" ref="C47" si="38">C41</f>
        <v>12</v>
      </c>
      <c r="D47" s="21">
        <f t="shared" ref="D47:D55" si="39">SUM(B47:C47)</f>
        <v>24</v>
      </c>
      <c r="E47" s="19">
        <f>E41</f>
        <v>13</v>
      </c>
      <c r="F47" s="20">
        <f t="shared" ref="F47" si="40">F41</f>
        <v>15</v>
      </c>
      <c r="G47" s="21">
        <f t="shared" ref="G47:G55" si="41">SUM(E47:F47)</f>
        <v>28</v>
      </c>
      <c r="H47" s="21">
        <f t="shared" ref="H47:H55" si="42">D47+G47</f>
        <v>52</v>
      </c>
      <c r="I47" s="31"/>
      <c r="J47" s="18" t="s">
        <v>15</v>
      </c>
      <c r="K47" s="19">
        <f>K41</f>
        <v>342</v>
      </c>
      <c r="L47" s="20">
        <f t="shared" ref="L47:Q47" si="43">L41</f>
        <v>327</v>
      </c>
      <c r="M47" s="21">
        <f t="shared" si="43"/>
        <v>669</v>
      </c>
      <c r="N47" s="19">
        <f t="shared" si="43"/>
        <v>356</v>
      </c>
      <c r="O47" s="20">
        <f t="shared" si="43"/>
        <v>336</v>
      </c>
      <c r="P47" s="21">
        <f t="shared" si="43"/>
        <v>692</v>
      </c>
      <c r="Q47" s="21">
        <f t="shared" si="43"/>
        <v>1361</v>
      </c>
      <c r="R47" s="50"/>
    </row>
    <row r="48" spans="1:18" x14ac:dyDescent="0.15">
      <c r="A48" s="16" t="s">
        <v>88</v>
      </c>
      <c r="B48" s="10"/>
      <c r="C48" s="11">
        <v>1</v>
      </c>
      <c r="D48" s="43">
        <f t="shared" si="39"/>
        <v>1</v>
      </c>
      <c r="E48" s="10"/>
      <c r="F48" s="11">
        <v>1</v>
      </c>
      <c r="G48" s="44">
        <f t="shared" si="41"/>
        <v>1</v>
      </c>
      <c r="H48" s="43">
        <f t="shared" si="42"/>
        <v>2</v>
      </c>
      <c r="I48" s="31">
        <v>45979</v>
      </c>
      <c r="J48" s="16" t="s">
        <v>95</v>
      </c>
      <c r="K48" s="10">
        <v>11</v>
      </c>
      <c r="L48" s="11">
        <v>18</v>
      </c>
      <c r="M48" s="43">
        <f t="shared" ref="M48:M55" si="44">SUM(K48:L48)</f>
        <v>29</v>
      </c>
      <c r="N48" s="10">
        <v>15</v>
      </c>
      <c r="O48" s="11">
        <v>10</v>
      </c>
      <c r="P48" s="44">
        <f t="shared" ref="P48:P55" si="45">SUM(N48:O48)</f>
        <v>25</v>
      </c>
      <c r="Q48" s="43">
        <f t="shared" ref="Q48:Q55" si="46">M48+P48</f>
        <v>54</v>
      </c>
      <c r="R48" s="49">
        <v>46010</v>
      </c>
    </row>
    <row r="49" spans="1:20" x14ac:dyDescent="0.15">
      <c r="A49" s="16" t="s">
        <v>102</v>
      </c>
      <c r="B49" s="5"/>
      <c r="C49" s="6">
        <v>1</v>
      </c>
      <c r="D49" s="7">
        <f t="shared" si="39"/>
        <v>1</v>
      </c>
      <c r="E49" s="5"/>
      <c r="F49" s="6">
        <v>1</v>
      </c>
      <c r="G49" s="39">
        <f t="shared" si="41"/>
        <v>1</v>
      </c>
      <c r="H49" s="7">
        <f t="shared" si="42"/>
        <v>2</v>
      </c>
      <c r="I49" s="31">
        <v>45986</v>
      </c>
      <c r="J49" s="16" t="s">
        <v>6</v>
      </c>
      <c r="K49" s="5"/>
      <c r="L49" s="6"/>
      <c r="M49" s="7">
        <f t="shared" si="44"/>
        <v>0</v>
      </c>
      <c r="N49" s="5"/>
      <c r="O49" s="6"/>
      <c r="P49" s="39">
        <f t="shared" si="45"/>
        <v>0</v>
      </c>
      <c r="Q49" s="7">
        <f t="shared" si="46"/>
        <v>0</v>
      </c>
      <c r="R49" s="49"/>
    </row>
    <row r="50" spans="1:20" x14ac:dyDescent="0.15">
      <c r="A50" s="16" t="s">
        <v>7</v>
      </c>
      <c r="B50" s="5">
        <v>8</v>
      </c>
      <c r="C50" s="6">
        <v>5</v>
      </c>
      <c r="D50" s="7">
        <f t="shared" si="39"/>
        <v>13</v>
      </c>
      <c r="E50" s="5">
        <v>8</v>
      </c>
      <c r="F50" s="6">
        <v>5</v>
      </c>
      <c r="G50" s="39">
        <f t="shared" si="41"/>
        <v>13</v>
      </c>
      <c r="H50" s="7">
        <f t="shared" si="42"/>
        <v>26</v>
      </c>
      <c r="I50" s="31">
        <v>45990</v>
      </c>
      <c r="J50" s="16" t="s">
        <v>21</v>
      </c>
      <c r="K50" s="5">
        <v>500</v>
      </c>
      <c r="L50" s="6">
        <v>400</v>
      </c>
      <c r="M50" s="7">
        <f t="shared" si="44"/>
        <v>900</v>
      </c>
      <c r="N50" s="5">
        <v>500</v>
      </c>
      <c r="O50" s="6">
        <v>400</v>
      </c>
      <c r="P50" s="7">
        <f t="shared" si="45"/>
        <v>900</v>
      </c>
      <c r="Q50" s="7">
        <f t="shared" si="46"/>
        <v>1800</v>
      </c>
      <c r="R50" s="49" t="s">
        <v>135</v>
      </c>
    </row>
    <row r="51" spans="1:20" x14ac:dyDescent="0.15">
      <c r="A51" s="16" t="s">
        <v>8</v>
      </c>
      <c r="B51" s="5"/>
      <c r="C51" s="6">
        <v>5</v>
      </c>
      <c r="D51" s="7">
        <f t="shared" si="39"/>
        <v>5</v>
      </c>
      <c r="E51" s="5"/>
      <c r="F51" s="6">
        <v>5</v>
      </c>
      <c r="G51" s="39">
        <f t="shared" si="41"/>
        <v>5</v>
      </c>
      <c r="H51" s="7">
        <f t="shared" si="42"/>
        <v>10</v>
      </c>
      <c r="I51" s="31">
        <v>45997</v>
      </c>
      <c r="J51" s="16" t="s">
        <v>42</v>
      </c>
      <c r="K51" s="5">
        <v>-33</v>
      </c>
      <c r="L51" s="6">
        <v>-30</v>
      </c>
      <c r="M51" s="7">
        <f t="shared" si="44"/>
        <v>-63</v>
      </c>
      <c r="N51" s="5">
        <v>-35</v>
      </c>
      <c r="O51" s="6">
        <v>-37</v>
      </c>
      <c r="P51" s="39">
        <f t="shared" si="45"/>
        <v>-72</v>
      </c>
      <c r="Q51" s="7">
        <f t="shared" si="46"/>
        <v>-135</v>
      </c>
      <c r="R51" s="79"/>
    </row>
    <row r="52" spans="1:20" x14ac:dyDescent="0.15">
      <c r="A52" s="70" t="s">
        <v>9</v>
      </c>
      <c r="B52" s="65">
        <v>5</v>
      </c>
      <c r="C52" s="66">
        <v>5</v>
      </c>
      <c r="D52" s="67">
        <f t="shared" si="39"/>
        <v>10</v>
      </c>
      <c r="E52" s="65">
        <v>5</v>
      </c>
      <c r="F52" s="66">
        <v>5</v>
      </c>
      <c r="G52" s="68">
        <f t="shared" si="41"/>
        <v>10</v>
      </c>
      <c r="H52" s="67">
        <f t="shared" si="42"/>
        <v>20</v>
      </c>
      <c r="I52" s="71">
        <v>46003</v>
      </c>
      <c r="J52" s="16" t="s">
        <v>9</v>
      </c>
      <c r="K52" s="5"/>
      <c r="L52" s="6"/>
      <c r="M52" s="7">
        <f t="shared" si="44"/>
        <v>0</v>
      </c>
      <c r="N52" s="5"/>
      <c r="O52" s="6"/>
      <c r="P52" s="39">
        <f t="shared" si="45"/>
        <v>0</v>
      </c>
      <c r="Q52" s="7">
        <f t="shared" si="46"/>
        <v>0</v>
      </c>
    </row>
    <row r="53" spans="1:20" x14ac:dyDescent="0.15">
      <c r="A53" s="70" t="s">
        <v>10</v>
      </c>
      <c r="B53" s="65">
        <v>8</v>
      </c>
      <c r="C53" s="66"/>
      <c r="D53" s="67"/>
      <c r="E53" s="65">
        <v>2</v>
      </c>
      <c r="F53" s="66"/>
      <c r="G53" s="68">
        <f t="shared" si="41"/>
        <v>2</v>
      </c>
      <c r="H53" s="67">
        <f t="shared" si="42"/>
        <v>2</v>
      </c>
      <c r="I53" s="71">
        <v>46007</v>
      </c>
      <c r="J53" s="16" t="s">
        <v>10</v>
      </c>
      <c r="K53" s="5"/>
      <c r="L53" s="6"/>
      <c r="M53" s="7">
        <f t="shared" si="44"/>
        <v>0</v>
      </c>
      <c r="N53" s="5"/>
      <c r="O53" s="6"/>
      <c r="P53" s="39">
        <f t="shared" si="45"/>
        <v>0</v>
      </c>
      <c r="Q53" s="7">
        <f t="shared" si="46"/>
        <v>0</v>
      </c>
    </row>
    <row r="54" spans="1:20" x14ac:dyDescent="0.15">
      <c r="A54" s="16" t="s">
        <v>88</v>
      </c>
      <c r="B54" s="8">
        <v>1</v>
      </c>
      <c r="C54" s="9"/>
      <c r="D54" s="7">
        <f t="shared" si="39"/>
        <v>1</v>
      </c>
      <c r="E54" s="8">
        <v>1</v>
      </c>
      <c r="F54" s="9"/>
      <c r="G54" s="39">
        <f t="shared" si="41"/>
        <v>1</v>
      </c>
      <c r="H54" s="7">
        <f t="shared" si="42"/>
        <v>2</v>
      </c>
      <c r="I54" s="31">
        <v>46003</v>
      </c>
      <c r="J54" s="16" t="s">
        <v>11</v>
      </c>
      <c r="K54" s="8"/>
      <c r="L54" s="9"/>
      <c r="M54" s="7">
        <f t="shared" si="44"/>
        <v>0</v>
      </c>
      <c r="N54" s="8"/>
      <c r="O54" s="9"/>
      <c r="P54" s="39">
        <f t="shared" si="45"/>
        <v>0</v>
      </c>
      <c r="Q54" s="7">
        <f t="shared" si="46"/>
        <v>0</v>
      </c>
    </row>
    <row r="55" spans="1:20" ht="14.25" thickBot="1" x14ac:dyDescent="0.2">
      <c r="A55" s="16" t="s">
        <v>12</v>
      </c>
      <c r="B55" s="22"/>
      <c r="C55" s="23"/>
      <c r="D55" s="7">
        <f t="shared" si="39"/>
        <v>0</v>
      </c>
      <c r="E55" s="22">
        <v>5</v>
      </c>
      <c r="F55" s="23"/>
      <c r="G55" s="39">
        <f t="shared" si="41"/>
        <v>5</v>
      </c>
      <c r="H55" s="12">
        <f t="shared" si="42"/>
        <v>5</v>
      </c>
      <c r="I55" s="31">
        <v>46011</v>
      </c>
      <c r="J55" s="16" t="s">
        <v>12</v>
      </c>
      <c r="K55" s="22"/>
      <c r="L55" s="23"/>
      <c r="M55" s="7">
        <f t="shared" si="44"/>
        <v>0</v>
      </c>
      <c r="N55" s="22"/>
      <c r="O55" s="23"/>
      <c r="P55" s="39">
        <f t="shared" si="45"/>
        <v>0</v>
      </c>
      <c r="Q55" s="12">
        <f t="shared" si="46"/>
        <v>0</v>
      </c>
      <c r="R55" s="49"/>
    </row>
    <row r="56" spans="1:20" ht="14.25" thickBot="1" x14ac:dyDescent="0.2">
      <c r="A56" s="24" t="s">
        <v>13</v>
      </c>
      <c r="B56" s="19">
        <f>SUM(B47:B55)</f>
        <v>34</v>
      </c>
      <c r="C56" s="20">
        <f t="shared" ref="C56" si="47">SUM(C47:C55)</f>
        <v>29</v>
      </c>
      <c r="D56" s="41">
        <f t="shared" ref="D56" si="48">SUM(D47:D55)</f>
        <v>55</v>
      </c>
      <c r="E56" s="19">
        <f t="shared" ref="E56" si="49">SUM(E47:E55)</f>
        <v>34</v>
      </c>
      <c r="F56" s="20">
        <f t="shared" ref="F56" si="50">SUM(F47:F55)</f>
        <v>32</v>
      </c>
      <c r="G56" s="40">
        <f t="shared" ref="G56" si="51">SUM(G47:G55)</f>
        <v>66</v>
      </c>
      <c r="H56" s="21">
        <f t="shared" ref="H56" si="52">SUM(H47:H55)</f>
        <v>121</v>
      </c>
      <c r="J56" s="24" t="s">
        <v>13</v>
      </c>
      <c r="K56" s="19">
        <f>SUM(K47:K55)</f>
        <v>820</v>
      </c>
      <c r="L56" s="52">
        <f t="shared" ref="L56" si="53">SUM(L47:L55)</f>
        <v>715</v>
      </c>
      <c r="M56" s="21">
        <f t="shared" ref="M56" si="54">SUM(M47:M55)</f>
        <v>1535</v>
      </c>
      <c r="N56" s="19">
        <f t="shared" ref="N56" si="55">SUM(N47:N55)</f>
        <v>836</v>
      </c>
      <c r="O56" s="52">
        <f t="shared" ref="O56" si="56">SUM(O47:O55)</f>
        <v>709</v>
      </c>
      <c r="P56" s="21">
        <f t="shared" ref="P56" si="57">SUM(P47:P55)</f>
        <v>1545</v>
      </c>
      <c r="Q56" s="21">
        <f t="shared" ref="Q56" si="58">SUM(Q47:Q55)</f>
        <v>3080</v>
      </c>
    </row>
    <row r="57" spans="1:20" x14ac:dyDescent="0.15">
      <c r="A57" s="17" t="s">
        <v>76</v>
      </c>
      <c r="B57" s="5">
        <v>1</v>
      </c>
      <c r="C57" s="6"/>
      <c r="D57" s="7">
        <f t="shared" ref="D57:D83" si="59">SUM(B57:C57)</f>
        <v>1</v>
      </c>
      <c r="E57" s="5"/>
      <c r="F57" s="6"/>
      <c r="G57" s="39">
        <f t="shared" ref="G57:G83" si="60">SUM(E57:F57)</f>
        <v>0</v>
      </c>
      <c r="H57" s="7">
        <f t="shared" ref="H57:H84" si="61">D57+G57</f>
        <v>1</v>
      </c>
      <c r="I57" s="31">
        <v>45972</v>
      </c>
      <c r="J57" s="15" t="s">
        <v>101</v>
      </c>
      <c r="K57" s="5"/>
      <c r="L57" s="6">
        <v>3</v>
      </c>
      <c r="M57" s="7">
        <f t="shared" ref="M57:M79" si="62">SUM(K57:L57)</f>
        <v>3</v>
      </c>
      <c r="N57" s="5"/>
      <c r="O57" s="6">
        <v>3</v>
      </c>
      <c r="P57" s="39">
        <f t="shared" ref="P57:P79" si="63">SUM(N57:O57)</f>
        <v>3</v>
      </c>
      <c r="Q57" s="7">
        <f t="shared" ref="Q57:Q79" si="64">M57+P57</f>
        <v>6</v>
      </c>
      <c r="R57" s="49">
        <v>45994</v>
      </c>
      <c r="S57" s="32"/>
    </row>
    <row r="58" spans="1:20" x14ac:dyDescent="0.15">
      <c r="A58" s="17" t="s">
        <v>53</v>
      </c>
      <c r="B58" s="5"/>
      <c r="C58" s="6">
        <v>1</v>
      </c>
      <c r="D58" s="7">
        <f t="shared" si="59"/>
        <v>1</v>
      </c>
      <c r="E58" s="5"/>
      <c r="F58" s="6">
        <v>1</v>
      </c>
      <c r="G58" s="39">
        <f t="shared" si="60"/>
        <v>1</v>
      </c>
      <c r="H58" s="7">
        <f t="shared" si="61"/>
        <v>2</v>
      </c>
      <c r="I58" s="33">
        <v>45972</v>
      </c>
      <c r="J58" s="17" t="s">
        <v>104</v>
      </c>
      <c r="K58" s="5">
        <v>8</v>
      </c>
      <c r="L58" s="6">
        <v>5</v>
      </c>
      <c r="M58" s="7">
        <f t="shared" si="62"/>
        <v>13</v>
      </c>
      <c r="N58" s="5">
        <v>8</v>
      </c>
      <c r="O58" s="6">
        <v>5</v>
      </c>
      <c r="P58" s="39">
        <f t="shared" si="63"/>
        <v>13</v>
      </c>
      <c r="Q58" s="7">
        <f t="shared" si="64"/>
        <v>26</v>
      </c>
      <c r="R58" s="49">
        <v>45990</v>
      </c>
    </row>
    <row r="59" spans="1:20" x14ac:dyDescent="0.15">
      <c r="A59" s="17" t="s">
        <v>80</v>
      </c>
      <c r="B59" s="5">
        <v>1</v>
      </c>
      <c r="C59" s="6"/>
      <c r="D59" s="7">
        <f t="shared" si="59"/>
        <v>1</v>
      </c>
      <c r="E59" s="5"/>
      <c r="F59" s="6">
        <v>1</v>
      </c>
      <c r="G59" s="39">
        <f t="shared" si="60"/>
        <v>1</v>
      </c>
      <c r="H59" s="7">
        <f t="shared" si="61"/>
        <v>2</v>
      </c>
      <c r="I59" s="33">
        <v>45975</v>
      </c>
      <c r="J59" s="15" t="s">
        <v>105</v>
      </c>
      <c r="K59" s="5">
        <v>20</v>
      </c>
      <c r="L59" s="6">
        <v>20</v>
      </c>
      <c r="M59" s="7">
        <f t="shared" si="62"/>
        <v>40</v>
      </c>
      <c r="N59" s="5">
        <v>20</v>
      </c>
      <c r="O59" s="6">
        <v>20</v>
      </c>
      <c r="P59" s="39">
        <f t="shared" si="63"/>
        <v>40</v>
      </c>
      <c r="Q59" s="7">
        <f t="shared" si="64"/>
        <v>80</v>
      </c>
      <c r="R59" s="49">
        <v>45995</v>
      </c>
      <c r="S59" s="32"/>
      <c r="T59" s="32"/>
    </row>
    <row r="60" spans="1:20" x14ac:dyDescent="0.15">
      <c r="A60" s="17" t="s">
        <v>85</v>
      </c>
      <c r="B60" s="5"/>
      <c r="C60" s="6">
        <v>1</v>
      </c>
      <c r="D60" s="7">
        <f t="shared" si="59"/>
        <v>1</v>
      </c>
      <c r="E60" s="5"/>
      <c r="F60" s="6">
        <v>1</v>
      </c>
      <c r="G60" s="39">
        <f t="shared" si="60"/>
        <v>1</v>
      </c>
      <c r="H60" s="7">
        <f t="shared" si="61"/>
        <v>2</v>
      </c>
      <c r="I60" s="31">
        <v>45980</v>
      </c>
      <c r="J60" s="17" t="s">
        <v>107</v>
      </c>
      <c r="K60" s="5"/>
      <c r="L60" s="6">
        <v>5</v>
      </c>
      <c r="M60" s="7">
        <f t="shared" si="62"/>
        <v>5</v>
      </c>
      <c r="N60" s="5"/>
      <c r="O60" s="6">
        <v>5</v>
      </c>
      <c r="P60" s="39">
        <f t="shared" si="63"/>
        <v>5</v>
      </c>
      <c r="Q60" s="7">
        <f t="shared" si="64"/>
        <v>10</v>
      </c>
      <c r="R60" s="49">
        <v>45997</v>
      </c>
      <c r="S60" s="32"/>
    </row>
    <row r="61" spans="1:20" x14ac:dyDescent="0.15">
      <c r="A61" s="17" t="s">
        <v>53</v>
      </c>
      <c r="B61" s="5"/>
      <c r="C61" s="6"/>
      <c r="D61" s="7">
        <f t="shared" si="59"/>
        <v>0</v>
      </c>
      <c r="E61" s="5"/>
      <c r="F61" s="6">
        <v>1</v>
      </c>
      <c r="G61" s="39">
        <f t="shared" si="60"/>
        <v>1</v>
      </c>
      <c r="H61" s="7">
        <f t="shared" si="61"/>
        <v>1</v>
      </c>
      <c r="I61" s="33">
        <v>45980</v>
      </c>
      <c r="J61" s="17" t="s">
        <v>33</v>
      </c>
      <c r="K61" s="5">
        <v>5</v>
      </c>
      <c r="L61" s="6">
        <v>5</v>
      </c>
      <c r="M61" s="7">
        <f t="shared" si="62"/>
        <v>10</v>
      </c>
      <c r="N61" s="5">
        <v>5</v>
      </c>
      <c r="O61" s="6">
        <v>5</v>
      </c>
      <c r="P61" s="39">
        <f t="shared" si="63"/>
        <v>10</v>
      </c>
      <c r="Q61" s="7">
        <f t="shared" si="64"/>
        <v>20</v>
      </c>
      <c r="R61" s="49">
        <v>46003</v>
      </c>
      <c r="S61" s="32"/>
    </row>
    <row r="62" spans="1:20" x14ac:dyDescent="0.15">
      <c r="A62" s="17" t="s">
        <v>89</v>
      </c>
      <c r="B62" s="5">
        <v>2</v>
      </c>
      <c r="C62" s="6"/>
      <c r="D62" s="7">
        <f t="shared" si="59"/>
        <v>2</v>
      </c>
      <c r="E62" s="5">
        <v>2</v>
      </c>
      <c r="F62" s="6"/>
      <c r="G62" s="39">
        <f t="shared" si="60"/>
        <v>2</v>
      </c>
      <c r="H62" s="7">
        <f t="shared" si="61"/>
        <v>4</v>
      </c>
      <c r="I62" s="31">
        <v>45982</v>
      </c>
      <c r="J62" s="64" t="s">
        <v>33</v>
      </c>
      <c r="K62" s="65">
        <v>8</v>
      </c>
      <c r="L62" s="66"/>
      <c r="M62" s="67">
        <f t="shared" si="62"/>
        <v>8</v>
      </c>
      <c r="N62" s="65">
        <v>2</v>
      </c>
      <c r="O62" s="66"/>
      <c r="P62" s="68">
        <f t="shared" si="63"/>
        <v>2</v>
      </c>
      <c r="Q62" s="67">
        <f t="shared" si="64"/>
        <v>10</v>
      </c>
      <c r="R62" s="69">
        <v>46007</v>
      </c>
      <c r="S62" s="32"/>
    </row>
    <row r="63" spans="1:20" x14ac:dyDescent="0.15">
      <c r="A63" s="17" t="s">
        <v>53</v>
      </c>
      <c r="B63" s="5"/>
      <c r="C63" s="6">
        <v>1</v>
      </c>
      <c r="D63" s="7">
        <f t="shared" si="59"/>
        <v>1</v>
      </c>
      <c r="E63" s="5"/>
      <c r="F63" s="6">
        <v>1</v>
      </c>
      <c r="G63" s="39">
        <f t="shared" si="60"/>
        <v>1</v>
      </c>
      <c r="H63" s="7">
        <f t="shared" si="61"/>
        <v>2</v>
      </c>
      <c r="I63" s="31">
        <v>45987</v>
      </c>
      <c r="J63" s="64" t="s">
        <v>33</v>
      </c>
      <c r="K63" s="5"/>
      <c r="L63" s="6"/>
      <c r="M63" s="7">
        <f t="shared" si="62"/>
        <v>0</v>
      </c>
      <c r="N63" s="5">
        <v>5</v>
      </c>
      <c r="O63" s="6"/>
      <c r="P63" s="39">
        <f t="shared" si="63"/>
        <v>5</v>
      </c>
      <c r="Q63" s="7">
        <f t="shared" si="64"/>
        <v>5</v>
      </c>
      <c r="R63" s="49">
        <v>46011</v>
      </c>
    </row>
    <row r="64" spans="1:20" x14ac:dyDescent="0.15">
      <c r="A64" s="17" t="s">
        <v>53</v>
      </c>
      <c r="B64" s="5">
        <v>1</v>
      </c>
      <c r="C64" s="6"/>
      <c r="D64" s="7">
        <f t="shared" si="59"/>
        <v>1</v>
      </c>
      <c r="E64" s="5">
        <v>1</v>
      </c>
      <c r="F64" s="6"/>
      <c r="G64" s="39">
        <f t="shared" si="60"/>
        <v>1</v>
      </c>
      <c r="H64" s="7">
        <f t="shared" si="61"/>
        <v>2</v>
      </c>
      <c r="I64" s="31">
        <v>45988</v>
      </c>
      <c r="J64" s="64" t="s">
        <v>33</v>
      </c>
      <c r="K64" s="65"/>
      <c r="L64" s="66">
        <v>5</v>
      </c>
      <c r="M64" s="67">
        <f t="shared" si="62"/>
        <v>5</v>
      </c>
      <c r="N64" s="65"/>
      <c r="O64" s="66">
        <v>5</v>
      </c>
      <c r="P64" s="68">
        <f t="shared" si="63"/>
        <v>5</v>
      </c>
      <c r="Q64" s="67">
        <f t="shared" si="64"/>
        <v>10</v>
      </c>
      <c r="R64" s="69">
        <v>46014</v>
      </c>
    </row>
    <row r="65" spans="1:20" x14ac:dyDescent="0.15">
      <c r="A65" s="17" t="s">
        <v>103</v>
      </c>
      <c r="B65" s="5">
        <v>5</v>
      </c>
      <c r="C65" s="6">
        <v>3</v>
      </c>
      <c r="D65" s="7">
        <f t="shared" si="59"/>
        <v>8</v>
      </c>
      <c r="E65" s="5">
        <v>5</v>
      </c>
      <c r="F65" s="6">
        <v>3</v>
      </c>
      <c r="G65" s="39">
        <f t="shared" si="60"/>
        <v>8</v>
      </c>
      <c r="H65" s="7">
        <f t="shared" si="61"/>
        <v>16</v>
      </c>
      <c r="I65" s="31">
        <v>45992</v>
      </c>
      <c r="J65" s="15" t="s">
        <v>127</v>
      </c>
      <c r="K65" s="5">
        <v>14</v>
      </c>
      <c r="L65" s="6"/>
      <c r="M65" s="7">
        <f t="shared" si="62"/>
        <v>14</v>
      </c>
      <c r="N65" s="5">
        <v>14</v>
      </c>
      <c r="O65" s="6"/>
      <c r="P65" s="39">
        <f t="shared" si="63"/>
        <v>14</v>
      </c>
      <c r="Q65" s="7">
        <f t="shared" si="64"/>
        <v>28</v>
      </c>
      <c r="R65" s="49">
        <v>46031</v>
      </c>
      <c r="S65" s="32"/>
    </row>
    <row r="66" spans="1:20" x14ac:dyDescent="0.15">
      <c r="A66" s="17" t="s">
        <v>53</v>
      </c>
      <c r="B66" s="8">
        <v>2</v>
      </c>
      <c r="C66" s="9"/>
      <c r="D66" s="7">
        <f t="shared" si="59"/>
        <v>2</v>
      </c>
      <c r="E66" s="8">
        <v>3</v>
      </c>
      <c r="F66" s="9"/>
      <c r="G66" s="39">
        <f t="shared" si="60"/>
        <v>3</v>
      </c>
      <c r="H66" s="7">
        <f t="shared" si="61"/>
        <v>5</v>
      </c>
      <c r="I66" s="31">
        <v>45992</v>
      </c>
      <c r="J66" s="15" t="s">
        <v>129</v>
      </c>
      <c r="K66" s="8"/>
      <c r="L66" s="9">
        <v>5</v>
      </c>
      <c r="M66" s="7">
        <f t="shared" si="62"/>
        <v>5</v>
      </c>
      <c r="N66" s="8"/>
      <c r="O66" s="9">
        <v>5</v>
      </c>
      <c r="P66" s="39">
        <f t="shared" si="63"/>
        <v>5</v>
      </c>
      <c r="Q66" s="7">
        <f t="shared" si="64"/>
        <v>10</v>
      </c>
      <c r="R66" s="49">
        <v>46035</v>
      </c>
      <c r="S66" s="32"/>
    </row>
    <row r="67" spans="1:20" x14ac:dyDescent="0.15">
      <c r="A67" s="17" t="s">
        <v>53</v>
      </c>
      <c r="B67" s="5"/>
      <c r="C67" s="6">
        <v>1</v>
      </c>
      <c r="D67" s="7">
        <f t="shared" si="59"/>
        <v>1</v>
      </c>
      <c r="E67" s="5"/>
      <c r="F67" s="6"/>
      <c r="G67" s="39">
        <f t="shared" si="60"/>
        <v>0</v>
      </c>
      <c r="H67" s="7">
        <f t="shared" si="61"/>
        <v>1</v>
      </c>
      <c r="I67" s="31">
        <v>45993</v>
      </c>
      <c r="J67" s="64" t="s">
        <v>130</v>
      </c>
      <c r="K67" s="65">
        <v>3</v>
      </c>
      <c r="L67" s="66">
        <v>3</v>
      </c>
      <c r="M67" s="67">
        <f t="shared" si="62"/>
        <v>6</v>
      </c>
      <c r="N67" s="65">
        <v>3</v>
      </c>
      <c r="O67" s="66">
        <v>3</v>
      </c>
      <c r="P67" s="68">
        <f t="shared" si="63"/>
        <v>6</v>
      </c>
      <c r="Q67" s="67">
        <f t="shared" si="64"/>
        <v>12</v>
      </c>
      <c r="R67" s="69">
        <v>46030</v>
      </c>
      <c r="S67" s="32"/>
    </row>
    <row r="68" spans="1:20" x14ac:dyDescent="0.15">
      <c r="A68" s="17" t="s">
        <v>106</v>
      </c>
      <c r="B68" s="5"/>
      <c r="C68" s="6">
        <v>5</v>
      </c>
      <c r="D68" s="7">
        <f t="shared" si="59"/>
        <v>5</v>
      </c>
      <c r="E68" s="5"/>
      <c r="F68" s="6">
        <v>5</v>
      </c>
      <c r="G68" s="39">
        <v>5</v>
      </c>
      <c r="H68" s="7">
        <f t="shared" si="61"/>
        <v>10</v>
      </c>
      <c r="I68" s="31">
        <v>45996</v>
      </c>
      <c r="J68" s="15" t="s">
        <v>131</v>
      </c>
      <c r="K68" s="5">
        <v>8</v>
      </c>
      <c r="L68" s="6"/>
      <c r="M68" s="7">
        <f t="shared" si="62"/>
        <v>8</v>
      </c>
      <c r="N68" s="5">
        <v>8</v>
      </c>
      <c r="O68" s="6"/>
      <c r="P68" s="39">
        <f t="shared" si="63"/>
        <v>8</v>
      </c>
      <c r="Q68" s="7">
        <f t="shared" si="64"/>
        <v>16</v>
      </c>
      <c r="R68" s="49">
        <v>46031</v>
      </c>
    </row>
    <row r="69" spans="1:20" x14ac:dyDescent="0.15">
      <c r="A69" s="17" t="s">
        <v>53</v>
      </c>
      <c r="B69" s="5"/>
      <c r="C69" s="6">
        <v>1</v>
      </c>
      <c r="D69" s="7">
        <f t="shared" si="59"/>
        <v>1</v>
      </c>
      <c r="E69" s="5"/>
      <c r="F69" s="6">
        <v>1</v>
      </c>
      <c r="G69" s="39">
        <f t="shared" si="60"/>
        <v>1</v>
      </c>
      <c r="H69" s="7">
        <f t="shared" si="61"/>
        <v>2</v>
      </c>
      <c r="I69" s="31">
        <v>45996</v>
      </c>
      <c r="J69" s="15" t="s">
        <v>133</v>
      </c>
      <c r="K69" s="5">
        <v>19</v>
      </c>
      <c r="L69" s="6">
        <v>5</v>
      </c>
      <c r="M69" s="7">
        <f t="shared" si="62"/>
        <v>24</v>
      </c>
      <c r="N69" s="5">
        <v>19</v>
      </c>
      <c r="O69" s="6">
        <v>5</v>
      </c>
      <c r="P69" s="39">
        <f t="shared" si="63"/>
        <v>24</v>
      </c>
      <c r="Q69" s="7">
        <f t="shared" si="64"/>
        <v>48</v>
      </c>
      <c r="R69" s="49">
        <v>46035</v>
      </c>
    </row>
    <row r="70" spans="1:20" x14ac:dyDescent="0.15">
      <c r="A70" s="17" t="s">
        <v>44</v>
      </c>
      <c r="B70" s="5"/>
      <c r="C70" s="6"/>
      <c r="D70" s="7">
        <f t="shared" si="59"/>
        <v>0</v>
      </c>
      <c r="E70" s="5"/>
      <c r="F70" s="6">
        <v>1</v>
      </c>
      <c r="G70" s="39">
        <f t="shared" si="60"/>
        <v>1</v>
      </c>
      <c r="H70" s="7">
        <f t="shared" si="61"/>
        <v>1</v>
      </c>
      <c r="I70" s="31">
        <v>46000</v>
      </c>
      <c r="J70" s="15" t="s">
        <v>134</v>
      </c>
      <c r="K70" s="5">
        <v>16</v>
      </c>
      <c r="L70" s="6">
        <v>7</v>
      </c>
      <c r="M70" s="7">
        <f t="shared" si="62"/>
        <v>23</v>
      </c>
      <c r="N70" s="5">
        <v>16</v>
      </c>
      <c r="O70" s="6">
        <v>7</v>
      </c>
      <c r="P70" s="39">
        <f t="shared" si="63"/>
        <v>23</v>
      </c>
      <c r="Q70" s="7">
        <f t="shared" si="64"/>
        <v>46</v>
      </c>
      <c r="R70" s="49">
        <v>46037</v>
      </c>
    </row>
    <row r="71" spans="1:20" x14ac:dyDescent="0.15">
      <c r="A71" s="17" t="s">
        <v>53</v>
      </c>
      <c r="B71" s="5"/>
      <c r="C71" s="6">
        <v>1</v>
      </c>
      <c r="D71" s="7">
        <f t="shared" si="59"/>
        <v>1</v>
      </c>
      <c r="E71" s="5"/>
      <c r="F71" s="6">
        <v>1</v>
      </c>
      <c r="G71" s="39">
        <f t="shared" si="60"/>
        <v>1</v>
      </c>
      <c r="H71" s="7">
        <f t="shared" si="61"/>
        <v>2</v>
      </c>
      <c r="I71" s="31">
        <v>45999</v>
      </c>
      <c r="J71" s="15" t="s">
        <v>138</v>
      </c>
      <c r="K71" s="5">
        <v>9</v>
      </c>
      <c r="L71" s="6"/>
      <c r="M71" s="7">
        <f t="shared" si="62"/>
        <v>9</v>
      </c>
      <c r="N71" s="5">
        <v>9</v>
      </c>
      <c r="O71" s="6"/>
      <c r="P71" s="39">
        <f t="shared" si="63"/>
        <v>9</v>
      </c>
      <c r="Q71" s="7">
        <f t="shared" si="64"/>
        <v>18</v>
      </c>
      <c r="R71" s="49">
        <v>46038</v>
      </c>
      <c r="S71" s="32"/>
      <c r="T71" s="32"/>
    </row>
    <row r="72" spans="1:20" x14ac:dyDescent="0.15">
      <c r="A72" s="15" t="s">
        <v>108</v>
      </c>
      <c r="B72" s="5">
        <v>1</v>
      </c>
      <c r="C72" s="6"/>
      <c r="D72" s="7">
        <f t="shared" si="59"/>
        <v>1</v>
      </c>
      <c r="E72" s="5">
        <v>1</v>
      </c>
      <c r="F72" s="6"/>
      <c r="G72" s="39">
        <f t="shared" si="60"/>
        <v>1</v>
      </c>
      <c r="H72" s="7">
        <f t="shared" si="61"/>
        <v>2</v>
      </c>
      <c r="I72" s="31">
        <v>46002</v>
      </c>
      <c r="J72" s="17" t="s">
        <v>139</v>
      </c>
      <c r="K72" s="5">
        <v>12</v>
      </c>
      <c r="L72" s="6">
        <v>18</v>
      </c>
      <c r="M72" s="7">
        <f t="shared" si="62"/>
        <v>30</v>
      </c>
      <c r="N72" s="5">
        <v>30</v>
      </c>
      <c r="O72" s="6">
        <v>12</v>
      </c>
      <c r="P72" s="39">
        <f t="shared" si="63"/>
        <v>42</v>
      </c>
      <c r="Q72" s="7">
        <f t="shared" si="64"/>
        <v>72</v>
      </c>
      <c r="R72" s="49">
        <v>46038</v>
      </c>
    </row>
    <row r="73" spans="1:20" x14ac:dyDescent="0.15">
      <c r="A73" s="15" t="s">
        <v>110</v>
      </c>
      <c r="B73" s="5">
        <v>3</v>
      </c>
      <c r="C73" s="6">
        <v>2</v>
      </c>
      <c r="D73" s="7">
        <f t="shared" si="59"/>
        <v>5</v>
      </c>
      <c r="E73" s="5">
        <v>3</v>
      </c>
      <c r="F73" s="6">
        <v>2</v>
      </c>
      <c r="G73" s="39">
        <f t="shared" si="60"/>
        <v>5</v>
      </c>
      <c r="H73" s="7">
        <f t="shared" si="61"/>
        <v>10</v>
      </c>
      <c r="I73" s="31">
        <v>46003</v>
      </c>
      <c r="J73" s="17" t="s">
        <v>130</v>
      </c>
      <c r="K73" s="5">
        <v>5</v>
      </c>
      <c r="L73" s="6">
        <v>5</v>
      </c>
      <c r="M73" s="7">
        <f t="shared" si="62"/>
        <v>10</v>
      </c>
      <c r="N73" s="5">
        <v>5</v>
      </c>
      <c r="O73" s="6">
        <v>5</v>
      </c>
      <c r="P73" s="39">
        <f t="shared" si="63"/>
        <v>10</v>
      </c>
      <c r="Q73" s="7">
        <f t="shared" si="64"/>
        <v>20</v>
      </c>
      <c r="R73" s="49">
        <v>46038</v>
      </c>
    </row>
    <row r="74" spans="1:20" x14ac:dyDescent="0.15">
      <c r="A74" s="15" t="s">
        <v>111</v>
      </c>
      <c r="B74" s="5"/>
      <c r="C74" s="6">
        <v>1</v>
      </c>
      <c r="D74" s="7">
        <f t="shared" si="59"/>
        <v>1</v>
      </c>
      <c r="E74" s="5"/>
      <c r="F74" s="6">
        <v>1</v>
      </c>
      <c r="G74" s="39">
        <f t="shared" si="60"/>
        <v>1</v>
      </c>
      <c r="H74" s="7">
        <f t="shared" si="61"/>
        <v>2</v>
      </c>
      <c r="I74" s="31">
        <v>46003</v>
      </c>
      <c r="J74" s="17" t="s">
        <v>143</v>
      </c>
      <c r="K74" s="5">
        <v>21</v>
      </c>
      <c r="L74" s="6">
        <v>1</v>
      </c>
      <c r="M74" s="7">
        <f t="shared" si="62"/>
        <v>22</v>
      </c>
      <c r="N74" s="5"/>
      <c r="O74" s="6">
        <v>12</v>
      </c>
      <c r="P74" s="39">
        <f t="shared" si="63"/>
        <v>12</v>
      </c>
      <c r="Q74" s="7">
        <f t="shared" si="64"/>
        <v>34</v>
      </c>
      <c r="R74" s="49">
        <v>46042</v>
      </c>
    </row>
    <row r="75" spans="1:20" x14ac:dyDescent="0.15">
      <c r="A75" s="14" t="s">
        <v>53</v>
      </c>
      <c r="B75" s="5">
        <v>1</v>
      </c>
      <c r="C75" s="6"/>
      <c r="D75" s="7">
        <f t="shared" si="59"/>
        <v>1</v>
      </c>
      <c r="E75" s="5">
        <v>1</v>
      </c>
      <c r="F75" s="6"/>
      <c r="G75" s="39">
        <f t="shared" si="60"/>
        <v>1</v>
      </c>
      <c r="H75" s="7">
        <f t="shared" si="61"/>
        <v>2</v>
      </c>
      <c r="I75" s="33">
        <v>46002</v>
      </c>
      <c r="J75" s="81" t="s">
        <v>130</v>
      </c>
      <c r="K75" s="65">
        <v>5</v>
      </c>
      <c r="L75" s="66"/>
      <c r="M75" s="67">
        <f t="shared" si="62"/>
        <v>5</v>
      </c>
      <c r="N75" s="65">
        <v>5</v>
      </c>
      <c r="O75" s="66"/>
      <c r="P75" s="68">
        <f t="shared" si="63"/>
        <v>5</v>
      </c>
      <c r="Q75" s="67">
        <f t="shared" si="64"/>
        <v>10</v>
      </c>
      <c r="R75" s="69">
        <v>46042</v>
      </c>
    </row>
    <row r="76" spans="1:20" x14ac:dyDescent="0.15">
      <c r="A76" s="15" t="s">
        <v>112</v>
      </c>
      <c r="B76" s="5">
        <v>3</v>
      </c>
      <c r="C76" s="6">
        <v>2</v>
      </c>
      <c r="D76" s="7">
        <f t="shared" si="59"/>
        <v>5</v>
      </c>
      <c r="E76" s="5">
        <v>3</v>
      </c>
      <c r="F76" s="6">
        <v>2</v>
      </c>
      <c r="G76" s="39">
        <f t="shared" si="60"/>
        <v>5</v>
      </c>
      <c r="H76" s="7">
        <f t="shared" si="61"/>
        <v>10</v>
      </c>
      <c r="I76" s="31">
        <v>46006</v>
      </c>
      <c r="J76" s="15" t="s">
        <v>146</v>
      </c>
      <c r="K76" s="5">
        <v>13</v>
      </c>
      <c r="L76" s="6">
        <v>4</v>
      </c>
      <c r="M76" s="7">
        <f t="shared" si="62"/>
        <v>17</v>
      </c>
      <c r="N76" s="5">
        <v>13</v>
      </c>
      <c r="O76" s="6">
        <v>4</v>
      </c>
      <c r="P76" s="39">
        <f t="shared" si="63"/>
        <v>17</v>
      </c>
      <c r="Q76" s="7">
        <f t="shared" si="64"/>
        <v>34</v>
      </c>
      <c r="R76" s="49">
        <v>46044</v>
      </c>
    </row>
    <row r="77" spans="1:20" x14ac:dyDescent="0.15">
      <c r="A77" s="15" t="s">
        <v>116</v>
      </c>
      <c r="B77" s="5">
        <v>2</v>
      </c>
      <c r="C77" s="6">
        <v>2</v>
      </c>
      <c r="D77" s="7">
        <f t="shared" si="59"/>
        <v>4</v>
      </c>
      <c r="E77" s="5">
        <v>2</v>
      </c>
      <c r="F77" s="6">
        <v>2</v>
      </c>
      <c r="G77" s="39">
        <f t="shared" si="60"/>
        <v>4</v>
      </c>
      <c r="H77" s="7">
        <f t="shared" si="61"/>
        <v>8</v>
      </c>
      <c r="I77" s="31">
        <v>46008</v>
      </c>
      <c r="J77" s="15" t="s">
        <v>147</v>
      </c>
      <c r="K77" s="5">
        <v>5</v>
      </c>
      <c r="L77" s="6"/>
      <c r="M77" s="7">
        <f t="shared" si="62"/>
        <v>5</v>
      </c>
      <c r="N77" s="5">
        <v>5</v>
      </c>
      <c r="O77" s="6"/>
      <c r="P77" s="39">
        <f t="shared" si="63"/>
        <v>5</v>
      </c>
      <c r="Q77" s="7">
        <f t="shared" si="64"/>
        <v>10</v>
      </c>
      <c r="R77" s="49">
        <v>46049</v>
      </c>
    </row>
    <row r="78" spans="1:20" x14ac:dyDescent="0.15">
      <c r="A78" s="17" t="s">
        <v>53</v>
      </c>
      <c r="B78" s="8"/>
      <c r="C78" s="9">
        <v>1</v>
      </c>
      <c r="D78" s="7">
        <f t="shared" si="59"/>
        <v>1</v>
      </c>
      <c r="E78" s="8">
        <v>1</v>
      </c>
      <c r="F78" s="9">
        <v>1</v>
      </c>
      <c r="G78" s="39">
        <f t="shared" si="60"/>
        <v>2</v>
      </c>
      <c r="H78" s="7">
        <f t="shared" si="61"/>
        <v>3</v>
      </c>
      <c r="I78" s="31">
        <v>46006</v>
      </c>
      <c r="J78" s="15" t="s">
        <v>148</v>
      </c>
      <c r="K78" s="8">
        <v>8</v>
      </c>
      <c r="L78" s="9">
        <v>1</v>
      </c>
      <c r="M78" s="7">
        <f t="shared" si="62"/>
        <v>9</v>
      </c>
      <c r="N78" s="8">
        <v>8</v>
      </c>
      <c r="O78" s="9">
        <v>1</v>
      </c>
      <c r="P78" s="39">
        <f t="shared" si="63"/>
        <v>9</v>
      </c>
      <c r="Q78" s="7">
        <f t="shared" si="64"/>
        <v>18</v>
      </c>
      <c r="R78" s="49">
        <v>46045</v>
      </c>
    </row>
    <row r="79" spans="1:20" x14ac:dyDescent="0.15">
      <c r="A79" s="15" t="s">
        <v>118</v>
      </c>
      <c r="B79" s="5">
        <v>1</v>
      </c>
      <c r="C79" s="6"/>
      <c r="D79" s="7">
        <f t="shared" si="59"/>
        <v>1</v>
      </c>
      <c r="E79" s="5">
        <v>1</v>
      </c>
      <c r="F79" s="6"/>
      <c r="G79" s="39">
        <f t="shared" si="60"/>
        <v>1</v>
      </c>
      <c r="H79" s="7">
        <f t="shared" si="61"/>
        <v>2</v>
      </c>
      <c r="I79" s="31">
        <v>46010</v>
      </c>
      <c r="J79" s="17"/>
      <c r="K79" s="5"/>
      <c r="L79" s="6"/>
      <c r="M79" s="7">
        <f t="shared" si="62"/>
        <v>0</v>
      </c>
      <c r="N79" s="5"/>
      <c r="O79" s="6"/>
      <c r="P79" s="39">
        <f t="shared" si="63"/>
        <v>0</v>
      </c>
      <c r="Q79" s="7">
        <f t="shared" si="64"/>
        <v>0</v>
      </c>
      <c r="R79" s="50"/>
    </row>
    <row r="80" spans="1:20" x14ac:dyDescent="0.15">
      <c r="A80" s="15" t="s">
        <v>119</v>
      </c>
      <c r="B80" s="5">
        <v>1</v>
      </c>
      <c r="C80" s="6"/>
      <c r="D80" s="7">
        <f t="shared" si="59"/>
        <v>1</v>
      </c>
      <c r="E80" s="5">
        <v>1</v>
      </c>
      <c r="F80" s="6"/>
      <c r="G80" s="39">
        <f t="shared" si="60"/>
        <v>1</v>
      </c>
      <c r="H80" s="7">
        <f t="shared" si="61"/>
        <v>2</v>
      </c>
      <c r="I80" s="31">
        <v>46013</v>
      </c>
      <c r="J80" s="17"/>
      <c r="K80" s="5"/>
      <c r="L80" s="6"/>
      <c r="M80" s="7">
        <f t="shared" ref="M80" si="65">SUM(K80:L80)</f>
        <v>0</v>
      </c>
      <c r="N80" s="5"/>
      <c r="O80" s="6"/>
      <c r="P80" s="39">
        <f t="shared" ref="P80" si="66">SUM(N80:O80)</f>
        <v>0</v>
      </c>
      <c r="Q80" s="7">
        <f t="shared" ref="Q80" si="67">M80+P80</f>
        <v>0</v>
      </c>
      <c r="R80" s="50"/>
    </row>
    <row r="81" spans="1:19" x14ac:dyDescent="0.15">
      <c r="A81" s="34" t="s">
        <v>53</v>
      </c>
      <c r="B81" s="5"/>
      <c r="C81" s="6">
        <v>1</v>
      </c>
      <c r="D81" s="7">
        <f t="shared" si="59"/>
        <v>1</v>
      </c>
      <c r="E81" s="5"/>
      <c r="F81" s="6">
        <v>1</v>
      </c>
      <c r="G81" s="39">
        <f t="shared" si="60"/>
        <v>1</v>
      </c>
      <c r="H81" s="7">
        <f t="shared" si="61"/>
        <v>2</v>
      </c>
      <c r="I81" s="31">
        <v>46013</v>
      </c>
      <c r="J81" s="17" t="s">
        <v>63</v>
      </c>
      <c r="K81" s="5"/>
      <c r="L81" s="6"/>
      <c r="M81" s="7">
        <f t="shared" ref="M81:M82" si="68">SUM(K81:L81)</f>
        <v>0</v>
      </c>
      <c r="N81" s="5"/>
      <c r="O81" s="6"/>
      <c r="P81" s="39">
        <f t="shared" ref="P81:P82" si="69">SUM(N81:O81)</f>
        <v>0</v>
      </c>
      <c r="Q81" s="7">
        <f t="shared" ref="Q81:Q82" si="70">M81+P81</f>
        <v>0</v>
      </c>
      <c r="R81" s="49" t="s">
        <v>64</v>
      </c>
    </row>
    <row r="82" spans="1:19" ht="14.25" thickBot="1" x14ac:dyDescent="0.2">
      <c r="A82" s="15" t="s">
        <v>120</v>
      </c>
      <c r="B82" s="5">
        <v>1</v>
      </c>
      <c r="C82" s="6"/>
      <c r="D82" s="7">
        <f t="shared" si="59"/>
        <v>1</v>
      </c>
      <c r="E82" s="5">
        <v>1</v>
      </c>
      <c r="F82" s="6"/>
      <c r="G82" s="39">
        <f t="shared" si="60"/>
        <v>1</v>
      </c>
      <c r="H82" s="12">
        <f t="shared" si="61"/>
        <v>2</v>
      </c>
      <c r="I82" s="31">
        <v>46016</v>
      </c>
      <c r="J82" s="17" t="s">
        <v>99</v>
      </c>
      <c r="K82" s="5"/>
      <c r="L82" s="6"/>
      <c r="M82" s="7">
        <f t="shared" si="68"/>
        <v>0</v>
      </c>
      <c r="N82" s="5"/>
      <c r="O82" s="6"/>
      <c r="P82" s="39">
        <f t="shared" si="69"/>
        <v>0</v>
      </c>
      <c r="Q82" s="7">
        <f t="shared" si="70"/>
        <v>0</v>
      </c>
      <c r="R82" s="49" t="s">
        <v>100</v>
      </c>
    </row>
    <row r="83" spans="1:19" ht="14.25" thickBot="1" x14ac:dyDescent="0.2">
      <c r="A83" s="26" t="s">
        <v>14</v>
      </c>
      <c r="B83" s="27">
        <f>SUM(B57:B82)</f>
        <v>25</v>
      </c>
      <c r="C83" s="28">
        <f>SUM(C57:C82)</f>
        <v>23</v>
      </c>
      <c r="D83" s="29">
        <f t="shared" si="59"/>
        <v>48</v>
      </c>
      <c r="E83" s="27">
        <f>SUM(E57:E82)</f>
        <v>25</v>
      </c>
      <c r="F83" s="28">
        <f>SUM(F57:F82)</f>
        <v>25</v>
      </c>
      <c r="G83" s="29">
        <f t="shared" si="60"/>
        <v>50</v>
      </c>
      <c r="H83" s="30">
        <f t="shared" si="61"/>
        <v>98</v>
      </c>
      <c r="I83" s="25"/>
      <c r="J83" s="26" t="s">
        <v>14</v>
      </c>
      <c r="K83" s="27">
        <f>SUM(K57:K82)</f>
        <v>179</v>
      </c>
      <c r="L83" s="28">
        <f t="shared" ref="L83:Q83" si="71">SUM(L57:L82)</f>
        <v>92</v>
      </c>
      <c r="M83" s="29">
        <f t="shared" si="71"/>
        <v>271</v>
      </c>
      <c r="N83" s="27">
        <f t="shared" si="71"/>
        <v>175</v>
      </c>
      <c r="O83" s="28">
        <f t="shared" si="71"/>
        <v>97</v>
      </c>
      <c r="P83" s="29">
        <f t="shared" si="71"/>
        <v>272</v>
      </c>
      <c r="Q83" s="30">
        <f t="shared" si="71"/>
        <v>543</v>
      </c>
    </row>
    <row r="84" spans="1:19" ht="14.25" thickBot="1" x14ac:dyDescent="0.2">
      <c r="A84" s="13" t="s">
        <v>15</v>
      </c>
      <c r="B84" s="36">
        <f>B56-B83</f>
        <v>9</v>
      </c>
      <c r="C84" s="37">
        <f t="shared" ref="C84" si="72">C56-C83</f>
        <v>6</v>
      </c>
      <c r="D84" s="38">
        <f t="shared" ref="D84" si="73">D56-D83</f>
        <v>7</v>
      </c>
      <c r="E84" s="36">
        <f>E56-E83</f>
        <v>9</v>
      </c>
      <c r="F84" s="37">
        <f t="shared" ref="F84" si="74">F56-F83</f>
        <v>7</v>
      </c>
      <c r="G84" s="38">
        <f t="shared" ref="G84" si="75">G56-G83</f>
        <v>16</v>
      </c>
      <c r="H84" s="21">
        <f t="shared" si="61"/>
        <v>23</v>
      </c>
      <c r="J84" s="13" t="s">
        <v>15</v>
      </c>
      <c r="K84" s="36">
        <f>K56-K83</f>
        <v>641</v>
      </c>
      <c r="L84" s="53">
        <f t="shared" ref="L84" si="76">L56-L83</f>
        <v>623</v>
      </c>
      <c r="M84" s="54">
        <f t="shared" ref="M84" si="77">M56-M83</f>
        <v>1264</v>
      </c>
      <c r="N84" s="36">
        <f t="shared" ref="N84" si="78">N56-N83</f>
        <v>661</v>
      </c>
      <c r="O84" s="53">
        <f t="shared" ref="O84" si="79">O56-O83</f>
        <v>612</v>
      </c>
      <c r="P84" s="54">
        <f t="shared" ref="P84" si="80">P56-P83</f>
        <v>1273</v>
      </c>
      <c r="Q84" s="21">
        <f t="shared" ref="Q84" si="81">Q56-Q83</f>
        <v>2537</v>
      </c>
      <c r="S84" t="s">
        <v>25</v>
      </c>
    </row>
    <row r="87" spans="1:19" ht="19.5" thickBot="1" x14ac:dyDescent="0.25">
      <c r="A87" s="57" t="s">
        <v>48</v>
      </c>
      <c r="B87" s="57"/>
      <c r="C87" s="57"/>
      <c r="D87" s="57"/>
      <c r="E87" s="42"/>
      <c r="F87" s="42"/>
      <c r="G87" s="42"/>
      <c r="H87" s="42"/>
      <c r="J87" s="55" t="s">
        <v>47</v>
      </c>
      <c r="K87" s="55"/>
      <c r="L87" s="55"/>
      <c r="M87" s="55"/>
      <c r="N87" s="55"/>
      <c r="O87" s="56"/>
      <c r="P87" s="56" t="s">
        <v>41</v>
      </c>
      <c r="Q87" s="56"/>
    </row>
    <row r="88" spans="1:19" ht="14.25" thickBot="1" x14ac:dyDescent="0.2">
      <c r="A88" s="4" t="s">
        <v>0</v>
      </c>
      <c r="B88" s="107" t="s">
        <v>18</v>
      </c>
      <c r="C88" s="108"/>
      <c r="D88" s="109"/>
      <c r="E88" s="110" t="s">
        <v>19</v>
      </c>
      <c r="F88" s="111"/>
      <c r="G88" s="112"/>
      <c r="H88" s="105" t="s">
        <v>1</v>
      </c>
      <c r="J88" s="4" t="s">
        <v>0</v>
      </c>
      <c r="K88" s="107" t="s">
        <v>18</v>
      </c>
      <c r="L88" s="108"/>
      <c r="M88" s="109"/>
      <c r="N88" s="110" t="s">
        <v>19</v>
      </c>
      <c r="O88" s="111"/>
      <c r="P88" s="112"/>
      <c r="Q88" s="105" t="s">
        <v>1</v>
      </c>
    </row>
    <row r="89" spans="1:19" ht="14.25" thickBot="1" x14ac:dyDescent="0.2">
      <c r="A89" s="4" t="s">
        <v>2</v>
      </c>
      <c r="B89" s="1" t="s">
        <v>16</v>
      </c>
      <c r="C89" s="2" t="s">
        <v>17</v>
      </c>
      <c r="D89" s="4" t="s">
        <v>3</v>
      </c>
      <c r="E89" s="1" t="s">
        <v>16</v>
      </c>
      <c r="F89" s="2" t="s">
        <v>17</v>
      </c>
      <c r="G89" s="4" t="s">
        <v>3</v>
      </c>
      <c r="H89" s="106"/>
      <c r="J89" s="4" t="s">
        <v>2</v>
      </c>
      <c r="K89" s="1" t="s">
        <v>16</v>
      </c>
      <c r="L89" s="2" t="s">
        <v>17</v>
      </c>
      <c r="M89" s="4" t="s">
        <v>3</v>
      </c>
      <c r="N89" s="1" t="s">
        <v>16</v>
      </c>
      <c r="O89" s="2" t="s">
        <v>17</v>
      </c>
      <c r="P89" s="4" t="s">
        <v>3</v>
      </c>
      <c r="Q89" s="106"/>
    </row>
    <row r="90" spans="1:19" ht="14.25" thickBot="1" x14ac:dyDescent="0.2">
      <c r="A90" s="18" t="s">
        <v>15</v>
      </c>
      <c r="B90" s="19">
        <f>B84</f>
        <v>9</v>
      </c>
      <c r="C90" s="20">
        <f t="shared" ref="C90" si="82">C84</f>
        <v>6</v>
      </c>
      <c r="D90" s="21">
        <f t="shared" ref="D90:D98" si="83">SUM(B90:C90)</f>
        <v>15</v>
      </c>
      <c r="E90" s="19">
        <f>E84</f>
        <v>9</v>
      </c>
      <c r="F90" s="20">
        <f t="shared" ref="F90" si="84">F84</f>
        <v>7</v>
      </c>
      <c r="G90" s="21">
        <f t="shared" ref="G90:G98" si="85">SUM(E90:F90)</f>
        <v>16</v>
      </c>
      <c r="H90" s="21">
        <f t="shared" ref="H90:H98" si="86">D90+G90</f>
        <v>31</v>
      </c>
      <c r="J90" s="18" t="s">
        <v>15</v>
      </c>
      <c r="K90" s="19">
        <f>K84</f>
        <v>641</v>
      </c>
      <c r="L90" s="20">
        <f t="shared" ref="L90:Q90" si="87">L84</f>
        <v>623</v>
      </c>
      <c r="M90" s="21">
        <f t="shared" si="87"/>
        <v>1264</v>
      </c>
      <c r="N90" s="19">
        <f t="shared" si="87"/>
        <v>661</v>
      </c>
      <c r="O90" s="20">
        <f t="shared" si="87"/>
        <v>612</v>
      </c>
      <c r="P90" s="21">
        <f t="shared" si="87"/>
        <v>1273</v>
      </c>
      <c r="Q90" s="21">
        <f t="shared" si="87"/>
        <v>2537</v>
      </c>
    </row>
    <row r="91" spans="1:19" x14ac:dyDescent="0.15">
      <c r="A91" s="70" t="s">
        <v>5</v>
      </c>
      <c r="B91" s="75"/>
      <c r="C91" s="76">
        <v>5</v>
      </c>
      <c r="D91" s="77">
        <f t="shared" si="83"/>
        <v>5</v>
      </c>
      <c r="E91" s="75"/>
      <c r="F91" s="76">
        <v>5</v>
      </c>
      <c r="G91" s="78">
        <f t="shared" si="85"/>
        <v>5</v>
      </c>
      <c r="H91" s="77">
        <f t="shared" si="86"/>
        <v>10</v>
      </c>
      <c r="I91" s="71">
        <v>46014</v>
      </c>
      <c r="J91" s="16" t="s">
        <v>5</v>
      </c>
      <c r="K91" s="10"/>
      <c r="L91" s="11"/>
      <c r="M91" s="43">
        <f t="shared" ref="M91:M98" si="88">SUM(K91:L91)</f>
        <v>0</v>
      </c>
      <c r="N91" s="10"/>
      <c r="O91" s="11"/>
      <c r="P91" s="44">
        <f t="shared" ref="P91:P98" si="89">SUM(N91:O91)</f>
        <v>0</v>
      </c>
      <c r="Q91" s="43">
        <f t="shared" ref="Q91:Q98" si="90">M91+P91</f>
        <v>0</v>
      </c>
    </row>
    <row r="92" spans="1:19" x14ac:dyDescent="0.15">
      <c r="A92" s="16" t="s">
        <v>6</v>
      </c>
      <c r="B92" s="5">
        <v>3</v>
      </c>
      <c r="C92" s="6">
        <v>3</v>
      </c>
      <c r="D92" s="7">
        <f t="shared" si="83"/>
        <v>6</v>
      </c>
      <c r="E92" s="5">
        <v>3</v>
      </c>
      <c r="F92" s="6">
        <v>3</v>
      </c>
      <c r="G92" s="39">
        <f t="shared" si="85"/>
        <v>6</v>
      </c>
      <c r="H92" s="7">
        <f t="shared" si="86"/>
        <v>12</v>
      </c>
      <c r="I92" s="31">
        <v>46030</v>
      </c>
      <c r="J92" s="70" t="s">
        <v>6</v>
      </c>
      <c r="K92" s="5"/>
      <c r="L92" s="6"/>
      <c r="M92" s="7">
        <f t="shared" si="88"/>
        <v>0</v>
      </c>
      <c r="N92" s="5"/>
      <c r="O92" s="6"/>
      <c r="P92" s="39">
        <f t="shared" si="89"/>
        <v>0</v>
      </c>
      <c r="Q92" s="7">
        <f t="shared" si="90"/>
        <v>0</v>
      </c>
    </row>
    <row r="93" spans="1:19" x14ac:dyDescent="0.15">
      <c r="A93" s="16" t="s">
        <v>7</v>
      </c>
      <c r="B93" s="5">
        <v>5</v>
      </c>
      <c r="C93" s="6">
        <v>5</v>
      </c>
      <c r="D93" s="7">
        <f t="shared" si="83"/>
        <v>10</v>
      </c>
      <c r="E93" s="5">
        <v>5</v>
      </c>
      <c r="F93" s="6">
        <v>5</v>
      </c>
      <c r="G93" s="39">
        <f t="shared" si="85"/>
        <v>10</v>
      </c>
      <c r="H93" s="7">
        <f t="shared" si="86"/>
        <v>20</v>
      </c>
      <c r="I93" s="31">
        <v>46038</v>
      </c>
      <c r="J93" s="16" t="s">
        <v>7</v>
      </c>
      <c r="K93" s="5"/>
      <c r="L93" s="6"/>
      <c r="M93" s="7">
        <f t="shared" ref="M93:M95" si="91">SUM(K93:L93)</f>
        <v>0</v>
      </c>
      <c r="N93" s="5">
        <v>1200</v>
      </c>
      <c r="O93" s="6">
        <v>800</v>
      </c>
      <c r="P93" s="39">
        <f t="shared" ref="P93:P95" si="92">SUM(N93:O93)</f>
        <v>2000</v>
      </c>
      <c r="Q93" s="7">
        <f t="shared" ref="Q93:Q95" si="93">M93+P93</f>
        <v>2000</v>
      </c>
      <c r="R93" s="49" t="s">
        <v>160</v>
      </c>
      <c r="S93" s="82"/>
    </row>
    <row r="94" spans="1:19" x14ac:dyDescent="0.15">
      <c r="A94" s="70" t="s">
        <v>8</v>
      </c>
      <c r="B94" s="65">
        <v>5</v>
      </c>
      <c r="C94" s="66"/>
      <c r="D94" s="67">
        <f t="shared" si="83"/>
        <v>5</v>
      </c>
      <c r="E94" s="65">
        <v>5</v>
      </c>
      <c r="F94" s="66"/>
      <c r="G94" s="68">
        <f t="shared" si="85"/>
        <v>5</v>
      </c>
      <c r="H94" s="67">
        <f t="shared" si="86"/>
        <v>10</v>
      </c>
      <c r="I94" s="71">
        <v>46042</v>
      </c>
      <c r="J94" s="16" t="s">
        <v>156</v>
      </c>
      <c r="K94" s="5"/>
      <c r="L94" s="6"/>
      <c r="M94" s="7">
        <f t="shared" si="91"/>
        <v>0</v>
      </c>
      <c r="N94" s="5">
        <v>10</v>
      </c>
      <c r="O94" s="6"/>
      <c r="P94" s="39">
        <f t="shared" si="92"/>
        <v>10</v>
      </c>
      <c r="Q94" s="7">
        <f t="shared" si="93"/>
        <v>10</v>
      </c>
      <c r="R94" s="50"/>
    </row>
    <row r="95" spans="1:19" x14ac:dyDescent="0.15">
      <c r="A95" s="16" t="s">
        <v>95</v>
      </c>
      <c r="B95" s="5">
        <v>1</v>
      </c>
      <c r="C95" s="6">
        <v>2</v>
      </c>
      <c r="D95" s="7">
        <f t="shared" si="83"/>
        <v>3</v>
      </c>
      <c r="E95" s="5"/>
      <c r="F95" s="6">
        <v>2</v>
      </c>
      <c r="G95" s="39">
        <f t="shared" si="85"/>
        <v>2</v>
      </c>
      <c r="H95" s="7">
        <f t="shared" si="86"/>
        <v>5</v>
      </c>
      <c r="I95" s="33">
        <v>46043</v>
      </c>
      <c r="J95" s="16" t="s">
        <v>117</v>
      </c>
      <c r="K95" s="5">
        <v>400</v>
      </c>
      <c r="L95" s="6">
        <v>300</v>
      </c>
      <c r="M95" s="7">
        <f t="shared" si="91"/>
        <v>700</v>
      </c>
      <c r="N95" s="5"/>
      <c r="O95" s="6"/>
      <c r="P95" s="39">
        <f t="shared" si="92"/>
        <v>0</v>
      </c>
      <c r="Q95" s="7">
        <f t="shared" si="93"/>
        <v>700</v>
      </c>
      <c r="R95" s="49" t="s">
        <v>160</v>
      </c>
      <c r="S95" s="82"/>
    </row>
    <row r="96" spans="1:19" x14ac:dyDescent="0.15">
      <c r="A96" s="16" t="s">
        <v>10</v>
      </c>
      <c r="B96" s="5">
        <v>5</v>
      </c>
      <c r="C96" s="6"/>
      <c r="D96" s="7">
        <f t="shared" si="83"/>
        <v>5</v>
      </c>
      <c r="E96" s="5">
        <v>5</v>
      </c>
      <c r="F96" s="6"/>
      <c r="G96" s="39">
        <f t="shared" si="85"/>
        <v>5</v>
      </c>
      <c r="H96" s="7">
        <f t="shared" si="86"/>
        <v>10</v>
      </c>
      <c r="I96" s="31">
        <v>46048</v>
      </c>
      <c r="J96" s="16" t="s">
        <v>10</v>
      </c>
      <c r="K96" s="5"/>
      <c r="L96" s="6"/>
      <c r="M96" s="7">
        <f t="shared" si="88"/>
        <v>0</v>
      </c>
      <c r="N96" s="5"/>
      <c r="O96" s="6"/>
      <c r="P96" s="39">
        <f t="shared" si="89"/>
        <v>0</v>
      </c>
      <c r="Q96" s="7">
        <f t="shared" si="90"/>
        <v>0</v>
      </c>
    </row>
    <row r="97" spans="1:19" x14ac:dyDescent="0.15">
      <c r="A97" s="70" t="s">
        <v>11</v>
      </c>
      <c r="B97" s="83"/>
      <c r="C97" s="84"/>
      <c r="D97" s="67">
        <f t="shared" si="83"/>
        <v>0</v>
      </c>
      <c r="E97" s="83">
        <v>5</v>
      </c>
      <c r="F97" s="84"/>
      <c r="G97" s="68">
        <f t="shared" si="85"/>
        <v>5</v>
      </c>
      <c r="H97" s="67">
        <f t="shared" si="86"/>
        <v>5</v>
      </c>
      <c r="I97" s="71">
        <v>46049</v>
      </c>
      <c r="J97" s="16" t="s">
        <v>11</v>
      </c>
      <c r="K97" s="8"/>
      <c r="L97" s="9"/>
      <c r="M97" s="7">
        <f t="shared" si="88"/>
        <v>0</v>
      </c>
      <c r="N97" s="8"/>
      <c r="O97" s="9"/>
      <c r="P97" s="39">
        <f t="shared" si="89"/>
        <v>0</v>
      </c>
      <c r="Q97" s="7">
        <f t="shared" si="90"/>
        <v>0</v>
      </c>
    </row>
    <row r="98" spans="1:19" ht="14.25" thickBot="1" x14ac:dyDescent="0.2">
      <c r="A98" s="70" t="s">
        <v>12</v>
      </c>
      <c r="B98" s="85">
        <v>5</v>
      </c>
      <c r="C98" s="86"/>
      <c r="D98" s="67">
        <f t="shared" si="83"/>
        <v>5</v>
      </c>
      <c r="E98" s="85">
        <v>5</v>
      </c>
      <c r="F98" s="86"/>
      <c r="G98" s="68">
        <f t="shared" si="85"/>
        <v>5</v>
      </c>
      <c r="H98" s="87">
        <f t="shared" si="86"/>
        <v>10</v>
      </c>
      <c r="I98" s="71">
        <v>46050</v>
      </c>
      <c r="J98" s="16" t="s">
        <v>12</v>
      </c>
      <c r="K98" s="22"/>
      <c r="L98" s="23"/>
      <c r="M98" s="7">
        <f t="shared" si="88"/>
        <v>0</v>
      </c>
      <c r="N98" s="22"/>
      <c r="O98" s="23"/>
      <c r="P98" s="39">
        <f t="shared" si="89"/>
        <v>0</v>
      </c>
      <c r="Q98" s="12">
        <f t="shared" si="90"/>
        <v>0</v>
      </c>
    </row>
    <row r="99" spans="1:19" ht="14.25" thickBot="1" x14ac:dyDescent="0.2">
      <c r="A99" s="24" t="s">
        <v>13</v>
      </c>
      <c r="B99" s="19">
        <f>SUM(B90:B98)</f>
        <v>33</v>
      </c>
      <c r="C99" s="20">
        <f t="shared" ref="C99:H99" si="94">SUM(C90:C98)</f>
        <v>21</v>
      </c>
      <c r="D99" s="41">
        <f t="shared" si="94"/>
        <v>54</v>
      </c>
      <c r="E99" s="19">
        <f t="shared" si="94"/>
        <v>37</v>
      </c>
      <c r="F99" s="20">
        <f t="shared" si="94"/>
        <v>22</v>
      </c>
      <c r="G99" s="40">
        <f t="shared" si="94"/>
        <v>59</v>
      </c>
      <c r="H99" s="21">
        <f t="shared" si="94"/>
        <v>113</v>
      </c>
      <c r="J99" s="24" t="s">
        <v>13</v>
      </c>
      <c r="K99" s="19">
        <f>SUM(K90:K98)</f>
        <v>1041</v>
      </c>
      <c r="L99" s="52">
        <f t="shared" ref="L99:Q99" si="95">SUM(L90:L98)</f>
        <v>923</v>
      </c>
      <c r="M99" s="21">
        <f t="shared" si="95"/>
        <v>1964</v>
      </c>
      <c r="N99" s="19">
        <f t="shared" si="95"/>
        <v>1871</v>
      </c>
      <c r="O99" s="52">
        <f t="shared" si="95"/>
        <v>1412</v>
      </c>
      <c r="P99" s="21">
        <f t="shared" si="95"/>
        <v>3283</v>
      </c>
      <c r="Q99" s="21">
        <f t="shared" si="95"/>
        <v>5247</v>
      </c>
    </row>
    <row r="100" spans="1:19" x14ac:dyDescent="0.15">
      <c r="A100" s="17" t="s">
        <v>124</v>
      </c>
      <c r="B100" s="5"/>
      <c r="C100" s="6"/>
      <c r="D100" s="7">
        <f t="shared" ref="D100:D126" si="96">SUM(B100:C100)</f>
        <v>0</v>
      </c>
      <c r="E100" s="5">
        <v>1</v>
      </c>
      <c r="F100" s="6"/>
      <c r="G100" s="39">
        <f t="shared" ref="G100:G126" si="97">SUM(E100:F100)</f>
        <v>1</v>
      </c>
      <c r="H100" s="7">
        <f t="shared" ref="H100:H127" si="98">D100+G100</f>
        <v>1</v>
      </c>
      <c r="I100" s="33">
        <v>46018</v>
      </c>
      <c r="J100" s="17" t="s">
        <v>150</v>
      </c>
      <c r="K100" s="5"/>
      <c r="L100" s="6"/>
      <c r="M100" s="7">
        <f t="shared" ref="M100:M125" si="99">SUM(K100:L100)</f>
        <v>0</v>
      </c>
      <c r="N100" s="5">
        <v>10</v>
      </c>
      <c r="O100" s="6">
        <v>10</v>
      </c>
      <c r="P100" s="39">
        <f t="shared" ref="P100:P125" si="100">SUM(N100:O100)</f>
        <v>20</v>
      </c>
      <c r="Q100" s="7">
        <f t="shared" ref="Q100:Q125" si="101">M100+P100</f>
        <v>20</v>
      </c>
      <c r="R100" s="49">
        <v>46051</v>
      </c>
    </row>
    <row r="101" spans="1:19" x14ac:dyDescent="0.15">
      <c r="A101" s="17" t="s">
        <v>125</v>
      </c>
      <c r="B101" s="5"/>
      <c r="C101" s="6">
        <v>1</v>
      </c>
      <c r="D101" s="7">
        <f t="shared" si="96"/>
        <v>1</v>
      </c>
      <c r="E101" s="5"/>
      <c r="F101" s="6">
        <v>1</v>
      </c>
      <c r="G101" s="39">
        <f t="shared" si="97"/>
        <v>1</v>
      </c>
      <c r="H101" s="7">
        <f t="shared" si="98"/>
        <v>2</v>
      </c>
      <c r="I101" s="31">
        <v>46017</v>
      </c>
      <c r="J101" s="17" t="s">
        <v>151</v>
      </c>
      <c r="K101" s="5">
        <v>5</v>
      </c>
      <c r="L101" s="6"/>
      <c r="M101" s="7">
        <f t="shared" si="99"/>
        <v>5</v>
      </c>
      <c r="N101" s="5">
        <v>5</v>
      </c>
      <c r="O101" s="6"/>
      <c r="P101" s="39">
        <f t="shared" si="100"/>
        <v>5</v>
      </c>
      <c r="Q101" s="7">
        <f t="shared" si="101"/>
        <v>10</v>
      </c>
      <c r="R101" s="49">
        <v>46048</v>
      </c>
      <c r="S101" s="32"/>
    </row>
    <row r="102" spans="1:19" x14ac:dyDescent="0.15">
      <c r="A102" s="15" t="s">
        <v>126</v>
      </c>
      <c r="B102" s="5"/>
      <c r="C102" s="6">
        <v>2</v>
      </c>
      <c r="D102" s="7">
        <f t="shared" si="96"/>
        <v>2</v>
      </c>
      <c r="E102" s="5"/>
      <c r="F102" s="6">
        <v>2</v>
      </c>
      <c r="G102" s="39">
        <f t="shared" si="97"/>
        <v>2</v>
      </c>
      <c r="H102" s="7">
        <f t="shared" si="98"/>
        <v>4</v>
      </c>
      <c r="I102" s="31">
        <v>46029</v>
      </c>
      <c r="J102" s="64" t="s">
        <v>151</v>
      </c>
      <c r="K102" s="65"/>
      <c r="L102" s="66"/>
      <c r="M102" s="67">
        <f t="shared" si="99"/>
        <v>0</v>
      </c>
      <c r="N102" s="65">
        <v>5</v>
      </c>
      <c r="O102" s="66"/>
      <c r="P102" s="68">
        <f t="shared" si="100"/>
        <v>5</v>
      </c>
      <c r="Q102" s="67">
        <f t="shared" si="101"/>
        <v>5</v>
      </c>
      <c r="R102" s="69">
        <v>46049</v>
      </c>
    </row>
    <row r="103" spans="1:19" x14ac:dyDescent="0.15">
      <c r="A103" s="17" t="s">
        <v>53</v>
      </c>
      <c r="B103" s="5"/>
      <c r="C103" s="6"/>
      <c r="D103" s="7">
        <f t="shared" si="96"/>
        <v>0</v>
      </c>
      <c r="E103" s="5"/>
      <c r="F103" s="6">
        <v>1</v>
      </c>
      <c r="G103" s="39">
        <f t="shared" si="97"/>
        <v>1</v>
      </c>
      <c r="H103" s="7">
        <f t="shared" si="98"/>
        <v>1</v>
      </c>
      <c r="I103" s="33">
        <v>46028</v>
      </c>
      <c r="J103" s="64" t="s">
        <v>130</v>
      </c>
      <c r="K103" s="65">
        <v>5</v>
      </c>
      <c r="L103" s="66"/>
      <c r="M103" s="67">
        <f t="shared" si="99"/>
        <v>5</v>
      </c>
      <c r="N103" s="65">
        <v>5</v>
      </c>
      <c r="O103" s="66"/>
      <c r="P103" s="68">
        <f t="shared" si="100"/>
        <v>5</v>
      </c>
      <c r="Q103" s="67">
        <f t="shared" si="101"/>
        <v>10</v>
      </c>
      <c r="R103" s="69">
        <v>46050</v>
      </c>
    </row>
    <row r="104" spans="1:19" x14ac:dyDescent="0.15">
      <c r="A104" s="15" t="s">
        <v>128</v>
      </c>
      <c r="B104" s="5">
        <v>1</v>
      </c>
      <c r="C104" s="6"/>
      <c r="D104" s="7">
        <f t="shared" si="96"/>
        <v>1</v>
      </c>
      <c r="E104" s="5">
        <v>1</v>
      </c>
      <c r="F104" s="6"/>
      <c r="G104" s="39">
        <f t="shared" si="97"/>
        <v>1</v>
      </c>
      <c r="H104" s="7">
        <f t="shared" si="98"/>
        <v>2</v>
      </c>
      <c r="I104" s="31">
        <v>46031</v>
      </c>
      <c r="J104" s="15" t="s">
        <v>152</v>
      </c>
      <c r="K104" s="5">
        <v>5</v>
      </c>
      <c r="L104" s="6"/>
      <c r="M104" s="7">
        <f t="shared" si="99"/>
        <v>5</v>
      </c>
      <c r="N104" s="5">
        <v>5</v>
      </c>
      <c r="O104" s="6"/>
      <c r="P104" s="39">
        <f t="shared" si="100"/>
        <v>5</v>
      </c>
      <c r="Q104" s="7">
        <f t="shared" si="101"/>
        <v>10</v>
      </c>
      <c r="R104" s="49">
        <v>46052</v>
      </c>
      <c r="S104" s="32"/>
    </row>
    <row r="105" spans="1:19" x14ac:dyDescent="0.15">
      <c r="A105" s="17" t="s">
        <v>44</v>
      </c>
      <c r="B105" s="5">
        <v>1</v>
      </c>
      <c r="C105" s="6"/>
      <c r="D105" s="7">
        <f t="shared" ref="D105" si="102">SUM(B105:C105)</f>
        <v>1</v>
      </c>
      <c r="E105" s="5"/>
      <c r="F105" s="6"/>
      <c r="G105" s="39">
        <f t="shared" ref="G105" si="103">SUM(E105:F105)</f>
        <v>0</v>
      </c>
      <c r="H105" s="7">
        <f t="shared" ref="H105" si="104">D105+G105</f>
        <v>1</v>
      </c>
      <c r="I105" s="31">
        <v>46031</v>
      </c>
      <c r="J105" s="14" t="s">
        <v>154</v>
      </c>
      <c r="K105" s="5">
        <v>19</v>
      </c>
      <c r="L105" s="6">
        <v>14</v>
      </c>
      <c r="M105" s="7">
        <f t="shared" si="99"/>
        <v>33</v>
      </c>
      <c r="N105" s="5">
        <v>19</v>
      </c>
      <c r="O105" s="6">
        <v>14</v>
      </c>
      <c r="P105" s="39">
        <f t="shared" si="100"/>
        <v>33</v>
      </c>
      <c r="Q105" s="7">
        <f t="shared" si="101"/>
        <v>66</v>
      </c>
      <c r="R105" s="49">
        <v>46057</v>
      </c>
      <c r="S105" s="32"/>
    </row>
    <row r="106" spans="1:19" x14ac:dyDescent="0.15">
      <c r="A106" s="17" t="s">
        <v>44</v>
      </c>
      <c r="B106" s="5">
        <v>1</v>
      </c>
      <c r="C106" s="6">
        <v>1</v>
      </c>
      <c r="D106" s="7">
        <f t="shared" si="96"/>
        <v>2</v>
      </c>
      <c r="E106" s="5">
        <v>1</v>
      </c>
      <c r="F106" s="6">
        <v>1</v>
      </c>
      <c r="G106" s="39">
        <f t="shared" si="97"/>
        <v>2</v>
      </c>
      <c r="H106" s="7">
        <f t="shared" si="98"/>
        <v>4</v>
      </c>
      <c r="I106" s="31">
        <v>46036</v>
      </c>
      <c r="J106" s="17" t="s">
        <v>130</v>
      </c>
      <c r="K106" s="5"/>
      <c r="L106" s="6">
        <v>5</v>
      </c>
      <c r="M106" s="7">
        <f t="shared" si="99"/>
        <v>5</v>
      </c>
      <c r="N106" s="5"/>
      <c r="O106" s="6">
        <v>5</v>
      </c>
      <c r="P106" s="39">
        <f t="shared" si="100"/>
        <v>5</v>
      </c>
      <c r="Q106" s="7">
        <f t="shared" si="101"/>
        <v>10</v>
      </c>
      <c r="R106" s="49">
        <v>46052</v>
      </c>
    </row>
    <row r="107" spans="1:19" x14ac:dyDescent="0.15">
      <c r="A107" s="17" t="s">
        <v>53</v>
      </c>
      <c r="B107" s="5">
        <v>3</v>
      </c>
      <c r="C107" s="6"/>
      <c r="D107" s="7">
        <f t="shared" si="96"/>
        <v>3</v>
      </c>
      <c r="E107" s="5">
        <v>2</v>
      </c>
      <c r="F107" s="6"/>
      <c r="G107" s="39">
        <f t="shared" si="97"/>
        <v>2</v>
      </c>
      <c r="H107" s="7">
        <f t="shared" si="98"/>
        <v>5</v>
      </c>
      <c r="I107" s="33">
        <v>46035</v>
      </c>
      <c r="J107" s="17" t="s">
        <v>130</v>
      </c>
      <c r="K107" s="5">
        <v>5</v>
      </c>
      <c r="L107" s="6">
        <v>5</v>
      </c>
      <c r="M107" s="7">
        <f t="shared" si="99"/>
        <v>10</v>
      </c>
      <c r="N107" s="5">
        <v>5</v>
      </c>
      <c r="O107" s="6">
        <v>5</v>
      </c>
      <c r="P107" s="39">
        <f t="shared" si="100"/>
        <v>10</v>
      </c>
      <c r="Q107" s="7">
        <f t="shared" si="101"/>
        <v>20</v>
      </c>
      <c r="R107" s="49">
        <v>46053</v>
      </c>
    </row>
    <row r="108" spans="1:19" x14ac:dyDescent="0.15">
      <c r="A108" s="17" t="s">
        <v>53</v>
      </c>
      <c r="B108" s="5"/>
      <c r="C108" s="6">
        <v>1</v>
      </c>
      <c r="D108" s="7">
        <f t="shared" si="96"/>
        <v>1</v>
      </c>
      <c r="E108" s="5">
        <v>1</v>
      </c>
      <c r="F108" s="6"/>
      <c r="G108" s="39">
        <f t="shared" si="97"/>
        <v>1</v>
      </c>
      <c r="H108" s="7">
        <f t="shared" si="98"/>
        <v>2</v>
      </c>
      <c r="I108" s="31">
        <v>46036</v>
      </c>
      <c r="J108" s="15" t="s">
        <v>146</v>
      </c>
      <c r="K108" s="5">
        <v>5</v>
      </c>
      <c r="L108" s="6">
        <v>2</v>
      </c>
      <c r="M108" s="7">
        <f t="shared" si="99"/>
        <v>7</v>
      </c>
      <c r="N108" s="5">
        <v>5</v>
      </c>
      <c r="O108" s="6">
        <v>2</v>
      </c>
      <c r="P108" s="39">
        <f t="shared" si="100"/>
        <v>7</v>
      </c>
      <c r="Q108" s="7">
        <f t="shared" si="101"/>
        <v>14</v>
      </c>
      <c r="R108" s="49">
        <v>46059</v>
      </c>
    </row>
    <row r="109" spans="1:19" x14ac:dyDescent="0.15">
      <c r="A109" s="15" t="s">
        <v>140</v>
      </c>
      <c r="B109" s="8">
        <v>1</v>
      </c>
      <c r="C109" s="9">
        <v>4</v>
      </c>
      <c r="D109" s="7">
        <f t="shared" si="96"/>
        <v>5</v>
      </c>
      <c r="E109" s="8">
        <v>1</v>
      </c>
      <c r="F109" s="9">
        <v>4</v>
      </c>
      <c r="G109" s="39">
        <f t="shared" si="97"/>
        <v>5</v>
      </c>
      <c r="H109" s="7">
        <f t="shared" si="98"/>
        <v>10</v>
      </c>
      <c r="I109" s="31">
        <v>46038</v>
      </c>
      <c r="J109" s="15" t="s">
        <v>157</v>
      </c>
      <c r="K109" s="8">
        <v>5</v>
      </c>
      <c r="L109" s="9"/>
      <c r="M109" s="7">
        <f t="shared" si="99"/>
        <v>5</v>
      </c>
      <c r="N109" s="8">
        <v>5</v>
      </c>
      <c r="O109" s="9"/>
      <c r="P109" s="39">
        <f t="shared" si="100"/>
        <v>5</v>
      </c>
      <c r="Q109" s="7">
        <f t="shared" si="101"/>
        <v>10</v>
      </c>
      <c r="R109" s="49">
        <v>46063</v>
      </c>
      <c r="S109" s="32"/>
    </row>
    <row r="110" spans="1:19" x14ac:dyDescent="0.15">
      <c r="A110" s="17" t="s">
        <v>44</v>
      </c>
      <c r="B110" s="5">
        <v>1</v>
      </c>
      <c r="C110" s="6"/>
      <c r="D110" s="7">
        <f t="shared" si="96"/>
        <v>1</v>
      </c>
      <c r="E110" s="5"/>
      <c r="F110" s="6"/>
      <c r="G110" s="39">
        <f t="shared" si="97"/>
        <v>0</v>
      </c>
      <c r="H110" s="7">
        <f t="shared" si="98"/>
        <v>1</v>
      </c>
      <c r="I110" s="31">
        <v>46038</v>
      </c>
      <c r="J110" s="17" t="s">
        <v>130</v>
      </c>
      <c r="K110" s="5">
        <v>10</v>
      </c>
      <c r="L110" s="6"/>
      <c r="M110" s="7">
        <f t="shared" si="99"/>
        <v>10</v>
      </c>
      <c r="N110" s="5">
        <v>10</v>
      </c>
      <c r="O110" s="6"/>
      <c r="P110" s="39">
        <f t="shared" si="100"/>
        <v>10</v>
      </c>
      <c r="Q110" s="7">
        <f t="shared" si="101"/>
        <v>20</v>
      </c>
      <c r="R110" s="49">
        <v>46058</v>
      </c>
      <c r="S110" s="32"/>
    </row>
    <row r="111" spans="1:19" x14ac:dyDescent="0.15">
      <c r="A111" s="15" t="s">
        <v>141</v>
      </c>
      <c r="B111" s="5">
        <v>2</v>
      </c>
      <c r="C111" s="6"/>
      <c r="D111" s="7">
        <f t="shared" si="96"/>
        <v>2</v>
      </c>
      <c r="E111" s="5">
        <v>2</v>
      </c>
      <c r="F111" s="6"/>
      <c r="G111" s="39">
        <f t="shared" si="97"/>
        <v>2</v>
      </c>
      <c r="H111" s="7">
        <f t="shared" si="98"/>
        <v>4</v>
      </c>
      <c r="I111" s="31">
        <v>46041</v>
      </c>
      <c r="J111" s="17" t="s">
        <v>158</v>
      </c>
      <c r="K111" s="5">
        <v>35</v>
      </c>
      <c r="L111" s="6">
        <v>10</v>
      </c>
      <c r="M111" s="7">
        <f t="shared" ref="M111" si="105">SUM(K111:L111)</f>
        <v>45</v>
      </c>
      <c r="N111" s="5">
        <v>55</v>
      </c>
      <c r="O111" s="6">
        <v>31</v>
      </c>
      <c r="P111" s="39">
        <f t="shared" ref="P111" si="106">SUM(N111:O111)</f>
        <v>86</v>
      </c>
      <c r="Q111" s="7">
        <f t="shared" ref="Q111" si="107">M111+P111</f>
        <v>131</v>
      </c>
      <c r="R111" s="49">
        <v>46060</v>
      </c>
    </row>
    <row r="112" spans="1:19" x14ac:dyDescent="0.15">
      <c r="A112" s="15" t="s">
        <v>142</v>
      </c>
      <c r="B112" s="5">
        <v>3</v>
      </c>
      <c r="C112" s="6">
        <v>1</v>
      </c>
      <c r="D112" s="7">
        <f t="shared" si="96"/>
        <v>4</v>
      </c>
      <c r="E112" s="5">
        <v>3</v>
      </c>
      <c r="F112" s="6">
        <v>1</v>
      </c>
      <c r="G112" s="39">
        <f t="shared" si="97"/>
        <v>4</v>
      </c>
      <c r="H112" s="7">
        <f t="shared" si="98"/>
        <v>8</v>
      </c>
      <c r="I112" s="31">
        <v>46043</v>
      </c>
      <c r="J112" s="15" t="s">
        <v>130</v>
      </c>
      <c r="K112" s="5"/>
      <c r="L112" s="6">
        <v>10</v>
      </c>
      <c r="M112" s="7">
        <f t="shared" si="99"/>
        <v>10</v>
      </c>
      <c r="N112" s="5"/>
      <c r="O112" s="6">
        <v>10</v>
      </c>
      <c r="P112" s="39">
        <f t="shared" si="100"/>
        <v>10</v>
      </c>
      <c r="Q112" s="7">
        <f t="shared" si="101"/>
        <v>20</v>
      </c>
      <c r="R112" s="49">
        <v>46059</v>
      </c>
    </row>
    <row r="113" spans="1:19" x14ac:dyDescent="0.15">
      <c r="A113" s="15" t="s">
        <v>149</v>
      </c>
      <c r="B113" s="5">
        <v>4</v>
      </c>
      <c r="C113" s="6"/>
      <c r="D113" s="7">
        <f t="shared" si="96"/>
        <v>4</v>
      </c>
      <c r="E113" s="5">
        <v>4</v>
      </c>
      <c r="F113" s="6"/>
      <c r="G113" s="39">
        <f t="shared" si="97"/>
        <v>4</v>
      </c>
      <c r="H113" s="7">
        <f t="shared" si="98"/>
        <v>8</v>
      </c>
      <c r="I113" s="31">
        <v>46048</v>
      </c>
      <c r="J113" s="15" t="s">
        <v>130</v>
      </c>
      <c r="K113" s="5">
        <v>5</v>
      </c>
      <c r="L113" s="6"/>
      <c r="M113" s="7">
        <f t="shared" si="99"/>
        <v>5</v>
      </c>
      <c r="N113" s="5">
        <v>5</v>
      </c>
      <c r="O113" s="6"/>
      <c r="P113" s="39">
        <f t="shared" si="100"/>
        <v>5</v>
      </c>
      <c r="Q113" s="7">
        <f t="shared" si="101"/>
        <v>10</v>
      </c>
      <c r="R113" s="49">
        <v>46060</v>
      </c>
    </row>
    <row r="114" spans="1:19" x14ac:dyDescent="0.15">
      <c r="A114" s="17" t="s">
        <v>53</v>
      </c>
      <c r="B114" s="5"/>
      <c r="C114" s="6"/>
      <c r="D114" s="7">
        <f t="shared" si="96"/>
        <v>0</v>
      </c>
      <c r="E114" s="5">
        <v>1</v>
      </c>
      <c r="F114" s="6"/>
      <c r="G114" s="39">
        <f t="shared" si="97"/>
        <v>1</v>
      </c>
      <c r="H114" s="7">
        <f t="shared" si="98"/>
        <v>1</v>
      </c>
      <c r="I114" s="33">
        <v>46045</v>
      </c>
      <c r="J114" s="15" t="s">
        <v>149</v>
      </c>
      <c r="K114" s="5">
        <v>13</v>
      </c>
      <c r="L114" s="6">
        <v>2</v>
      </c>
      <c r="M114" s="7">
        <f t="shared" si="99"/>
        <v>15</v>
      </c>
      <c r="N114" s="5">
        <v>13</v>
      </c>
      <c r="O114" s="6">
        <v>2</v>
      </c>
      <c r="P114" s="39">
        <f t="shared" si="100"/>
        <v>15</v>
      </c>
      <c r="Q114" s="7">
        <f t="shared" si="101"/>
        <v>30</v>
      </c>
      <c r="R114" s="49">
        <v>46063</v>
      </c>
    </row>
    <row r="115" spans="1:19" x14ac:dyDescent="0.15">
      <c r="A115" s="15" t="s">
        <v>131</v>
      </c>
      <c r="B115" s="5">
        <v>2</v>
      </c>
      <c r="C115" s="6">
        <v>1</v>
      </c>
      <c r="D115" s="7">
        <f t="shared" si="96"/>
        <v>3</v>
      </c>
      <c r="E115" s="5">
        <v>2</v>
      </c>
      <c r="F115" s="6">
        <v>1</v>
      </c>
      <c r="G115" s="39">
        <f t="shared" si="97"/>
        <v>3</v>
      </c>
      <c r="H115" s="7">
        <f t="shared" si="98"/>
        <v>6</v>
      </c>
      <c r="I115" s="31">
        <v>46050</v>
      </c>
      <c r="J115" s="17" t="s">
        <v>159</v>
      </c>
      <c r="K115" s="5">
        <v>35</v>
      </c>
      <c r="L115" s="6">
        <v>10</v>
      </c>
      <c r="M115" s="7">
        <f t="shared" si="99"/>
        <v>45</v>
      </c>
      <c r="N115" s="5">
        <v>35</v>
      </c>
      <c r="O115" s="6">
        <v>20</v>
      </c>
      <c r="P115" s="39">
        <f t="shared" si="100"/>
        <v>55</v>
      </c>
      <c r="Q115" s="7">
        <f t="shared" si="101"/>
        <v>100</v>
      </c>
      <c r="R115" s="49">
        <v>46064</v>
      </c>
    </row>
    <row r="116" spans="1:19" x14ac:dyDescent="0.15">
      <c r="A116" s="17" t="s">
        <v>44</v>
      </c>
      <c r="B116" s="5"/>
      <c r="C116" s="6">
        <v>1</v>
      </c>
      <c r="D116" s="7">
        <f t="shared" si="96"/>
        <v>1</v>
      </c>
      <c r="E116" s="5">
        <v>2</v>
      </c>
      <c r="F116" s="6"/>
      <c r="G116" s="39">
        <f t="shared" si="97"/>
        <v>2</v>
      </c>
      <c r="H116" s="7">
        <f t="shared" si="98"/>
        <v>3</v>
      </c>
      <c r="I116" s="31">
        <v>46049</v>
      </c>
      <c r="J116" s="17" t="s">
        <v>162</v>
      </c>
      <c r="K116" s="5"/>
      <c r="L116" s="6"/>
      <c r="M116" s="7">
        <f t="shared" si="99"/>
        <v>0</v>
      </c>
      <c r="N116" s="5">
        <v>600</v>
      </c>
      <c r="O116" s="6">
        <v>250</v>
      </c>
      <c r="P116" s="39">
        <f t="shared" si="100"/>
        <v>850</v>
      </c>
      <c r="Q116" s="7">
        <f t="shared" si="101"/>
        <v>850</v>
      </c>
      <c r="R116" s="49">
        <v>46067</v>
      </c>
    </row>
    <row r="117" spans="1:19" x14ac:dyDescent="0.15">
      <c r="A117" s="17" t="s">
        <v>53</v>
      </c>
      <c r="B117" s="5">
        <v>1</v>
      </c>
      <c r="C117" s="6"/>
      <c r="D117" s="7">
        <f t="shared" si="96"/>
        <v>1</v>
      </c>
      <c r="E117" s="5">
        <v>1</v>
      </c>
      <c r="F117" s="6">
        <v>1</v>
      </c>
      <c r="G117" s="39">
        <f t="shared" si="97"/>
        <v>2</v>
      </c>
      <c r="H117" s="7">
        <f t="shared" si="98"/>
        <v>3</v>
      </c>
      <c r="I117" s="31">
        <v>46048</v>
      </c>
      <c r="J117" s="17"/>
      <c r="K117" s="5"/>
      <c r="L117" s="6"/>
      <c r="M117" s="7">
        <f t="shared" si="99"/>
        <v>0</v>
      </c>
      <c r="N117" s="5"/>
      <c r="O117" s="6"/>
      <c r="P117" s="39">
        <f t="shared" si="100"/>
        <v>0</v>
      </c>
      <c r="Q117" s="7">
        <f t="shared" si="101"/>
        <v>0</v>
      </c>
    </row>
    <row r="118" spans="1:19" x14ac:dyDescent="0.15">
      <c r="A118" s="15" t="s">
        <v>133</v>
      </c>
      <c r="B118" s="5">
        <v>3</v>
      </c>
      <c r="C118" s="6">
        <v>2</v>
      </c>
      <c r="D118" s="7">
        <f t="shared" si="96"/>
        <v>5</v>
      </c>
      <c r="E118" s="5">
        <v>3</v>
      </c>
      <c r="F118" s="6">
        <v>2</v>
      </c>
      <c r="G118" s="39">
        <f t="shared" si="97"/>
        <v>5</v>
      </c>
      <c r="H118" s="7">
        <f t="shared" si="98"/>
        <v>10</v>
      </c>
      <c r="I118" s="31">
        <v>46051</v>
      </c>
      <c r="J118" s="17" t="s">
        <v>83</v>
      </c>
      <c r="K118" s="5"/>
      <c r="L118" s="6"/>
      <c r="M118" s="7">
        <f t="shared" ref="M118:M123" si="108">SUM(K118:L118)</f>
        <v>0</v>
      </c>
      <c r="N118" s="5"/>
      <c r="O118" s="6"/>
      <c r="P118" s="39">
        <f t="shared" ref="P118:P123" si="109">SUM(N118:O118)</f>
        <v>0</v>
      </c>
      <c r="Q118" s="7">
        <f t="shared" ref="Q118:Q123" si="110">M118+P118</f>
        <v>0</v>
      </c>
      <c r="R118" s="49" t="s">
        <v>84</v>
      </c>
    </row>
    <row r="119" spans="1:19" x14ac:dyDescent="0.15">
      <c r="A119" s="14" t="s">
        <v>53</v>
      </c>
      <c r="B119" s="5"/>
      <c r="C119" s="6"/>
      <c r="D119" s="7">
        <f t="shared" si="96"/>
        <v>0</v>
      </c>
      <c r="E119" s="5">
        <v>1</v>
      </c>
      <c r="F119" s="6"/>
      <c r="G119" s="39">
        <f t="shared" si="97"/>
        <v>1</v>
      </c>
      <c r="H119" s="7">
        <f t="shared" si="98"/>
        <v>1</v>
      </c>
      <c r="I119" s="31">
        <v>46049</v>
      </c>
      <c r="J119" s="17" t="s">
        <v>113</v>
      </c>
      <c r="K119" s="5"/>
      <c r="L119" s="6"/>
      <c r="M119" s="7">
        <f t="shared" si="108"/>
        <v>0</v>
      </c>
      <c r="N119" s="5"/>
      <c r="O119" s="6"/>
      <c r="P119" s="39">
        <f t="shared" si="109"/>
        <v>0</v>
      </c>
      <c r="Q119" s="7">
        <f t="shared" si="110"/>
        <v>0</v>
      </c>
      <c r="R119" s="49" t="s">
        <v>114</v>
      </c>
    </row>
    <row r="120" spans="1:19" x14ac:dyDescent="0.15">
      <c r="A120" s="15" t="s">
        <v>134</v>
      </c>
      <c r="B120" s="5">
        <v>2</v>
      </c>
      <c r="C120" s="6">
        <v>3</v>
      </c>
      <c r="D120" s="7">
        <f t="shared" si="96"/>
        <v>5</v>
      </c>
      <c r="E120" s="5">
        <v>2</v>
      </c>
      <c r="F120" s="6">
        <v>3</v>
      </c>
      <c r="G120" s="39">
        <f t="shared" si="97"/>
        <v>5</v>
      </c>
      <c r="H120" s="7">
        <f t="shared" si="98"/>
        <v>10</v>
      </c>
      <c r="I120" s="31">
        <v>46052</v>
      </c>
      <c r="J120" s="80" t="s">
        <v>94</v>
      </c>
      <c r="K120" s="59"/>
      <c r="L120" s="60"/>
      <c r="M120" s="61">
        <f t="shared" si="108"/>
        <v>0</v>
      </c>
      <c r="N120" s="59"/>
      <c r="O120" s="60"/>
      <c r="P120" s="62">
        <f t="shared" si="109"/>
        <v>0</v>
      </c>
      <c r="Q120" s="61">
        <f t="shared" si="110"/>
        <v>0</v>
      </c>
      <c r="R120" s="79"/>
    </row>
    <row r="121" spans="1:19" x14ac:dyDescent="0.15">
      <c r="A121" s="17" t="s">
        <v>53</v>
      </c>
      <c r="B121" s="8">
        <v>1</v>
      </c>
      <c r="C121" s="9"/>
      <c r="D121" s="7">
        <f t="shared" si="96"/>
        <v>1</v>
      </c>
      <c r="E121" s="8">
        <v>1</v>
      </c>
      <c r="F121" s="9"/>
      <c r="G121" s="39">
        <f t="shared" si="97"/>
        <v>1</v>
      </c>
      <c r="H121" s="7">
        <f t="shared" si="98"/>
        <v>2</v>
      </c>
      <c r="I121" s="33">
        <v>46050</v>
      </c>
      <c r="J121" s="17" t="s">
        <v>77</v>
      </c>
      <c r="K121" s="5"/>
      <c r="L121" s="6"/>
      <c r="M121" s="7">
        <f t="shared" si="108"/>
        <v>0</v>
      </c>
      <c r="N121" s="5"/>
      <c r="O121" s="6"/>
      <c r="P121" s="39">
        <f t="shared" si="109"/>
        <v>0</v>
      </c>
      <c r="Q121" s="7">
        <f t="shared" si="110"/>
        <v>0</v>
      </c>
      <c r="R121" s="50" t="s">
        <v>78</v>
      </c>
      <c r="S121" s="32"/>
    </row>
    <row r="122" spans="1:19" x14ac:dyDescent="0.15">
      <c r="A122" s="15" t="s">
        <v>138</v>
      </c>
      <c r="B122" s="5">
        <v>1</v>
      </c>
      <c r="C122" s="6"/>
      <c r="D122" s="7">
        <f t="shared" si="96"/>
        <v>1</v>
      </c>
      <c r="E122" s="5">
        <v>1</v>
      </c>
      <c r="F122" s="6"/>
      <c r="G122" s="39">
        <f t="shared" si="97"/>
        <v>1</v>
      </c>
      <c r="H122" s="7">
        <f t="shared" si="98"/>
        <v>2</v>
      </c>
      <c r="I122" s="31">
        <v>46052</v>
      </c>
      <c r="J122" s="80" t="s">
        <v>97</v>
      </c>
      <c r="K122" s="59"/>
      <c r="L122" s="60"/>
      <c r="M122" s="61">
        <f t="shared" si="108"/>
        <v>0</v>
      </c>
      <c r="N122" s="59"/>
      <c r="O122" s="60"/>
      <c r="P122" s="62">
        <f t="shared" si="109"/>
        <v>0</v>
      </c>
      <c r="Q122" s="61">
        <f t="shared" si="110"/>
        <v>0</v>
      </c>
      <c r="R122" s="79"/>
    </row>
    <row r="123" spans="1:19" x14ac:dyDescent="0.15">
      <c r="A123" s="15" t="s">
        <v>153</v>
      </c>
      <c r="B123" s="5">
        <v>-1</v>
      </c>
      <c r="C123" s="6"/>
      <c r="D123" s="7">
        <f t="shared" si="96"/>
        <v>-1</v>
      </c>
      <c r="E123" s="5">
        <v>-1</v>
      </c>
      <c r="F123" s="6"/>
      <c r="G123" s="39">
        <f t="shared" si="97"/>
        <v>-1</v>
      </c>
      <c r="H123" s="7">
        <f t="shared" si="98"/>
        <v>-2</v>
      </c>
      <c r="I123" s="33">
        <v>46051</v>
      </c>
      <c r="J123" s="17" t="s">
        <v>96</v>
      </c>
      <c r="K123" s="5"/>
      <c r="L123" s="6"/>
      <c r="M123" s="61">
        <f t="shared" si="108"/>
        <v>0</v>
      </c>
      <c r="N123" s="5"/>
      <c r="O123" s="6"/>
      <c r="P123" s="62">
        <f t="shared" si="109"/>
        <v>0</v>
      </c>
      <c r="Q123" s="61">
        <f t="shared" si="110"/>
        <v>0</v>
      </c>
      <c r="R123" s="50" t="s">
        <v>90</v>
      </c>
    </row>
    <row r="124" spans="1:19" x14ac:dyDescent="0.15">
      <c r="A124" s="34" t="s">
        <v>155</v>
      </c>
      <c r="B124" s="5"/>
      <c r="C124" s="6">
        <v>-5</v>
      </c>
      <c r="D124" s="7">
        <f t="shared" si="96"/>
        <v>-5</v>
      </c>
      <c r="E124" s="5"/>
      <c r="F124" s="6">
        <v>-5</v>
      </c>
      <c r="G124" s="39">
        <f t="shared" si="97"/>
        <v>-5</v>
      </c>
      <c r="H124" s="7">
        <f t="shared" si="98"/>
        <v>-10</v>
      </c>
      <c r="I124" s="31">
        <v>46052</v>
      </c>
      <c r="J124" s="58" t="s">
        <v>58</v>
      </c>
      <c r="K124" s="89"/>
      <c r="L124" s="90"/>
      <c r="M124" s="61">
        <f t="shared" si="99"/>
        <v>0</v>
      </c>
      <c r="N124" s="59"/>
      <c r="O124" s="60"/>
      <c r="P124" s="62">
        <f t="shared" si="100"/>
        <v>0</v>
      </c>
      <c r="Q124" s="61">
        <f t="shared" si="101"/>
        <v>0</v>
      </c>
      <c r="R124" s="50"/>
    </row>
    <row r="125" spans="1:19" ht="14.25" thickBot="1" x14ac:dyDescent="0.2">
      <c r="A125" s="15" t="s">
        <v>140</v>
      </c>
      <c r="B125" s="5"/>
      <c r="C125" s="6">
        <v>2</v>
      </c>
      <c r="D125" s="7">
        <f t="shared" si="96"/>
        <v>2</v>
      </c>
      <c r="E125" s="5"/>
      <c r="F125" s="6">
        <v>2</v>
      </c>
      <c r="G125" s="39">
        <f t="shared" si="97"/>
        <v>2</v>
      </c>
      <c r="H125" s="12">
        <f t="shared" si="98"/>
        <v>4</v>
      </c>
      <c r="I125" s="31">
        <v>46055</v>
      </c>
      <c r="J125" s="15" t="s">
        <v>59</v>
      </c>
      <c r="K125" s="91"/>
      <c r="L125" s="92"/>
      <c r="M125" s="7">
        <f t="shared" si="99"/>
        <v>0</v>
      </c>
      <c r="N125" s="5"/>
      <c r="O125" s="6"/>
      <c r="P125" s="39">
        <f t="shared" si="100"/>
        <v>0</v>
      </c>
      <c r="Q125" s="12">
        <f t="shared" si="101"/>
        <v>0</v>
      </c>
      <c r="R125" s="50" t="s">
        <v>62</v>
      </c>
    </row>
    <row r="126" spans="1:19" ht="14.25" thickBot="1" x14ac:dyDescent="0.2">
      <c r="A126" s="26" t="s">
        <v>14</v>
      </c>
      <c r="B126" s="27">
        <f>SUM(B100:B125)</f>
        <v>26</v>
      </c>
      <c r="C126" s="28">
        <f>SUM(C100:C125)</f>
        <v>14</v>
      </c>
      <c r="D126" s="29">
        <f t="shared" si="96"/>
        <v>40</v>
      </c>
      <c r="E126" s="27">
        <f>SUM(E100:E125)</f>
        <v>29</v>
      </c>
      <c r="F126" s="28">
        <f>SUM(F100:F125)</f>
        <v>14</v>
      </c>
      <c r="G126" s="29">
        <f t="shared" si="97"/>
        <v>43</v>
      </c>
      <c r="H126" s="30">
        <f t="shared" si="98"/>
        <v>83</v>
      </c>
      <c r="J126" s="26" t="s">
        <v>14</v>
      </c>
      <c r="K126" s="27">
        <f>SUM(K100:K125)</f>
        <v>147</v>
      </c>
      <c r="L126" s="28">
        <f t="shared" ref="L126:Q126" si="111">SUM(L100:L125)</f>
        <v>58</v>
      </c>
      <c r="M126" s="29">
        <f t="shared" si="111"/>
        <v>205</v>
      </c>
      <c r="N126" s="27">
        <f t="shared" si="111"/>
        <v>782</v>
      </c>
      <c r="O126" s="28">
        <f t="shared" si="111"/>
        <v>349</v>
      </c>
      <c r="P126" s="29">
        <f t="shared" si="111"/>
        <v>1131</v>
      </c>
      <c r="Q126" s="30">
        <f t="shared" si="111"/>
        <v>1336</v>
      </c>
    </row>
    <row r="127" spans="1:19" ht="14.25" thickBot="1" x14ac:dyDescent="0.2">
      <c r="A127" s="13" t="s">
        <v>15</v>
      </c>
      <c r="B127" s="36">
        <f>B99-B126</f>
        <v>7</v>
      </c>
      <c r="C127" s="37">
        <f t="shared" ref="C127:D127" si="112">C99-C126</f>
        <v>7</v>
      </c>
      <c r="D127" s="38">
        <f t="shared" si="112"/>
        <v>14</v>
      </c>
      <c r="E127" s="36">
        <f>E99-E126</f>
        <v>8</v>
      </c>
      <c r="F127" s="37">
        <f t="shared" ref="F127:G127" si="113">F99-F126</f>
        <v>8</v>
      </c>
      <c r="G127" s="38">
        <f t="shared" si="113"/>
        <v>16</v>
      </c>
      <c r="H127" s="21">
        <f t="shared" si="98"/>
        <v>30</v>
      </c>
      <c r="J127" s="13" t="s">
        <v>15</v>
      </c>
      <c r="K127" s="36">
        <f>K99-K126</f>
        <v>894</v>
      </c>
      <c r="L127" s="53">
        <f t="shared" ref="L127:Q127" si="114">L99-L126</f>
        <v>865</v>
      </c>
      <c r="M127" s="54">
        <f t="shared" si="114"/>
        <v>1759</v>
      </c>
      <c r="N127" s="36">
        <f t="shared" si="114"/>
        <v>1089</v>
      </c>
      <c r="O127" s="53">
        <f t="shared" si="114"/>
        <v>1063</v>
      </c>
      <c r="P127" s="54">
        <f t="shared" si="114"/>
        <v>2152</v>
      </c>
      <c r="Q127" s="21">
        <f t="shared" si="114"/>
        <v>3911</v>
      </c>
    </row>
    <row r="130" spans="1:19" ht="19.5" thickBot="1" x14ac:dyDescent="0.25">
      <c r="A130" s="57" t="s">
        <v>48</v>
      </c>
      <c r="B130" s="57"/>
      <c r="C130" s="57"/>
      <c r="D130" s="57"/>
      <c r="E130" s="42"/>
      <c r="F130" s="42"/>
      <c r="G130" s="42"/>
      <c r="H130" s="42"/>
      <c r="J130" s="55" t="s">
        <v>47</v>
      </c>
      <c r="K130" s="55"/>
      <c r="L130" s="55"/>
      <c r="M130" s="55"/>
      <c r="N130" s="55"/>
      <c r="O130" s="56"/>
      <c r="P130" s="56" t="s">
        <v>41</v>
      </c>
      <c r="Q130" s="56"/>
    </row>
    <row r="131" spans="1:19" ht="14.25" thickBot="1" x14ac:dyDescent="0.2">
      <c r="A131" s="4" t="s">
        <v>0</v>
      </c>
      <c r="B131" s="107" t="s">
        <v>18</v>
      </c>
      <c r="C131" s="108"/>
      <c r="D131" s="109"/>
      <c r="E131" s="110" t="s">
        <v>19</v>
      </c>
      <c r="F131" s="111"/>
      <c r="G131" s="112"/>
      <c r="H131" s="105" t="s">
        <v>1</v>
      </c>
      <c r="J131" s="4" t="s">
        <v>0</v>
      </c>
      <c r="K131" s="107" t="s">
        <v>18</v>
      </c>
      <c r="L131" s="108"/>
      <c r="M131" s="109"/>
      <c r="N131" s="110" t="s">
        <v>19</v>
      </c>
      <c r="O131" s="111"/>
      <c r="P131" s="112"/>
      <c r="Q131" s="105" t="s">
        <v>1</v>
      </c>
    </row>
    <row r="132" spans="1:19" ht="14.25" thickBot="1" x14ac:dyDescent="0.2">
      <c r="A132" s="4" t="s">
        <v>2</v>
      </c>
      <c r="B132" s="1" t="s">
        <v>16</v>
      </c>
      <c r="C132" s="2" t="s">
        <v>17</v>
      </c>
      <c r="D132" s="4" t="s">
        <v>3</v>
      </c>
      <c r="E132" s="1" t="s">
        <v>16</v>
      </c>
      <c r="F132" s="2" t="s">
        <v>17</v>
      </c>
      <c r="G132" s="4" t="s">
        <v>3</v>
      </c>
      <c r="H132" s="106"/>
      <c r="J132" s="4" t="s">
        <v>2</v>
      </c>
      <c r="K132" s="1" t="s">
        <v>16</v>
      </c>
      <c r="L132" s="2" t="s">
        <v>17</v>
      </c>
      <c r="M132" s="4" t="s">
        <v>3</v>
      </c>
      <c r="N132" s="1" t="s">
        <v>16</v>
      </c>
      <c r="O132" s="2" t="s">
        <v>17</v>
      </c>
      <c r="P132" s="4" t="s">
        <v>3</v>
      </c>
      <c r="Q132" s="106"/>
    </row>
    <row r="133" spans="1:19" ht="14.25" thickBot="1" x14ac:dyDescent="0.2">
      <c r="A133" s="18" t="s">
        <v>15</v>
      </c>
      <c r="B133" s="19">
        <f>B127</f>
        <v>7</v>
      </c>
      <c r="C133" s="20">
        <f t="shared" ref="C133" si="115">C127</f>
        <v>7</v>
      </c>
      <c r="D133" s="21">
        <f t="shared" ref="D133:D141" si="116">SUM(B133:C133)</f>
        <v>14</v>
      </c>
      <c r="E133" s="19">
        <f>E127</f>
        <v>8</v>
      </c>
      <c r="F133" s="20">
        <f t="shared" ref="F133" si="117">F127</f>
        <v>8</v>
      </c>
      <c r="G133" s="21">
        <f t="shared" ref="G133:G141" si="118">SUM(E133:F133)</f>
        <v>16</v>
      </c>
      <c r="H133" s="21">
        <f t="shared" ref="H133:H141" si="119">D133+G133</f>
        <v>30</v>
      </c>
      <c r="J133" s="18" t="s">
        <v>15</v>
      </c>
      <c r="K133" s="19">
        <f>K127</f>
        <v>894</v>
      </c>
      <c r="L133" s="20">
        <f t="shared" ref="L133:Q133" si="120">L127</f>
        <v>865</v>
      </c>
      <c r="M133" s="21">
        <f t="shared" si="120"/>
        <v>1759</v>
      </c>
      <c r="N133" s="19">
        <f t="shared" si="120"/>
        <v>1089</v>
      </c>
      <c r="O133" s="20">
        <f t="shared" si="120"/>
        <v>1063</v>
      </c>
      <c r="P133" s="21">
        <f t="shared" si="120"/>
        <v>2152</v>
      </c>
      <c r="Q133" s="21">
        <f t="shared" si="120"/>
        <v>3911</v>
      </c>
    </row>
    <row r="134" spans="1:19" x14ac:dyDescent="0.15">
      <c r="A134" s="16" t="s">
        <v>5</v>
      </c>
      <c r="B134" s="10">
        <v>5</v>
      </c>
      <c r="C134" s="11">
        <v>5</v>
      </c>
      <c r="D134" s="43">
        <f t="shared" si="116"/>
        <v>10</v>
      </c>
      <c r="E134" s="10">
        <v>5</v>
      </c>
      <c r="F134" s="11">
        <v>5</v>
      </c>
      <c r="G134" s="44">
        <f t="shared" si="118"/>
        <v>10</v>
      </c>
      <c r="H134" s="43">
        <f t="shared" si="119"/>
        <v>20</v>
      </c>
      <c r="I134" s="33">
        <v>46053</v>
      </c>
      <c r="J134" s="16" t="s">
        <v>5</v>
      </c>
      <c r="K134" s="10"/>
      <c r="L134" s="11"/>
      <c r="M134" s="43">
        <f t="shared" ref="M134:M141" si="121">SUM(K134:L134)</f>
        <v>0</v>
      </c>
      <c r="N134" s="10"/>
      <c r="O134" s="11"/>
      <c r="P134" s="44">
        <f t="shared" ref="P134:P141" si="122">SUM(N134:O134)</f>
        <v>0</v>
      </c>
      <c r="Q134" s="43">
        <f t="shared" ref="Q134:Q141" si="123">M134+P134</f>
        <v>0</v>
      </c>
    </row>
    <row r="135" spans="1:19" x14ac:dyDescent="0.15">
      <c r="A135" s="16" t="s">
        <v>6</v>
      </c>
      <c r="B135" s="5">
        <v>10</v>
      </c>
      <c r="C135" s="6"/>
      <c r="D135" s="7">
        <f t="shared" si="116"/>
        <v>10</v>
      </c>
      <c r="E135" s="5">
        <v>10</v>
      </c>
      <c r="F135" s="6"/>
      <c r="G135" s="39">
        <f t="shared" si="118"/>
        <v>10</v>
      </c>
      <c r="H135" s="7">
        <f t="shared" si="119"/>
        <v>20</v>
      </c>
      <c r="I135" s="31">
        <v>46058</v>
      </c>
      <c r="J135" s="16" t="s">
        <v>6</v>
      </c>
      <c r="K135" s="5"/>
      <c r="L135" s="6"/>
      <c r="M135" s="7">
        <f t="shared" si="121"/>
        <v>0</v>
      </c>
      <c r="N135" s="5"/>
      <c r="O135" s="6"/>
      <c r="P135" s="39">
        <f t="shared" si="122"/>
        <v>0</v>
      </c>
      <c r="Q135" s="7">
        <f t="shared" si="123"/>
        <v>0</v>
      </c>
    </row>
    <row r="136" spans="1:19" x14ac:dyDescent="0.15">
      <c r="A136" s="16" t="s">
        <v>7</v>
      </c>
      <c r="B136" s="5"/>
      <c r="C136" s="6">
        <v>10</v>
      </c>
      <c r="D136" s="7">
        <f t="shared" si="116"/>
        <v>10</v>
      </c>
      <c r="E136" s="5"/>
      <c r="F136" s="6">
        <v>10</v>
      </c>
      <c r="G136" s="39">
        <f t="shared" si="118"/>
        <v>10</v>
      </c>
      <c r="H136" s="7">
        <f t="shared" si="119"/>
        <v>20</v>
      </c>
      <c r="I136" s="31">
        <v>46059</v>
      </c>
      <c r="J136" s="16" t="s">
        <v>7</v>
      </c>
      <c r="K136" s="5"/>
      <c r="L136" s="6"/>
      <c r="M136" s="7">
        <f t="shared" ref="M136" si="124">SUM(K136:L136)</f>
        <v>0</v>
      </c>
      <c r="N136" s="5"/>
      <c r="O136" s="6"/>
      <c r="P136" s="39">
        <f t="shared" ref="P136" si="125">SUM(N136:O136)</f>
        <v>0</v>
      </c>
      <c r="Q136" s="7">
        <f t="shared" ref="Q136" si="126">M136+P136</f>
        <v>0</v>
      </c>
    </row>
    <row r="137" spans="1:19" x14ac:dyDescent="0.15">
      <c r="A137" s="16" t="s">
        <v>8</v>
      </c>
      <c r="B137" s="5">
        <v>5</v>
      </c>
      <c r="C137" s="6"/>
      <c r="D137" s="7">
        <f t="shared" si="116"/>
        <v>5</v>
      </c>
      <c r="E137" s="5">
        <v>5</v>
      </c>
      <c r="F137" s="6"/>
      <c r="G137" s="39">
        <f t="shared" si="118"/>
        <v>5</v>
      </c>
      <c r="H137" s="7">
        <f t="shared" si="119"/>
        <v>10</v>
      </c>
      <c r="I137" s="33">
        <v>46060</v>
      </c>
      <c r="J137" s="16" t="s">
        <v>8</v>
      </c>
      <c r="K137" s="5"/>
      <c r="L137" s="6"/>
      <c r="M137" s="7">
        <f t="shared" ref="M137" si="127">SUM(K137:L137)</f>
        <v>0</v>
      </c>
      <c r="N137" s="5"/>
      <c r="O137" s="6"/>
      <c r="P137" s="39">
        <f t="shared" ref="P137" si="128">SUM(N137:O137)</f>
        <v>0</v>
      </c>
      <c r="Q137" s="7">
        <f t="shared" ref="Q137" si="129">M137+P137</f>
        <v>0</v>
      </c>
    </row>
    <row r="138" spans="1:19" x14ac:dyDescent="0.15">
      <c r="A138" s="70" t="s">
        <v>9</v>
      </c>
      <c r="B138" s="65">
        <v>10</v>
      </c>
      <c r="C138" s="66">
        <v>10</v>
      </c>
      <c r="D138" s="67">
        <f t="shared" si="116"/>
        <v>20</v>
      </c>
      <c r="E138" s="65">
        <v>5</v>
      </c>
      <c r="F138" s="66">
        <v>5</v>
      </c>
      <c r="G138" s="68">
        <f t="shared" si="118"/>
        <v>10</v>
      </c>
      <c r="H138" s="67">
        <f t="shared" si="119"/>
        <v>30</v>
      </c>
      <c r="I138" s="71">
        <v>46071</v>
      </c>
      <c r="J138" s="16" t="s">
        <v>9</v>
      </c>
      <c r="K138" s="5"/>
      <c r="L138" s="6"/>
      <c r="M138" s="7">
        <f t="shared" si="121"/>
        <v>0</v>
      </c>
      <c r="N138" s="5"/>
      <c r="O138" s="6"/>
      <c r="P138" s="39">
        <f t="shared" si="122"/>
        <v>0</v>
      </c>
      <c r="Q138" s="7">
        <f t="shared" si="123"/>
        <v>0</v>
      </c>
    </row>
    <row r="139" spans="1:19" x14ac:dyDescent="0.15">
      <c r="A139" s="16" t="s">
        <v>173</v>
      </c>
      <c r="B139" s="5">
        <v>0</v>
      </c>
      <c r="C139" s="6">
        <v>0</v>
      </c>
      <c r="D139" s="7">
        <f t="shared" si="116"/>
        <v>0</v>
      </c>
      <c r="E139" s="5">
        <v>0</v>
      </c>
      <c r="F139" s="6">
        <v>0</v>
      </c>
      <c r="G139" s="39">
        <f t="shared" si="118"/>
        <v>0</v>
      </c>
      <c r="H139" s="7">
        <f t="shared" si="119"/>
        <v>0</v>
      </c>
      <c r="I139" s="33">
        <v>46071</v>
      </c>
      <c r="J139" s="16" t="s">
        <v>10</v>
      </c>
      <c r="K139" s="5"/>
      <c r="L139" s="6"/>
      <c r="M139" s="7">
        <f t="shared" si="121"/>
        <v>0</v>
      </c>
      <c r="N139" s="5"/>
      <c r="O139" s="6"/>
      <c r="P139" s="39">
        <f t="shared" si="122"/>
        <v>0</v>
      </c>
      <c r="Q139" s="7">
        <f t="shared" si="123"/>
        <v>0</v>
      </c>
    </row>
    <row r="140" spans="1:19" x14ac:dyDescent="0.15">
      <c r="A140" s="16" t="s">
        <v>11</v>
      </c>
      <c r="B140" s="8"/>
      <c r="C140" s="9"/>
      <c r="D140" s="7">
        <f t="shared" si="116"/>
        <v>0</v>
      </c>
      <c r="E140" s="8">
        <v>5</v>
      </c>
      <c r="F140" s="9">
        <v>5</v>
      </c>
      <c r="G140" s="39">
        <f t="shared" si="118"/>
        <v>10</v>
      </c>
      <c r="H140" s="7">
        <f t="shared" si="119"/>
        <v>10</v>
      </c>
      <c r="I140" s="33">
        <v>46074</v>
      </c>
      <c r="J140" s="16" t="s">
        <v>11</v>
      </c>
      <c r="K140" s="8"/>
      <c r="L140" s="9"/>
      <c r="M140" s="7">
        <f t="shared" si="121"/>
        <v>0</v>
      </c>
      <c r="N140" s="8"/>
      <c r="O140" s="9"/>
      <c r="P140" s="39">
        <f t="shared" si="122"/>
        <v>0</v>
      </c>
      <c r="Q140" s="7">
        <f t="shared" si="123"/>
        <v>0</v>
      </c>
    </row>
    <row r="141" spans="1:19" ht="14.25" thickBot="1" x14ac:dyDescent="0.2">
      <c r="A141" s="16" t="s">
        <v>180</v>
      </c>
      <c r="B141" s="22">
        <v>3</v>
      </c>
      <c r="C141" s="23"/>
      <c r="D141" s="7">
        <f t="shared" si="116"/>
        <v>3</v>
      </c>
      <c r="E141" s="22">
        <v>1</v>
      </c>
      <c r="F141" s="23">
        <v>1</v>
      </c>
      <c r="G141" s="39">
        <f t="shared" si="118"/>
        <v>2</v>
      </c>
      <c r="H141" s="12">
        <f t="shared" si="119"/>
        <v>5</v>
      </c>
      <c r="I141" s="33">
        <v>46077</v>
      </c>
      <c r="J141" s="16" t="s">
        <v>12</v>
      </c>
      <c r="K141" s="22"/>
      <c r="L141" s="23"/>
      <c r="M141" s="7">
        <f t="shared" si="121"/>
        <v>0</v>
      </c>
      <c r="N141" s="22"/>
      <c r="O141" s="23"/>
      <c r="P141" s="39">
        <f t="shared" si="122"/>
        <v>0</v>
      </c>
      <c r="Q141" s="12">
        <f t="shared" si="123"/>
        <v>0</v>
      </c>
    </row>
    <row r="142" spans="1:19" ht="14.25" thickBot="1" x14ac:dyDescent="0.2">
      <c r="A142" s="24" t="s">
        <v>13</v>
      </c>
      <c r="B142" s="19">
        <f>SUM(B133:B141)</f>
        <v>40</v>
      </c>
      <c r="C142" s="20">
        <f t="shared" ref="C142:H142" si="130">SUM(C133:C141)</f>
        <v>32</v>
      </c>
      <c r="D142" s="41">
        <f t="shared" si="130"/>
        <v>72</v>
      </c>
      <c r="E142" s="19">
        <f t="shared" si="130"/>
        <v>39</v>
      </c>
      <c r="F142" s="20">
        <f t="shared" si="130"/>
        <v>34</v>
      </c>
      <c r="G142" s="40">
        <f t="shared" si="130"/>
        <v>73</v>
      </c>
      <c r="H142" s="21">
        <f t="shared" si="130"/>
        <v>145</v>
      </c>
      <c r="J142" s="24" t="s">
        <v>13</v>
      </c>
      <c r="K142" s="19">
        <f>SUM(K133:K141)</f>
        <v>894</v>
      </c>
      <c r="L142" s="52">
        <f t="shared" ref="L142:Q142" si="131">SUM(L133:L141)</f>
        <v>865</v>
      </c>
      <c r="M142" s="21">
        <f t="shared" si="131"/>
        <v>1759</v>
      </c>
      <c r="N142" s="19">
        <f t="shared" si="131"/>
        <v>1089</v>
      </c>
      <c r="O142" s="52">
        <f t="shared" si="131"/>
        <v>1063</v>
      </c>
      <c r="P142" s="21">
        <f t="shared" si="131"/>
        <v>2152</v>
      </c>
      <c r="Q142" s="21">
        <f t="shared" si="131"/>
        <v>3911</v>
      </c>
    </row>
    <row r="143" spans="1:19" x14ac:dyDescent="0.15">
      <c r="A143" s="17" t="s">
        <v>53</v>
      </c>
      <c r="B143" s="5"/>
      <c r="C143" s="6"/>
      <c r="D143" s="7">
        <f t="shared" ref="D143:D169" si="132">SUM(B143:C143)</f>
        <v>0</v>
      </c>
      <c r="E143" s="5">
        <v>2</v>
      </c>
      <c r="F143" s="6"/>
      <c r="G143" s="39">
        <f t="shared" ref="G143:G169" si="133">SUM(E143:F143)</f>
        <v>2</v>
      </c>
      <c r="H143" s="7">
        <f t="shared" ref="H143:H170" si="134">D143+G143</f>
        <v>2</v>
      </c>
      <c r="I143" s="33">
        <v>46052</v>
      </c>
      <c r="J143" s="17" t="s">
        <v>132</v>
      </c>
      <c r="K143" s="5">
        <v>20</v>
      </c>
      <c r="L143" s="6">
        <v>20</v>
      </c>
      <c r="M143" s="7">
        <f t="shared" ref="M143:M144" si="135">SUM(K143:L143)</f>
        <v>40</v>
      </c>
      <c r="N143" s="5">
        <v>20</v>
      </c>
      <c r="O143" s="6">
        <v>20</v>
      </c>
      <c r="P143" s="39">
        <f t="shared" ref="P143:P144" si="136">SUM(N143:O143)</f>
        <v>40</v>
      </c>
      <c r="Q143" s="7">
        <f t="shared" ref="Q143:Q144" si="137">M143+P143</f>
        <v>80</v>
      </c>
      <c r="R143" s="49">
        <v>46078</v>
      </c>
      <c r="S143" s="32"/>
    </row>
    <row r="144" spans="1:19" x14ac:dyDescent="0.15">
      <c r="A144" s="15" t="s">
        <v>141</v>
      </c>
      <c r="B144" s="5">
        <v>3</v>
      </c>
      <c r="C144" s="6"/>
      <c r="D144" s="7">
        <f t="shared" si="132"/>
        <v>3</v>
      </c>
      <c r="E144" s="5">
        <v>3</v>
      </c>
      <c r="F144" s="6"/>
      <c r="G144" s="39">
        <f t="shared" si="133"/>
        <v>3</v>
      </c>
      <c r="H144" s="7">
        <f t="shared" si="134"/>
        <v>6</v>
      </c>
      <c r="I144" s="31">
        <v>46057</v>
      </c>
      <c r="J144" s="17" t="s">
        <v>164</v>
      </c>
      <c r="K144" s="5">
        <v>40</v>
      </c>
      <c r="L144" s="6">
        <v>25</v>
      </c>
      <c r="M144" s="7">
        <f t="shared" si="135"/>
        <v>65</v>
      </c>
      <c r="N144" s="5">
        <v>35</v>
      </c>
      <c r="O144" s="6">
        <v>20</v>
      </c>
      <c r="P144" s="39">
        <f t="shared" si="136"/>
        <v>55</v>
      </c>
      <c r="Q144" s="7">
        <f t="shared" si="137"/>
        <v>120</v>
      </c>
      <c r="R144" s="49">
        <v>46069</v>
      </c>
    </row>
    <row r="145" spans="1:20" x14ac:dyDescent="0.15">
      <c r="A145" s="17" t="s">
        <v>53</v>
      </c>
      <c r="B145" s="5"/>
      <c r="C145" s="6">
        <v>1</v>
      </c>
      <c r="D145" s="7">
        <f t="shared" si="132"/>
        <v>1</v>
      </c>
      <c r="E145" s="5"/>
      <c r="F145" s="6"/>
      <c r="G145" s="39">
        <f t="shared" si="133"/>
        <v>0</v>
      </c>
      <c r="H145" s="7">
        <f t="shared" si="134"/>
        <v>1</v>
      </c>
      <c r="I145" s="31">
        <v>46055</v>
      </c>
      <c r="J145" s="17" t="s">
        <v>166</v>
      </c>
      <c r="K145" s="5"/>
      <c r="L145" s="6"/>
      <c r="M145" s="7">
        <f t="shared" ref="M145:M157" si="138">SUM(K145:L145)</f>
        <v>0</v>
      </c>
      <c r="N145" s="5">
        <v>253</v>
      </c>
      <c r="O145" s="6">
        <v>165</v>
      </c>
      <c r="P145" s="39">
        <f t="shared" ref="P145:P157" si="139">SUM(N145:O145)</f>
        <v>418</v>
      </c>
      <c r="Q145" s="7">
        <f t="shared" ref="Q145:Q157" si="140">M145+P145</f>
        <v>418</v>
      </c>
      <c r="R145" s="49">
        <v>46071</v>
      </c>
    </row>
    <row r="146" spans="1:20" x14ac:dyDescent="0.15">
      <c r="A146" s="15" t="s">
        <v>142</v>
      </c>
      <c r="B146" s="5">
        <v>3</v>
      </c>
      <c r="C146" s="6"/>
      <c r="D146" s="7">
        <f t="shared" si="132"/>
        <v>3</v>
      </c>
      <c r="E146" s="5">
        <v>3</v>
      </c>
      <c r="F146" s="6"/>
      <c r="G146" s="39">
        <f t="shared" si="133"/>
        <v>3</v>
      </c>
      <c r="H146" s="7">
        <f t="shared" si="134"/>
        <v>6</v>
      </c>
      <c r="I146" s="31">
        <v>46058</v>
      </c>
      <c r="J146" s="17" t="s">
        <v>168</v>
      </c>
      <c r="K146" s="5">
        <v>10</v>
      </c>
      <c r="L146" s="6">
        <v>10</v>
      </c>
      <c r="M146" s="7">
        <f t="shared" si="138"/>
        <v>20</v>
      </c>
      <c r="N146" s="5">
        <v>5</v>
      </c>
      <c r="O146" s="6">
        <v>5</v>
      </c>
      <c r="P146" s="39">
        <f t="shared" si="139"/>
        <v>10</v>
      </c>
      <c r="Q146" s="7">
        <f t="shared" si="140"/>
        <v>30</v>
      </c>
      <c r="R146" s="49">
        <v>46071</v>
      </c>
      <c r="S146" s="32"/>
    </row>
    <row r="147" spans="1:20" x14ac:dyDescent="0.15">
      <c r="A147" s="15" t="s">
        <v>146</v>
      </c>
      <c r="B147" s="5">
        <v>1</v>
      </c>
      <c r="C147" s="6">
        <v>6</v>
      </c>
      <c r="D147" s="7">
        <f t="shared" si="132"/>
        <v>7</v>
      </c>
      <c r="E147" s="5">
        <v>1</v>
      </c>
      <c r="F147" s="6">
        <v>6</v>
      </c>
      <c r="G147" s="39">
        <f t="shared" si="133"/>
        <v>7</v>
      </c>
      <c r="H147" s="7">
        <f t="shared" si="134"/>
        <v>14</v>
      </c>
      <c r="I147" s="88">
        <v>46059</v>
      </c>
      <c r="J147" s="17" t="s">
        <v>171</v>
      </c>
      <c r="K147" s="5"/>
      <c r="L147" s="6">
        <v>10</v>
      </c>
      <c r="M147" s="7">
        <f t="shared" si="138"/>
        <v>10</v>
      </c>
      <c r="N147" s="5"/>
      <c r="O147" s="6"/>
      <c r="P147" s="39">
        <f t="shared" si="139"/>
        <v>0</v>
      </c>
      <c r="Q147" s="7">
        <f t="shared" si="140"/>
        <v>10</v>
      </c>
      <c r="R147" s="49">
        <v>46072</v>
      </c>
      <c r="S147" s="32"/>
    </row>
    <row r="148" spans="1:20" x14ac:dyDescent="0.15">
      <c r="A148" s="17" t="s">
        <v>53</v>
      </c>
      <c r="B148" s="5">
        <v>1</v>
      </c>
      <c r="C148" s="6"/>
      <c r="D148" s="7">
        <f t="shared" si="132"/>
        <v>1</v>
      </c>
      <c r="E148" s="5"/>
      <c r="F148" s="6"/>
      <c r="G148" s="39">
        <f t="shared" si="133"/>
        <v>0</v>
      </c>
      <c r="H148" s="7">
        <f t="shared" si="134"/>
        <v>1</v>
      </c>
      <c r="I148" s="33">
        <v>46058</v>
      </c>
      <c r="J148" s="17" t="s">
        <v>172</v>
      </c>
      <c r="K148" s="5">
        <v>20</v>
      </c>
      <c r="L148" s="6">
        <v>15</v>
      </c>
      <c r="M148" s="7">
        <f t="shared" si="138"/>
        <v>35</v>
      </c>
      <c r="N148" s="5">
        <v>10</v>
      </c>
      <c r="O148" s="6">
        <v>10</v>
      </c>
      <c r="P148" s="39">
        <f t="shared" si="139"/>
        <v>20</v>
      </c>
      <c r="Q148" s="7">
        <f t="shared" si="140"/>
        <v>55</v>
      </c>
      <c r="R148" s="49">
        <v>46079</v>
      </c>
    </row>
    <row r="149" spans="1:20" x14ac:dyDescent="0.15">
      <c r="A149" s="15" t="s">
        <v>148</v>
      </c>
      <c r="B149" s="5">
        <v>6</v>
      </c>
      <c r="C149" s="6"/>
      <c r="D149" s="7">
        <f t="shared" si="132"/>
        <v>6</v>
      </c>
      <c r="E149" s="5">
        <v>6</v>
      </c>
      <c r="F149" s="6"/>
      <c r="G149" s="39">
        <f t="shared" si="133"/>
        <v>6</v>
      </c>
      <c r="H149" s="7">
        <f t="shared" si="134"/>
        <v>12</v>
      </c>
      <c r="I149" s="31">
        <v>46062</v>
      </c>
      <c r="J149" s="17" t="s">
        <v>175</v>
      </c>
      <c r="K149" s="5">
        <v>5</v>
      </c>
      <c r="L149" s="6">
        <v>5</v>
      </c>
      <c r="M149" s="7">
        <f t="shared" si="138"/>
        <v>10</v>
      </c>
      <c r="N149" s="5">
        <v>10</v>
      </c>
      <c r="O149" s="6">
        <v>10</v>
      </c>
      <c r="P149" s="39">
        <f t="shared" si="139"/>
        <v>20</v>
      </c>
      <c r="Q149" s="7">
        <f t="shared" si="140"/>
        <v>30</v>
      </c>
      <c r="R149" s="49">
        <v>46073</v>
      </c>
    </row>
    <row r="150" spans="1:20" x14ac:dyDescent="0.15">
      <c r="A150" s="17" t="s">
        <v>53</v>
      </c>
      <c r="B150" s="5">
        <v>1</v>
      </c>
      <c r="C150" s="6"/>
      <c r="D150" s="7">
        <f t="shared" si="132"/>
        <v>1</v>
      </c>
      <c r="E150" s="5"/>
      <c r="F150" s="6"/>
      <c r="G150" s="39">
        <f t="shared" si="133"/>
        <v>0</v>
      </c>
      <c r="H150" s="7">
        <f t="shared" si="134"/>
        <v>1</v>
      </c>
      <c r="I150" s="33">
        <v>46059</v>
      </c>
      <c r="J150" s="17" t="s">
        <v>151</v>
      </c>
      <c r="K150" s="5"/>
      <c r="L150" s="6"/>
      <c r="M150" s="7">
        <f t="shared" si="138"/>
        <v>0</v>
      </c>
      <c r="N150" s="5">
        <v>5</v>
      </c>
      <c r="O150" s="6">
        <v>5</v>
      </c>
      <c r="P150" s="39">
        <f t="shared" si="139"/>
        <v>10</v>
      </c>
      <c r="Q150" s="7">
        <f t="shared" si="140"/>
        <v>10</v>
      </c>
      <c r="R150" s="51">
        <v>46074</v>
      </c>
    </row>
    <row r="151" spans="1:20" x14ac:dyDescent="0.15">
      <c r="A151" s="17" t="s">
        <v>53</v>
      </c>
      <c r="B151" s="5"/>
      <c r="C151" s="6">
        <v>1</v>
      </c>
      <c r="D151" s="7">
        <f t="shared" si="132"/>
        <v>1</v>
      </c>
      <c r="E151" s="5">
        <v>1</v>
      </c>
      <c r="F151" s="6"/>
      <c r="G151" s="39">
        <f t="shared" si="133"/>
        <v>1</v>
      </c>
      <c r="H151" s="7">
        <f t="shared" si="134"/>
        <v>2</v>
      </c>
      <c r="I151" s="31">
        <v>46062</v>
      </c>
      <c r="J151" s="15" t="s">
        <v>182</v>
      </c>
      <c r="K151" s="5">
        <v>14</v>
      </c>
      <c r="L151" s="6">
        <v>6</v>
      </c>
      <c r="M151" s="7">
        <f t="shared" si="138"/>
        <v>20</v>
      </c>
      <c r="N151" s="5">
        <v>14</v>
      </c>
      <c r="O151" s="6">
        <v>6</v>
      </c>
      <c r="P151" s="39">
        <f t="shared" si="139"/>
        <v>20</v>
      </c>
      <c r="Q151" s="7">
        <f t="shared" si="140"/>
        <v>40</v>
      </c>
      <c r="R151" s="49">
        <v>46084</v>
      </c>
    </row>
    <row r="152" spans="1:20" x14ac:dyDescent="0.15">
      <c r="A152" s="15" t="s">
        <v>161</v>
      </c>
      <c r="B152" s="8"/>
      <c r="C152" s="9">
        <v>1</v>
      </c>
      <c r="D152" s="7">
        <f t="shared" si="132"/>
        <v>1</v>
      </c>
      <c r="E152" s="8"/>
      <c r="F152" s="9">
        <v>1</v>
      </c>
      <c r="G152" s="39">
        <f t="shared" si="133"/>
        <v>1</v>
      </c>
      <c r="H152" s="7">
        <f t="shared" si="134"/>
        <v>2</v>
      </c>
      <c r="I152" s="31">
        <v>46065</v>
      </c>
      <c r="J152" s="17" t="s">
        <v>130</v>
      </c>
      <c r="K152" s="8">
        <v>5</v>
      </c>
      <c r="L152" s="9"/>
      <c r="M152" s="7">
        <f t="shared" si="138"/>
        <v>5</v>
      </c>
      <c r="N152" s="8">
        <v>5</v>
      </c>
      <c r="O152" s="9"/>
      <c r="P152" s="39">
        <f t="shared" si="139"/>
        <v>5</v>
      </c>
      <c r="Q152" s="7">
        <f t="shared" si="140"/>
        <v>10</v>
      </c>
      <c r="R152" s="49">
        <v>46079</v>
      </c>
    </row>
    <row r="153" spans="1:20" x14ac:dyDescent="0.15">
      <c r="A153" s="17" t="s">
        <v>53</v>
      </c>
      <c r="B153" s="5">
        <v>1</v>
      </c>
      <c r="C153" s="6"/>
      <c r="D153" s="7">
        <f t="shared" si="132"/>
        <v>1</v>
      </c>
      <c r="E153" s="5">
        <v>1</v>
      </c>
      <c r="F153" s="6">
        <v>1</v>
      </c>
      <c r="G153" s="39">
        <f t="shared" si="133"/>
        <v>2</v>
      </c>
      <c r="H153" s="7">
        <f t="shared" si="134"/>
        <v>3</v>
      </c>
      <c r="I153" s="33">
        <v>46065</v>
      </c>
      <c r="J153" s="17" t="s">
        <v>130</v>
      </c>
      <c r="K153" s="5">
        <v>3</v>
      </c>
      <c r="L153" s="6">
        <v>3</v>
      </c>
      <c r="M153" s="7">
        <f t="shared" si="138"/>
        <v>6</v>
      </c>
      <c r="N153" s="5"/>
      <c r="O153" s="6"/>
      <c r="P153" s="39">
        <f t="shared" si="139"/>
        <v>0</v>
      </c>
      <c r="Q153" s="7">
        <f t="shared" si="140"/>
        <v>6</v>
      </c>
      <c r="R153" s="49">
        <v>46084</v>
      </c>
    </row>
    <row r="154" spans="1:20" x14ac:dyDescent="0.15">
      <c r="A154" s="15" t="s">
        <v>163</v>
      </c>
      <c r="B154" s="5"/>
      <c r="C154" s="6">
        <v>1</v>
      </c>
      <c r="D154" s="7">
        <f t="shared" si="132"/>
        <v>1</v>
      </c>
      <c r="E154" s="5"/>
      <c r="F154" s="6">
        <v>1</v>
      </c>
      <c r="G154" s="39">
        <f t="shared" si="133"/>
        <v>1</v>
      </c>
      <c r="H154" s="7">
        <f t="shared" si="134"/>
        <v>2</v>
      </c>
      <c r="I154" s="31">
        <v>46069</v>
      </c>
      <c r="J154" s="64" t="s">
        <v>130</v>
      </c>
      <c r="K154" s="65">
        <v>5</v>
      </c>
      <c r="L154" s="66">
        <v>5</v>
      </c>
      <c r="M154" s="67">
        <f t="shared" si="138"/>
        <v>10</v>
      </c>
      <c r="N154" s="65"/>
      <c r="O154" s="66"/>
      <c r="P154" s="68">
        <f t="shared" si="139"/>
        <v>0</v>
      </c>
      <c r="Q154" s="67">
        <f t="shared" si="140"/>
        <v>10</v>
      </c>
      <c r="R154" s="69">
        <v>46085</v>
      </c>
    </row>
    <row r="155" spans="1:20" x14ac:dyDescent="0.15">
      <c r="A155" s="15" t="s">
        <v>165</v>
      </c>
      <c r="B155" s="5">
        <v>1</v>
      </c>
      <c r="C155" s="6">
        <v>3</v>
      </c>
      <c r="D155" s="7">
        <f t="shared" si="132"/>
        <v>4</v>
      </c>
      <c r="E155" s="5">
        <v>1</v>
      </c>
      <c r="F155" s="6">
        <v>3</v>
      </c>
      <c r="G155" s="39">
        <f t="shared" si="133"/>
        <v>4</v>
      </c>
      <c r="H155" s="7">
        <f t="shared" si="134"/>
        <v>8</v>
      </c>
      <c r="I155" s="31">
        <v>46071</v>
      </c>
      <c r="J155" s="15" t="s">
        <v>189</v>
      </c>
      <c r="K155" s="5">
        <v>13</v>
      </c>
      <c r="L155" s="6">
        <v>1</v>
      </c>
      <c r="M155" s="7">
        <f t="shared" si="138"/>
        <v>14</v>
      </c>
      <c r="N155" s="5">
        <v>13</v>
      </c>
      <c r="O155" s="6">
        <v>1</v>
      </c>
      <c r="P155" s="39">
        <f t="shared" si="139"/>
        <v>14</v>
      </c>
      <c r="Q155" s="7">
        <f t="shared" si="140"/>
        <v>28</v>
      </c>
      <c r="R155" s="49">
        <v>46087</v>
      </c>
      <c r="S155" s="32"/>
    </row>
    <row r="156" spans="1:20" x14ac:dyDescent="0.15">
      <c r="A156" s="17" t="s">
        <v>53</v>
      </c>
      <c r="B156" s="5">
        <v>1</v>
      </c>
      <c r="C156" s="6"/>
      <c r="D156" s="7">
        <f t="shared" si="132"/>
        <v>1</v>
      </c>
      <c r="E156" s="5"/>
      <c r="F156" s="6"/>
      <c r="G156" s="39">
        <f t="shared" si="133"/>
        <v>0</v>
      </c>
      <c r="H156" s="7">
        <f t="shared" si="134"/>
        <v>1</v>
      </c>
      <c r="I156" s="31">
        <v>46069</v>
      </c>
      <c r="J156" s="15" t="s">
        <v>190</v>
      </c>
      <c r="K156" s="5">
        <v>14</v>
      </c>
      <c r="L156" s="6">
        <v>8</v>
      </c>
      <c r="M156" s="7">
        <f t="shared" si="138"/>
        <v>22</v>
      </c>
      <c r="N156" s="5">
        <v>14</v>
      </c>
      <c r="O156" s="6">
        <v>8</v>
      </c>
      <c r="P156" s="39">
        <f t="shared" si="139"/>
        <v>22</v>
      </c>
      <c r="Q156" s="7">
        <f t="shared" si="140"/>
        <v>44</v>
      </c>
      <c r="R156" s="49">
        <v>46087</v>
      </c>
      <c r="S156" s="32"/>
    </row>
    <row r="157" spans="1:20" x14ac:dyDescent="0.15">
      <c r="A157" s="15" t="s">
        <v>167</v>
      </c>
      <c r="B157" s="5">
        <v>5</v>
      </c>
      <c r="C157" s="6">
        <v>5</v>
      </c>
      <c r="D157" s="7">
        <f t="shared" si="132"/>
        <v>10</v>
      </c>
      <c r="E157" s="5">
        <v>5</v>
      </c>
      <c r="F157" s="6">
        <v>5</v>
      </c>
      <c r="G157" s="39">
        <f t="shared" si="133"/>
        <v>10</v>
      </c>
      <c r="H157" s="7">
        <f t="shared" si="134"/>
        <v>20</v>
      </c>
      <c r="I157" s="31">
        <v>46071</v>
      </c>
      <c r="J157" s="17" t="s">
        <v>130</v>
      </c>
      <c r="K157" s="5">
        <v>10</v>
      </c>
      <c r="L157" s="6"/>
      <c r="M157" s="7">
        <f t="shared" si="138"/>
        <v>10</v>
      </c>
      <c r="N157" s="5">
        <v>10</v>
      </c>
      <c r="O157" s="6">
        <v>5</v>
      </c>
      <c r="P157" s="39">
        <f t="shared" si="139"/>
        <v>15</v>
      </c>
      <c r="Q157" s="7">
        <f t="shared" si="140"/>
        <v>25</v>
      </c>
      <c r="R157" s="49">
        <v>46087</v>
      </c>
      <c r="S157" s="32"/>
      <c r="T157" s="32"/>
    </row>
    <row r="158" spans="1:20" x14ac:dyDescent="0.15">
      <c r="A158" s="15" t="s">
        <v>169</v>
      </c>
      <c r="B158" s="5">
        <v>2</v>
      </c>
      <c r="C158" s="6"/>
      <c r="D158" s="7">
        <f t="shared" si="132"/>
        <v>2</v>
      </c>
      <c r="E158" s="5">
        <v>2</v>
      </c>
      <c r="F158" s="6"/>
      <c r="G158" s="39">
        <f t="shared" si="133"/>
        <v>2</v>
      </c>
      <c r="H158" s="7">
        <f t="shared" si="134"/>
        <v>4</v>
      </c>
      <c r="I158" s="31">
        <v>46072</v>
      </c>
      <c r="J158" s="17" t="s">
        <v>194</v>
      </c>
      <c r="K158" s="5">
        <v>5</v>
      </c>
      <c r="L158" s="6">
        <v>10</v>
      </c>
      <c r="M158" s="7">
        <f t="shared" ref="M158" si="141">SUM(K158:L158)</f>
        <v>15</v>
      </c>
      <c r="N158" s="5">
        <v>10</v>
      </c>
      <c r="O158" s="6"/>
      <c r="P158" s="39">
        <f t="shared" ref="P158" si="142">SUM(N158:O158)</f>
        <v>10</v>
      </c>
      <c r="Q158" s="7">
        <f t="shared" ref="Q158" si="143">M158+P158</f>
        <v>25</v>
      </c>
      <c r="R158" s="49">
        <v>46091</v>
      </c>
    </row>
    <row r="159" spans="1:20" x14ac:dyDescent="0.15">
      <c r="A159" s="15" t="s">
        <v>170</v>
      </c>
      <c r="B159" s="5"/>
      <c r="C159" s="6">
        <v>1</v>
      </c>
      <c r="D159" s="7">
        <f t="shared" si="132"/>
        <v>1</v>
      </c>
      <c r="E159" s="5"/>
      <c r="F159" s="6">
        <v>1</v>
      </c>
      <c r="G159" s="39">
        <f t="shared" si="133"/>
        <v>1</v>
      </c>
      <c r="H159" s="7">
        <f t="shared" si="134"/>
        <v>2</v>
      </c>
      <c r="I159" s="31">
        <v>46073</v>
      </c>
      <c r="J159" s="64" t="s">
        <v>130</v>
      </c>
      <c r="K159" s="65"/>
      <c r="L159" s="66">
        <v>5</v>
      </c>
      <c r="M159" s="67">
        <f t="shared" ref="M159:M160" si="144">SUM(K159:L159)</f>
        <v>5</v>
      </c>
      <c r="N159" s="65"/>
      <c r="O159" s="66"/>
      <c r="P159" s="68">
        <f t="shared" ref="P159:P160" si="145">SUM(N159:O159)</f>
        <v>0</v>
      </c>
      <c r="Q159" s="67">
        <f t="shared" ref="Q159:Q160" si="146">M159+P159</f>
        <v>5</v>
      </c>
      <c r="R159" s="69">
        <v>46091</v>
      </c>
    </row>
    <row r="160" spans="1:20" x14ac:dyDescent="0.15">
      <c r="A160" s="15" t="s">
        <v>174</v>
      </c>
      <c r="B160" s="5">
        <v>1</v>
      </c>
      <c r="C160" s="6">
        <v>2</v>
      </c>
      <c r="D160" s="7">
        <f t="shared" si="132"/>
        <v>3</v>
      </c>
      <c r="E160" s="5">
        <v>1</v>
      </c>
      <c r="F160" s="6">
        <v>2</v>
      </c>
      <c r="G160" s="39">
        <f t="shared" si="133"/>
        <v>3</v>
      </c>
      <c r="H160" s="7">
        <f t="shared" si="134"/>
        <v>6</v>
      </c>
      <c r="I160" s="31">
        <v>46073</v>
      </c>
      <c r="J160" s="64" t="s">
        <v>130</v>
      </c>
      <c r="K160" s="65">
        <v>5</v>
      </c>
      <c r="L160" s="66">
        <v>5</v>
      </c>
      <c r="M160" s="67">
        <f t="shared" si="144"/>
        <v>10</v>
      </c>
      <c r="N160" s="65">
        <v>5</v>
      </c>
      <c r="O160" s="66">
        <v>5</v>
      </c>
      <c r="P160" s="68">
        <f t="shared" si="145"/>
        <v>10</v>
      </c>
      <c r="Q160" s="67">
        <f t="shared" si="146"/>
        <v>20</v>
      </c>
      <c r="R160" s="69">
        <v>46092</v>
      </c>
    </row>
    <row r="161" spans="1:19" x14ac:dyDescent="0.15">
      <c r="A161" s="14" t="s">
        <v>53</v>
      </c>
      <c r="B161" s="5"/>
      <c r="C161" s="6">
        <v>1</v>
      </c>
      <c r="D161" s="7">
        <f t="shared" si="132"/>
        <v>1</v>
      </c>
      <c r="E161" s="5">
        <v>1</v>
      </c>
      <c r="F161" s="6"/>
      <c r="G161" s="39">
        <f t="shared" si="133"/>
        <v>1</v>
      </c>
      <c r="H161" s="7">
        <f t="shared" si="134"/>
        <v>2</v>
      </c>
      <c r="I161" s="31">
        <v>46072</v>
      </c>
      <c r="J161" s="64" t="s">
        <v>130</v>
      </c>
      <c r="K161" s="65">
        <v>10</v>
      </c>
      <c r="L161" s="66">
        <v>5</v>
      </c>
      <c r="M161" s="67">
        <f t="shared" ref="M161" si="147">SUM(K161:L161)</f>
        <v>15</v>
      </c>
      <c r="N161" s="65">
        <v>10</v>
      </c>
      <c r="O161" s="66">
        <v>5</v>
      </c>
      <c r="P161" s="68">
        <f t="shared" ref="P161" si="148">SUM(N161:O161)</f>
        <v>15</v>
      </c>
      <c r="Q161" s="67">
        <f t="shared" ref="Q161" si="149">M161+P161</f>
        <v>30</v>
      </c>
      <c r="R161" s="69">
        <v>46093</v>
      </c>
      <c r="S161" s="74"/>
    </row>
    <row r="162" spans="1:19" x14ac:dyDescent="0.15">
      <c r="A162" s="15" t="s">
        <v>176</v>
      </c>
      <c r="B162" s="5"/>
      <c r="C162" s="6">
        <v>1</v>
      </c>
      <c r="D162" s="7">
        <f t="shared" si="132"/>
        <v>1</v>
      </c>
      <c r="E162" s="5"/>
      <c r="F162" s="6">
        <v>1</v>
      </c>
      <c r="G162" s="39">
        <f t="shared" si="133"/>
        <v>1</v>
      </c>
      <c r="H162" s="7">
        <f t="shared" si="134"/>
        <v>2</v>
      </c>
      <c r="I162" s="31">
        <v>46077</v>
      </c>
      <c r="J162" s="17" t="s">
        <v>144</v>
      </c>
      <c r="K162" s="5"/>
      <c r="L162" s="6"/>
      <c r="M162" s="7">
        <f t="shared" ref="M162" si="150">SUM(K162:L162)</f>
        <v>0</v>
      </c>
      <c r="N162" s="5"/>
      <c r="O162" s="6"/>
      <c r="P162" s="39">
        <f t="shared" ref="P162" si="151">SUM(N162:O162)</f>
        <v>0</v>
      </c>
      <c r="Q162" s="7">
        <f t="shared" ref="Q162" si="152">M162+P162</f>
        <v>0</v>
      </c>
      <c r="R162" s="50" t="s">
        <v>145</v>
      </c>
    </row>
    <row r="163" spans="1:19" x14ac:dyDescent="0.15">
      <c r="A163" s="14" t="s">
        <v>53</v>
      </c>
      <c r="B163" s="5">
        <v>2</v>
      </c>
      <c r="C163" s="6"/>
      <c r="D163" s="7">
        <f t="shared" si="132"/>
        <v>2</v>
      </c>
      <c r="E163" s="5"/>
      <c r="F163" s="6"/>
      <c r="G163" s="39">
        <f t="shared" si="133"/>
        <v>0</v>
      </c>
      <c r="H163" s="7">
        <f t="shared" si="134"/>
        <v>2</v>
      </c>
      <c r="I163" s="31">
        <v>46073</v>
      </c>
      <c r="J163" s="58" t="s">
        <v>93</v>
      </c>
      <c r="K163" s="59"/>
      <c r="L163" s="60"/>
      <c r="M163" s="61">
        <f t="shared" ref="M163:M166" si="153">SUM(K163:L163)</f>
        <v>0</v>
      </c>
      <c r="N163" s="59"/>
      <c r="O163" s="60"/>
      <c r="P163" s="62">
        <f t="shared" ref="P163:P166" si="154">SUM(N163:O163)</f>
        <v>0</v>
      </c>
      <c r="Q163" s="61">
        <f t="shared" ref="Q163:Q166" si="155">M163+P163</f>
        <v>0</v>
      </c>
      <c r="R163" s="79"/>
    </row>
    <row r="164" spans="1:19" x14ac:dyDescent="0.15">
      <c r="A164" s="15" t="s">
        <v>178</v>
      </c>
      <c r="B164" s="8">
        <v>2</v>
      </c>
      <c r="C164" s="9"/>
      <c r="D164" s="7">
        <f t="shared" si="132"/>
        <v>2</v>
      </c>
      <c r="E164" s="8">
        <v>2</v>
      </c>
      <c r="F164" s="9"/>
      <c r="G164" s="39">
        <f t="shared" si="133"/>
        <v>2</v>
      </c>
      <c r="H164" s="7">
        <f t="shared" si="134"/>
        <v>4</v>
      </c>
      <c r="I164" s="31">
        <v>46079</v>
      </c>
      <c r="J164" s="15" t="s">
        <v>60</v>
      </c>
      <c r="K164" s="5"/>
      <c r="L164" s="6"/>
      <c r="M164" s="7">
        <f t="shared" si="153"/>
        <v>0</v>
      </c>
      <c r="N164" s="5"/>
      <c r="O164" s="6"/>
      <c r="P164" s="39">
        <f t="shared" si="154"/>
        <v>0</v>
      </c>
      <c r="Q164" s="7">
        <f t="shared" si="155"/>
        <v>0</v>
      </c>
      <c r="R164" s="50" t="s">
        <v>61</v>
      </c>
    </row>
    <row r="165" spans="1:19" x14ac:dyDescent="0.15">
      <c r="A165" s="17" t="s">
        <v>179</v>
      </c>
      <c r="B165" s="5"/>
      <c r="C165" s="6"/>
      <c r="D165" s="7">
        <f t="shared" si="132"/>
        <v>0</v>
      </c>
      <c r="E165" s="5"/>
      <c r="F165" s="6">
        <v>1</v>
      </c>
      <c r="G165" s="39">
        <f t="shared" si="133"/>
        <v>1</v>
      </c>
      <c r="H165" s="7">
        <f t="shared" si="134"/>
        <v>1</v>
      </c>
      <c r="I165" s="31">
        <v>46078</v>
      </c>
      <c r="J165" s="93" t="s">
        <v>91</v>
      </c>
      <c r="K165" s="59"/>
      <c r="L165" s="60"/>
      <c r="M165" s="61">
        <f t="shared" si="153"/>
        <v>0</v>
      </c>
      <c r="N165" s="59"/>
      <c r="O165" s="60"/>
      <c r="P165" s="62">
        <f t="shared" si="154"/>
        <v>0</v>
      </c>
      <c r="Q165" s="61">
        <f t="shared" si="155"/>
        <v>0</v>
      </c>
      <c r="R165" s="79"/>
      <c r="S165" s="32"/>
    </row>
    <row r="166" spans="1:19" x14ac:dyDescent="0.15">
      <c r="A166" s="3" t="s">
        <v>53</v>
      </c>
      <c r="B166" s="5">
        <v>4</v>
      </c>
      <c r="C166" s="6"/>
      <c r="D166" s="7">
        <f t="shared" si="132"/>
        <v>4</v>
      </c>
      <c r="E166" s="5">
        <v>2</v>
      </c>
      <c r="F166" s="6">
        <v>1</v>
      </c>
      <c r="G166" s="39">
        <f t="shared" si="133"/>
        <v>3</v>
      </c>
      <c r="H166" s="7">
        <f t="shared" si="134"/>
        <v>7</v>
      </c>
      <c r="I166" s="33">
        <v>46077</v>
      </c>
      <c r="J166" s="14" t="s">
        <v>86</v>
      </c>
      <c r="K166" s="5"/>
      <c r="L166" s="6"/>
      <c r="M166" s="7">
        <f t="shared" si="153"/>
        <v>0</v>
      </c>
      <c r="N166" s="5"/>
      <c r="O166" s="6"/>
      <c r="P166" s="39">
        <f t="shared" si="154"/>
        <v>0</v>
      </c>
      <c r="Q166" s="7">
        <f t="shared" si="155"/>
        <v>0</v>
      </c>
      <c r="R166" s="50" t="s">
        <v>87</v>
      </c>
      <c r="S166" s="32"/>
    </row>
    <row r="167" spans="1:19" x14ac:dyDescent="0.15">
      <c r="A167" s="15" t="s">
        <v>181</v>
      </c>
      <c r="B167" s="5">
        <v>1</v>
      </c>
      <c r="C167" s="6"/>
      <c r="D167" s="7">
        <f t="shared" si="132"/>
        <v>1</v>
      </c>
      <c r="E167" s="5">
        <v>1</v>
      </c>
      <c r="F167" s="6"/>
      <c r="G167" s="39">
        <f t="shared" si="133"/>
        <v>1</v>
      </c>
      <c r="H167" s="7">
        <f t="shared" si="134"/>
        <v>2</v>
      </c>
      <c r="I167" s="31">
        <v>46080</v>
      </c>
      <c r="J167" s="80" t="s">
        <v>92</v>
      </c>
      <c r="K167" s="59"/>
      <c r="L167" s="60"/>
      <c r="M167" s="61">
        <f t="shared" ref="M167:M168" si="156">SUM(K167:L167)</f>
        <v>0</v>
      </c>
      <c r="N167" s="59"/>
      <c r="O167" s="60"/>
      <c r="P167" s="62">
        <f t="shared" ref="P167:P168" si="157">SUM(N167:O167)</f>
        <v>0</v>
      </c>
      <c r="Q167" s="61">
        <f t="shared" ref="Q167:Q168" si="158">M167+P167</f>
        <v>0</v>
      </c>
      <c r="R167" s="50"/>
    </row>
    <row r="168" spans="1:19" ht="14.25" thickBot="1" x14ac:dyDescent="0.2">
      <c r="A168" s="15" t="s">
        <v>184</v>
      </c>
      <c r="B168" s="5"/>
      <c r="C168" s="6">
        <v>1</v>
      </c>
      <c r="D168" s="7">
        <f t="shared" si="132"/>
        <v>1</v>
      </c>
      <c r="E168" s="5"/>
      <c r="F168" s="6">
        <v>1</v>
      </c>
      <c r="G168" s="39">
        <f t="shared" si="133"/>
        <v>1</v>
      </c>
      <c r="H168" s="12">
        <f t="shared" si="134"/>
        <v>2</v>
      </c>
      <c r="I168" s="31">
        <v>46080</v>
      </c>
      <c r="J168" s="17" t="s">
        <v>82</v>
      </c>
      <c r="K168" s="5"/>
      <c r="L168" s="6"/>
      <c r="M168" s="7">
        <f t="shared" si="156"/>
        <v>0</v>
      </c>
      <c r="N168" s="5"/>
      <c r="O168" s="6"/>
      <c r="P168" s="39">
        <f t="shared" si="157"/>
        <v>0</v>
      </c>
      <c r="Q168" s="7">
        <f t="shared" si="158"/>
        <v>0</v>
      </c>
      <c r="R168" s="50" t="s">
        <v>109</v>
      </c>
    </row>
    <row r="169" spans="1:19" ht="14.25" thickBot="1" x14ac:dyDescent="0.2">
      <c r="A169" s="26" t="s">
        <v>14</v>
      </c>
      <c r="B169" s="27">
        <f>SUM(B143:B168)</f>
        <v>35</v>
      </c>
      <c r="C169" s="28">
        <f>SUM(C143:C168)</f>
        <v>24</v>
      </c>
      <c r="D169" s="29">
        <f t="shared" si="132"/>
        <v>59</v>
      </c>
      <c r="E169" s="27">
        <f>SUM(E143:E168)</f>
        <v>32</v>
      </c>
      <c r="F169" s="28">
        <f>SUM(F143:F168)</f>
        <v>24</v>
      </c>
      <c r="G169" s="29">
        <f t="shared" si="133"/>
        <v>56</v>
      </c>
      <c r="H169" s="30">
        <f t="shared" si="134"/>
        <v>115</v>
      </c>
      <c r="J169" s="26" t="s">
        <v>14</v>
      </c>
      <c r="K169" s="27">
        <f>SUM(K143:K168)</f>
        <v>179</v>
      </c>
      <c r="L169" s="28">
        <f t="shared" ref="L169:Q169" si="159">SUM(L143:L168)</f>
        <v>133</v>
      </c>
      <c r="M169" s="29">
        <f t="shared" si="159"/>
        <v>312</v>
      </c>
      <c r="N169" s="27">
        <f t="shared" si="159"/>
        <v>419</v>
      </c>
      <c r="O169" s="28">
        <f t="shared" si="159"/>
        <v>265</v>
      </c>
      <c r="P169" s="29">
        <f t="shared" si="159"/>
        <v>684</v>
      </c>
      <c r="Q169" s="30">
        <f t="shared" si="159"/>
        <v>996</v>
      </c>
    </row>
    <row r="170" spans="1:19" ht="14.25" thickBot="1" x14ac:dyDescent="0.2">
      <c r="A170" s="13" t="s">
        <v>15</v>
      </c>
      <c r="B170" s="36">
        <f>B142-B169</f>
        <v>5</v>
      </c>
      <c r="C170" s="37">
        <f t="shared" ref="C170:D170" si="160">C142-C169</f>
        <v>8</v>
      </c>
      <c r="D170" s="38">
        <f t="shared" si="160"/>
        <v>13</v>
      </c>
      <c r="E170" s="36">
        <f>E142-E169</f>
        <v>7</v>
      </c>
      <c r="F170" s="37">
        <f t="shared" ref="F170:G170" si="161">F142-F169</f>
        <v>10</v>
      </c>
      <c r="G170" s="38">
        <f t="shared" si="161"/>
        <v>17</v>
      </c>
      <c r="H170" s="21">
        <f t="shared" si="134"/>
        <v>30</v>
      </c>
      <c r="J170" s="13" t="s">
        <v>15</v>
      </c>
      <c r="K170" s="36">
        <f>K142-K169</f>
        <v>715</v>
      </c>
      <c r="L170" s="53">
        <f t="shared" ref="L170:Q170" si="162">L142-L169</f>
        <v>732</v>
      </c>
      <c r="M170" s="54">
        <f t="shared" si="162"/>
        <v>1447</v>
      </c>
      <c r="N170" s="36">
        <f t="shared" si="162"/>
        <v>670</v>
      </c>
      <c r="O170" s="53">
        <f t="shared" si="162"/>
        <v>798</v>
      </c>
      <c r="P170" s="54">
        <f t="shared" si="162"/>
        <v>1468</v>
      </c>
      <c r="Q170" s="21">
        <f t="shared" si="162"/>
        <v>2915</v>
      </c>
      <c r="R170" s="73" t="s">
        <v>183</v>
      </c>
    </row>
    <row r="173" spans="1:19" ht="19.5" thickBot="1" x14ac:dyDescent="0.25">
      <c r="A173" s="57" t="s">
        <v>48</v>
      </c>
      <c r="B173" s="57"/>
      <c r="C173" s="57"/>
      <c r="D173" s="57"/>
      <c r="E173" s="42"/>
      <c r="F173" s="42"/>
      <c r="G173" s="42"/>
      <c r="H173" s="42"/>
      <c r="J173" s="55" t="s">
        <v>47</v>
      </c>
      <c r="K173" s="55"/>
      <c r="L173" s="55"/>
      <c r="M173" s="55"/>
      <c r="N173" s="55"/>
      <c r="O173" s="56"/>
      <c r="P173" s="56" t="s">
        <v>41</v>
      </c>
      <c r="Q173" s="56"/>
    </row>
    <row r="174" spans="1:19" ht="14.25" thickBot="1" x14ac:dyDescent="0.2">
      <c r="A174" s="4" t="s">
        <v>0</v>
      </c>
      <c r="B174" s="107" t="s">
        <v>18</v>
      </c>
      <c r="C174" s="108"/>
      <c r="D174" s="109"/>
      <c r="E174" s="110" t="s">
        <v>19</v>
      </c>
      <c r="F174" s="111"/>
      <c r="G174" s="112"/>
      <c r="H174" s="105" t="s">
        <v>1</v>
      </c>
      <c r="J174" s="4" t="s">
        <v>0</v>
      </c>
      <c r="K174" s="107" t="s">
        <v>18</v>
      </c>
      <c r="L174" s="108"/>
      <c r="M174" s="109"/>
      <c r="N174" s="110" t="s">
        <v>19</v>
      </c>
      <c r="O174" s="111"/>
      <c r="P174" s="112"/>
      <c r="Q174" s="105" t="s">
        <v>1</v>
      </c>
    </row>
    <row r="175" spans="1:19" ht="14.25" thickBot="1" x14ac:dyDescent="0.2">
      <c r="A175" s="4" t="s">
        <v>2</v>
      </c>
      <c r="B175" s="1" t="s">
        <v>16</v>
      </c>
      <c r="C175" s="2" t="s">
        <v>17</v>
      </c>
      <c r="D175" s="4" t="s">
        <v>3</v>
      </c>
      <c r="E175" s="1" t="s">
        <v>16</v>
      </c>
      <c r="F175" s="2" t="s">
        <v>17</v>
      </c>
      <c r="G175" s="4" t="s">
        <v>3</v>
      </c>
      <c r="H175" s="106"/>
      <c r="J175" s="4" t="s">
        <v>2</v>
      </c>
      <c r="K175" s="1" t="s">
        <v>16</v>
      </c>
      <c r="L175" s="2" t="s">
        <v>17</v>
      </c>
      <c r="M175" s="4" t="s">
        <v>3</v>
      </c>
      <c r="N175" s="1" t="s">
        <v>16</v>
      </c>
      <c r="O175" s="2" t="s">
        <v>17</v>
      </c>
      <c r="P175" s="4" t="s">
        <v>3</v>
      </c>
      <c r="Q175" s="106"/>
    </row>
    <row r="176" spans="1:19" ht="14.25" thickBot="1" x14ac:dyDescent="0.2">
      <c r="A176" s="18" t="s">
        <v>15</v>
      </c>
      <c r="B176" s="19">
        <f>B170</f>
        <v>5</v>
      </c>
      <c r="C176" s="20">
        <f t="shared" ref="C176" si="163">C170</f>
        <v>8</v>
      </c>
      <c r="D176" s="21">
        <f t="shared" ref="D176:D184" si="164">SUM(B176:C176)</f>
        <v>13</v>
      </c>
      <c r="E176" s="19">
        <f>E170</f>
        <v>7</v>
      </c>
      <c r="F176" s="20">
        <f t="shared" ref="F176" si="165">F170</f>
        <v>10</v>
      </c>
      <c r="G176" s="21">
        <f t="shared" ref="G176:G184" si="166">SUM(E176:F176)</f>
        <v>17</v>
      </c>
      <c r="H176" s="21">
        <f t="shared" ref="H176:H184" si="167">D176+G176</f>
        <v>30</v>
      </c>
      <c r="J176" s="18" t="s">
        <v>15</v>
      </c>
      <c r="K176" s="19">
        <f>K170</f>
        <v>715</v>
      </c>
      <c r="L176" s="20">
        <f t="shared" ref="L176:Q176" si="168">L170</f>
        <v>732</v>
      </c>
      <c r="M176" s="21">
        <f t="shared" si="168"/>
        <v>1447</v>
      </c>
      <c r="N176" s="19">
        <f t="shared" si="168"/>
        <v>670</v>
      </c>
      <c r="O176" s="20">
        <f t="shared" si="168"/>
        <v>798</v>
      </c>
      <c r="P176" s="21">
        <f t="shared" si="168"/>
        <v>1468</v>
      </c>
      <c r="Q176" s="21">
        <f t="shared" si="168"/>
        <v>2915</v>
      </c>
    </row>
    <row r="177" spans="1:19" x14ac:dyDescent="0.15">
      <c r="A177" s="70" t="s">
        <v>5</v>
      </c>
      <c r="B177" s="75">
        <v>5</v>
      </c>
      <c r="C177" s="76"/>
      <c r="D177" s="77">
        <f t="shared" si="164"/>
        <v>5</v>
      </c>
      <c r="E177" s="75">
        <v>5</v>
      </c>
      <c r="F177" s="76"/>
      <c r="G177" s="78">
        <f t="shared" si="166"/>
        <v>5</v>
      </c>
      <c r="H177" s="77">
        <f t="shared" si="167"/>
        <v>10</v>
      </c>
      <c r="I177" s="71">
        <v>46079</v>
      </c>
      <c r="J177" s="16" t="s">
        <v>5</v>
      </c>
      <c r="K177" s="10"/>
      <c r="L177" s="11"/>
      <c r="M177" s="43">
        <f t="shared" ref="M177:M184" si="169">SUM(K177:L177)</f>
        <v>0</v>
      </c>
      <c r="N177" s="10"/>
      <c r="O177" s="11"/>
      <c r="P177" s="44">
        <f t="shared" ref="P177:P184" si="170">SUM(N177:O177)</f>
        <v>0</v>
      </c>
      <c r="Q177" s="43">
        <f t="shared" ref="Q177:Q184" si="171">M177+P177</f>
        <v>0</v>
      </c>
    </row>
    <row r="178" spans="1:19" x14ac:dyDescent="0.15">
      <c r="A178" s="16" t="s">
        <v>180</v>
      </c>
      <c r="B178" s="5"/>
      <c r="C178" s="6"/>
      <c r="D178" s="7">
        <f t="shared" si="164"/>
        <v>0</v>
      </c>
      <c r="E178" s="5">
        <v>2</v>
      </c>
      <c r="F178" s="6"/>
      <c r="G178" s="39">
        <f t="shared" si="166"/>
        <v>2</v>
      </c>
      <c r="H178" s="7">
        <f t="shared" si="167"/>
        <v>2</v>
      </c>
      <c r="I178" s="33">
        <v>46077</v>
      </c>
      <c r="J178" s="16" t="s">
        <v>6</v>
      </c>
      <c r="K178" s="5"/>
      <c r="L178" s="6"/>
      <c r="M178" s="7">
        <f t="shared" si="169"/>
        <v>0</v>
      </c>
      <c r="N178" s="5"/>
      <c r="O178" s="6"/>
      <c r="P178" s="39">
        <f t="shared" si="170"/>
        <v>0</v>
      </c>
      <c r="Q178" s="7">
        <f t="shared" si="171"/>
        <v>0</v>
      </c>
    </row>
    <row r="179" spans="1:19" x14ac:dyDescent="0.15">
      <c r="A179" s="16" t="s">
        <v>102</v>
      </c>
      <c r="B179" s="5">
        <v>2</v>
      </c>
      <c r="C179" s="6">
        <v>1</v>
      </c>
      <c r="D179" s="7">
        <f t="shared" si="164"/>
        <v>3</v>
      </c>
      <c r="E179" s="5">
        <v>2</v>
      </c>
      <c r="F179" s="6">
        <v>1</v>
      </c>
      <c r="G179" s="39">
        <f t="shared" si="166"/>
        <v>3</v>
      </c>
      <c r="H179" s="7">
        <f t="shared" si="167"/>
        <v>6</v>
      </c>
      <c r="I179" s="31">
        <v>46077</v>
      </c>
      <c r="J179" s="16" t="s">
        <v>115</v>
      </c>
      <c r="K179" s="5">
        <v>750</v>
      </c>
      <c r="L179" s="6">
        <v>550</v>
      </c>
      <c r="M179" s="7">
        <f t="shared" si="169"/>
        <v>1300</v>
      </c>
      <c r="N179" s="5"/>
      <c r="O179" s="6"/>
      <c r="P179" s="39">
        <f t="shared" si="170"/>
        <v>0</v>
      </c>
      <c r="Q179" s="7">
        <f t="shared" si="171"/>
        <v>1300</v>
      </c>
      <c r="R179" s="49" t="s">
        <v>214</v>
      </c>
    </row>
    <row r="180" spans="1:19" x14ac:dyDescent="0.15">
      <c r="A180" s="16" t="s">
        <v>8</v>
      </c>
      <c r="B180" s="5">
        <v>3</v>
      </c>
      <c r="C180" s="6">
        <v>3</v>
      </c>
      <c r="D180" s="7">
        <f t="shared" si="164"/>
        <v>6</v>
      </c>
      <c r="E180" s="5"/>
      <c r="F180" s="6"/>
      <c r="G180" s="39">
        <f t="shared" si="166"/>
        <v>0</v>
      </c>
      <c r="H180" s="7">
        <f t="shared" si="167"/>
        <v>6</v>
      </c>
      <c r="I180" s="31">
        <v>46084</v>
      </c>
      <c r="J180" s="16" t="s">
        <v>42</v>
      </c>
      <c r="K180" s="5">
        <v>-56</v>
      </c>
      <c r="L180" s="6">
        <v>-36</v>
      </c>
      <c r="M180" s="7">
        <f t="shared" si="169"/>
        <v>-92</v>
      </c>
      <c r="N180" s="5"/>
      <c r="O180" s="6"/>
      <c r="P180" s="39">
        <f t="shared" si="170"/>
        <v>0</v>
      </c>
      <c r="Q180" s="7">
        <f t="shared" si="171"/>
        <v>-92</v>
      </c>
      <c r="R180" s="50" t="s">
        <v>177</v>
      </c>
    </row>
    <row r="181" spans="1:19" x14ac:dyDescent="0.15">
      <c r="A181" s="70" t="s">
        <v>9</v>
      </c>
      <c r="B181" s="65">
        <v>5</v>
      </c>
      <c r="C181" s="66">
        <v>5</v>
      </c>
      <c r="D181" s="67">
        <f t="shared" si="164"/>
        <v>10</v>
      </c>
      <c r="E181" s="65"/>
      <c r="F181" s="66"/>
      <c r="G181" s="68">
        <f t="shared" si="166"/>
        <v>0</v>
      </c>
      <c r="H181" s="67">
        <f t="shared" si="167"/>
        <v>10</v>
      </c>
      <c r="I181" s="71">
        <v>46085</v>
      </c>
      <c r="J181" s="16" t="s">
        <v>9</v>
      </c>
      <c r="K181" s="5"/>
      <c r="L181" s="6"/>
      <c r="M181" s="7">
        <f t="shared" si="169"/>
        <v>0</v>
      </c>
      <c r="N181" s="5"/>
      <c r="O181" s="6"/>
      <c r="P181" s="39">
        <f t="shared" si="170"/>
        <v>0</v>
      </c>
      <c r="Q181" s="7">
        <f t="shared" si="171"/>
        <v>0</v>
      </c>
    </row>
    <row r="182" spans="1:19" x14ac:dyDescent="0.15">
      <c r="A182" s="16" t="s">
        <v>10</v>
      </c>
      <c r="B182" s="5">
        <v>10</v>
      </c>
      <c r="C182" s="6"/>
      <c r="D182" s="7">
        <f t="shared" si="164"/>
        <v>10</v>
      </c>
      <c r="E182" s="5">
        <v>10</v>
      </c>
      <c r="F182" s="6">
        <v>5</v>
      </c>
      <c r="G182" s="39">
        <f t="shared" si="166"/>
        <v>15</v>
      </c>
      <c r="H182" s="7">
        <f t="shared" si="167"/>
        <v>25</v>
      </c>
      <c r="I182" s="31">
        <v>46087</v>
      </c>
      <c r="J182" s="16" t="s">
        <v>10</v>
      </c>
      <c r="K182" s="5"/>
      <c r="L182" s="6"/>
      <c r="M182" s="7">
        <f t="shared" si="169"/>
        <v>0</v>
      </c>
      <c r="N182" s="5"/>
      <c r="O182" s="6"/>
      <c r="P182" s="39">
        <f t="shared" si="170"/>
        <v>0</v>
      </c>
      <c r="Q182" s="7">
        <f t="shared" si="171"/>
        <v>0</v>
      </c>
    </row>
    <row r="183" spans="1:19" x14ac:dyDescent="0.15">
      <c r="A183" s="70" t="s">
        <v>11</v>
      </c>
      <c r="B183" s="83"/>
      <c r="C183" s="84">
        <v>5</v>
      </c>
      <c r="D183" s="67">
        <f t="shared" si="164"/>
        <v>5</v>
      </c>
      <c r="E183" s="83"/>
      <c r="F183" s="84"/>
      <c r="G183" s="68">
        <f t="shared" si="166"/>
        <v>0</v>
      </c>
      <c r="H183" s="67">
        <f t="shared" si="167"/>
        <v>5</v>
      </c>
      <c r="I183" s="71">
        <v>46091</v>
      </c>
      <c r="J183" s="16" t="s">
        <v>11</v>
      </c>
      <c r="K183" s="8"/>
      <c r="L183" s="9"/>
      <c r="M183" s="7">
        <f t="shared" si="169"/>
        <v>0</v>
      </c>
      <c r="N183" s="8"/>
      <c r="O183" s="9"/>
      <c r="P183" s="39">
        <f t="shared" si="170"/>
        <v>0</v>
      </c>
      <c r="Q183" s="7">
        <f t="shared" si="171"/>
        <v>0</v>
      </c>
    </row>
    <row r="184" spans="1:19" ht="14.25" thickBot="1" x14ac:dyDescent="0.2">
      <c r="A184" s="70" t="s">
        <v>12</v>
      </c>
      <c r="B184" s="85">
        <v>5</v>
      </c>
      <c r="C184" s="86">
        <v>5</v>
      </c>
      <c r="D184" s="67">
        <f t="shared" si="164"/>
        <v>10</v>
      </c>
      <c r="E184" s="85">
        <v>5</v>
      </c>
      <c r="F184" s="86">
        <v>5</v>
      </c>
      <c r="G184" s="68">
        <f t="shared" si="166"/>
        <v>10</v>
      </c>
      <c r="H184" s="87">
        <f t="shared" si="167"/>
        <v>20</v>
      </c>
      <c r="I184" s="71">
        <v>46092</v>
      </c>
      <c r="J184" s="16" t="s">
        <v>12</v>
      </c>
      <c r="K184" s="22"/>
      <c r="L184" s="23"/>
      <c r="M184" s="7">
        <f t="shared" si="169"/>
        <v>0</v>
      </c>
      <c r="N184" s="22"/>
      <c r="O184" s="23"/>
      <c r="P184" s="39">
        <f t="shared" si="170"/>
        <v>0</v>
      </c>
      <c r="Q184" s="12">
        <f t="shared" si="171"/>
        <v>0</v>
      </c>
    </row>
    <row r="185" spans="1:19" ht="14.25" thickBot="1" x14ac:dyDescent="0.2">
      <c r="A185" s="24" t="s">
        <v>13</v>
      </c>
      <c r="B185" s="19">
        <f>SUM(B176:B184)</f>
        <v>35</v>
      </c>
      <c r="C185" s="20">
        <f t="shared" ref="C185:H185" si="172">SUM(C176:C184)</f>
        <v>27</v>
      </c>
      <c r="D185" s="41">
        <f t="shared" si="172"/>
        <v>62</v>
      </c>
      <c r="E185" s="19">
        <f t="shared" si="172"/>
        <v>31</v>
      </c>
      <c r="F185" s="20">
        <f t="shared" si="172"/>
        <v>21</v>
      </c>
      <c r="G185" s="40">
        <f t="shared" si="172"/>
        <v>52</v>
      </c>
      <c r="H185" s="21">
        <f t="shared" si="172"/>
        <v>114</v>
      </c>
      <c r="J185" s="24" t="s">
        <v>13</v>
      </c>
      <c r="K185" s="19">
        <f>SUM(K176:K184)</f>
        <v>1409</v>
      </c>
      <c r="L185" s="52">
        <f t="shared" ref="L185:Q185" si="173">SUM(L176:L184)</f>
        <v>1246</v>
      </c>
      <c r="M185" s="21">
        <f t="shared" si="173"/>
        <v>2655</v>
      </c>
      <c r="N185" s="19">
        <f t="shared" si="173"/>
        <v>670</v>
      </c>
      <c r="O185" s="52">
        <f t="shared" si="173"/>
        <v>798</v>
      </c>
      <c r="P185" s="21">
        <f t="shared" si="173"/>
        <v>1468</v>
      </c>
      <c r="Q185" s="21">
        <f t="shared" si="173"/>
        <v>4123</v>
      </c>
    </row>
    <row r="186" spans="1:19" x14ac:dyDescent="0.15">
      <c r="A186" s="17" t="s">
        <v>53</v>
      </c>
      <c r="B186" s="5">
        <v>1</v>
      </c>
      <c r="C186" s="6"/>
      <c r="D186" s="7">
        <f t="shared" ref="D186:D212" si="174">SUM(B186:C186)</f>
        <v>1</v>
      </c>
      <c r="E186" s="5"/>
      <c r="F186" s="6"/>
      <c r="G186" s="39">
        <f t="shared" ref="G186:G212" si="175">SUM(E186:F186)</f>
        <v>0</v>
      </c>
      <c r="H186" s="7">
        <f t="shared" ref="H186:H213" si="176">D186+G186</f>
        <v>1</v>
      </c>
      <c r="I186" s="33">
        <v>46079</v>
      </c>
      <c r="J186" s="17" t="s">
        <v>197</v>
      </c>
      <c r="K186" s="5">
        <v>150</v>
      </c>
      <c r="L186" s="6">
        <v>25</v>
      </c>
      <c r="M186" s="7">
        <f t="shared" ref="M186" si="177">SUM(K186:L186)</f>
        <v>175</v>
      </c>
      <c r="N186" s="5">
        <v>60</v>
      </c>
      <c r="O186" s="6">
        <v>15</v>
      </c>
      <c r="P186" s="39">
        <f t="shared" ref="P186" si="178">SUM(N186:O186)</f>
        <v>75</v>
      </c>
      <c r="Q186" s="7">
        <f t="shared" ref="Q186" si="179">M186+P186</f>
        <v>250</v>
      </c>
      <c r="R186" s="49">
        <v>46093</v>
      </c>
    </row>
    <row r="187" spans="1:19" x14ac:dyDescent="0.15">
      <c r="A187" s="15" t="s">
        <v>185</v>
      </c>
      <c r="B187" s="5">
        <v>1</v>
      </c>
      <c r="C187" s="6"/>
      <c r="D187" s="7">
        <f t="shared" si="174"/>
        <v>1</v>
      </c>
      <c r="E187" s="5">
        <v>1</v>
      </c>
      <c r="F187" s="6"/>
      <c r="G187" s="39">
        <f t="shared" si="175"/>
        <v>1</v>
      </c>
      <c r="H187" s="7">
        <f t="shared" si="176"/>
        <v>2</v>
      </c>
      <c r="I187" s="31">
        <v>46083</v>
      </c>
      <c r="J187" s="15" t="s">
        <v>202</v>
      </c>
      <c r="K187" s="5">
        <v>5</v>
      </c>
      <c r="L187" s="6"/>
      <c r="M187" s="7">
        <f t="shared" ref="M187:M200" si="180">SUM(K187:L187)</f>
        <v>5</v>
      </c>
      <c r="N187" s="5">
        <v>5</v>
      </c>
      <c r="O187" s="6"/>
      <c r="P187" s="39">
        <f t="shared" ref="P187:P200" si="181">SUM(N187:O187)</f>
        <v>5</v>
      </c>
      <c r="Q187" s="7">
        <f t="shared" ref="Q187:Q200" si="182">M187+P187</f>
        <v>10</v>
      </c>
      <c r="R187" s="49">
        <v>46097</v>
      </c>
    </row>
    <row r="188" spans="1:19" x14ac:dyDescent="0.15">
      <c r="A188" s="17" t="s">
        <v>53</v>
      </c>
      <c r="B188" s="5"/>
      <c r="C188" s="6">
        <v>1</v>
      </c>
      <c r="D188" s="7">
        <f t="shared" si="174"/>
        <v>1</v>
      </c>
      <c r="E188" s="5"/>
      <c r="F188" s="6"/>
      <c r="G188" s="39">
        <f t="shared" si="175"/>
        <v>0</v>
      </c>
      <c r="H188" s="7">
        <f t="shared" si="176"/>
        <v>1</v>
      </c>
      <c r="I188" s="33">
        <v>46080</v>
      </c>
      <c r="J188" s="17" t="s">
        <v>203</v>
      </c>
      <c r="K188" s="5"/>
      <c r="L188" s="6">
        <v>20</v>
      </c>
      <c r="M188" s="7">
        <f t="shared" si="180"/>
        <v>20</v>
      </c>
      <c r="N188" s="5">
        <v>15</v>
      </c>
      <c r="O188" s="6">
        <v>25</v>
      </c>
      <c r="P188" s="39">
        <f t="shared" si="181"/>
        <v>40</v>
      </c>
      <c r="Q188" s="7">
        <f t="shared" si="182"/>
        <v>60</v>
      </c>
      <c r="R188" s="49">
        <v>46095</v>
      </c>
      <c r="S188" s="32"/>
    </row>
    <row r="189" spans="1:19" x14ac:dyDescent="0.15">
      <c r="A189" s="15" t="s">
        <v>186</v>
      </c>
      <c r="B189" s="5"/>
      <c r="C189" s="6">
        <v>1</v>
      </c>
      <c r="D189" s="7">
        <f t="shared" si="174"/>
        <v>1</v>
      </c>
      <c r="E189" s="5"/>
      <c r="F189" s="6">
        <v>1</v>
      </c>
      <c r="G189" s="39">
        <f t="shared" si="175"/>
        <v>1</v>
      </c>
      <c r="H189" s="7">
        <f t="shared" si="176"/>
        <v>2</v>
      </c>
      <c r="I189" s="31">
        <v>46085</v>
      </c>
      <c r="J189" s="17" t="s">
        <v>130</v>
      </c>
      <c r="K189" s="5">
        <v>5</v>
      </c>
      <c r="L189" s="6"/>
      <c r="M189" s="7">
        <f t="shared" si="180"/>
        <v>5</v>
      </c>
      <c r="N189" s="5">
        <v>5</v>
      </c>
      <c r="O189" s="6"/>
      <c r="P189" s="39">
        <f t="shared" si="181"/>
        <v>5</v>
      </c>
      <c r="Q189" s="7">
        <f t="shared" si="182"/>
        <v>10</v>
      </c>
      <c r="R189" s="49">
        <v>46097</v>
      </c>
    </row>
    <row r="190" spans="1:19" x14ac:dyDescent="0.15">
      <c r="A190" s="17" t="s">
        <v>187</v>
      </c>
      <c r="B190" s="5">
        <v>1</v>
      </c>
      <c r="C190" s="6"/>
      <c r="D190" s="7">
        <f t="shared" si="174"/>
        <v>1</v>
      </c>
      <c r="E190" s="5">
        <v>1</v>
      </c>
      <c r="F190" s="6"/>
      <c r="G190" s="39">
        <f t="shared" si="175"/>
        <v>1</v>
      </c>
      <c r="H190" s="7">
        <f t="shared" si="176"/>
        <v>2</v>
      </c>
      <c r="I190" s="31">
        <v>46084</v>
      </c>
      <c r="J190" s="17" t="s">
        <v>130</v>
      </c>
      <c r="K190" s="5"/>
      <c r="L190" s="6"/>
      <c r="M190" s="7">
        <f t="shared" si="180"/>
        <v>0</v>
      </c>
      <c r="N190" s="5">
        <v>5</v>
      </c>
      <c r="O190" s="6"/>
      <c r="P190" s="39">
        <f t="shared" si="181"/>
        <v>5</v>
      </c>
      <c r="Q190" s="7">
        <f t="shared" si="182"/>
        <v>5</v>
      </c>
      <c r="R190" s="49">
        <v>46107</v>
      </c>
    </row>
    <row r="191" spans="1:19" x14ac:dyDescent="0.15">
      <c r="A191" s="17" t="s">
        <v>53</v>
      </c>
      <c r="B191" s="5">
        <v>4</v>
      </c>
      <c r="C191" s="6">
        <v>2</v>
      </c>
      <c r="D191" s="7">
        <f t="shared" si="174"/>
        <v>6</v>
      </c>
      <c r="E191" s="5">
        <v>2</v>
      </c>
      <c r="F191" s="6"/>
      <c r="G191" s="39">
        <f t="shared" si="175"/>
        <v>2</v>
      </c>
      <c r="H191" s="7">
        <f t="shared" si="176"/>
        <v>8</v>
      </c>
      <c r="I191" s="33">
        <v>46083</v>
      </c>
      <c r="J191" s="17"/>
      <c r="K191" s="5"/>
      <c r="L191" s="6"/>
      <c r="M191" s="7">
        <f t="shared" si="180"/>
        <v>0</v>
      </c>
      <c r="N191" s="5"/>
      <c r="O191" s="6"/>
      <c r="P191" s="39">
        <f t="shared" si="181"/>
        <v>0</v>
      </c>
      <c r="Q191" s="7">
        <f t="shared" si="182"/>
        <v>0</v>
      </c>
    </row>
    <row r="192" spans="1:19" x14ac:dyDescent="0.15">
      <c r="A192" s="15" t="s">
        <v>188</v>
      </c>
      <c r="B192" s="5">
        <v>3</v>
      </c>
      <c r="C192" s="6">
        <v>1</v>
      </c>
      <c r="D192" s="7">
        <f t="shared" si="174"/>
        <v>4</v>
      </c>
      <c r="E192" s="5">
        <v>3</v>
      </c>
      <c r="F192" s="6">
        <v>1</v>
      </c>
      <c r="G192" s="39">
        <f t="shared" si="175"/>
        <v>4</v>
      </c>
      <c r="H192" s="7">
        <f t="shared" si="176"/>
        <v>8</v>
      </c>
      <c r="I192" s="31">
        <v>46086</v>
      </c>
      <c r="J192" s="17"/>
      <c r="K192" s="5"/>
      <c r="L192" s="6"/>
      <c r="M192" s="7">
        <f t="shared" si="180"/>
        <v>0</v>
      </c>
      <c r="N192" s="5"/>
      <c r="O192" s="6"/>
      <c r="P192" s="39">
        <f t="shared" si="181"/>
        <v>0</v>
      </c>
      <c r="Q192" s="7">
        <f t="shared" si="182"/>
        <v>0</v>
      </c>
    </row>
    <row r="193" spans="1:18" x14ac:dyDescent="0.15">
      <c r="A193" s="17" t="s">
        <v>44</v>
      </c>
      <c r="B193" s="5">
        <v>1</v>
      </c>
      <c r="C193" s="6">
        <v>1</v>
      </c>
      <c r="D193" s="7">
        <f t="shared" si="174"/>
        <v>2</v>
      </c>
      <c r="E193" s="5">
        <v>1</v>
      </c>
      <c r="F193" s="6">
        <v>1</v>
      </c>
      <c r="G193" s="39">
        <f t="shared" si="175"/>
        <v>2</v>
      </c>
      <c r="H193" s="7">
        <f t="shared" si="176"/>
        <v>4</v>
      </c>
      <c r="I193" s="31">
        <v>46085</v>
      </c>
      <c r="J193" s="17"/>
      <c r="K193" s="5"/>
      <c r="L193" s="6"/>
      <c r="M193" s="7">
        <f t="shared" si="180"/>
        <v>0</v>
      </c>
      <c r="N193" s="5"/>
      <c r="O193" s="6"/>
      <c r="P193" s="39">
        <f t="shared" si="181"/>
        <v>0</v>
      </c>
      <c r="Q193" s="7">
        <f t="shared" si="182"/>
        <v>0</v>
      </c>
    </row>
    <row r="194" spans="1:18" x14ac:dyDescent="0.15">
      <c r="A194" s="17" t="s">
        <v>53</v>
      </c>
      <c r="B194" s="5">
        <v>1</v>
      </c>
      <c r="C194" s="6"/>
      <c r="D194" s="7">
        <f t="shared" si="174"/>
        <v>1</v>
      </c>
      <c r="E194" s="5">
        <v>1</v>
      </c>
      <c r="F194" s="6"/>
      <c r="G194" s="39">
        <f t="shared" si="175"/>
        <v>1</v>
      </c>
      <c r="H194" s="7">
        <f t="shared" si="176"/>
        <v>2</v>
      </c>
      <c r="I194" s="33">
        <v>46084</v>
      </c>
      <c r="J194" s="17"/>
      <c r="K194" s="5"/>
      <c r="L194" s="6"/>
      <c r="M194" s="7">
        <f t="shared" si="180"/>
        <v>0</v>
      </c>
      <c r="N194" s="5"/>
      <c r="O194" s="6"/>
      <c r="P194" s="39">
        <f t="shared" si="181"/>
        <v>0</v>
      </c>
      <c r="Q194" s="7">
        <f t="shared" si="182"/>
        <v>0</v>
      </c>
    </row>
    <row r="195" spans="1:18" x14ac:dyDescent="0.15">
      <c r="A195" s="17" t="s">
        <v>53</v>
      </c>
      <c r="B195" s="8"/>
      <c r="C195" s="9"/>
      <c r="D195" s="7">
        <f t="shared" si="174"/>
        <v>0</v>
      </c>
      <c r="E195" s="8"/>
      <c r="F195" s="9">
        <v>1</v>
      </c>
      <c r="G195" s="39">
        <f t="shared" si="175"/>
        <v>1</v>
      </c>
      <c r="H195" s="7">
        <f t="shared" si="176"/>
        <v>1</v>
      </c>
      <c r="I195" s="31">
        <v>46085</v>
      </c>
      <c r="J195" s="17"/>
      <c r="K195" s="8"/>
      <c r="L195" s="9"/>
      <c r="M195" s="7">
        <f t="shared" si="180"/>
        <v>0</v>
      </c>
      <c r="N195" s="8"/>
      <c r="O195" s="9"/>
      <c r="P195" s="39">
        <f t="shared" si="181"/>
        <v>0</v>
      </c>
      <c r="Q195" s="7">
        <f t="shared" si="182"/>
        <v>0</v>
      </c>
    </row>
    <row r="196" spans="1:18" x14ac:dyDescent="0.15">
      <c r="A196" s="15" t="s">
        <v>191</v>
      </c>
      <c r="B196" s="5">
        <v>3</v>
      </c>
      <c r="C196" s="6"/>
      <c r="D196" s="7">
        <f t="shared" si="174"/>
        <v>3</v>
      </c>
      <c r="E196" s="5">
        <v>3</v>
      </c>
      <c r="F196" s="6"/>
      <c r="G196" s="39">
        <f t="shared" si="175"/>
        <v>3</v>
      </c>
      <c r="H196" s="7">
        <f t="shared" si="176"/>
        <v>6</v>
      </c>
      <c r="I196" s="31">
        <v>46087</v>
      </c>
      <c r="J196" s="17"/>
      <c r="K196" s="5"/>
      <c r="L196" s="6"/>
      <c r="M196" s="7">
        <f t="shared" si="180"/>
        <v>0</v>
      </c>
      <c r="N196" s="5"/>
      <c r="O196" s="6"/>
      <c r="P196" s="39">
        <f t="shared" si="181"/>
        <v>0</v>
      </c>
      <c r="Q196" s="7">
        <f t="shared" si="182"/>
        <v>0</v>
      </c>
    </row>
    <row r="197" spans="1:18" x14ac:dyDescent="0.15">
      <c r="A197" s="17" t="s">
        <v>53</v>
      </c>
      <c r="B197" s="5">
        <v>1</v>
      </c>
      <c r="C197" s="6">
        <v>1</v>
      </c>
      <c r="D197" s="7">
        <f t="shared" si="174"/>
        <v>2</v>
      </c>
      <c r="E197" s="5"/>
      <c r="F197" s="6"/>
      <c r="G197" s="39">
        <f t="shared" si="175"/>
        <v>0</v>
      </c>
      <c r="H197" s="7">
        <f t="shared" si="176"/>
        <v>2</v>
      </c>
      <c r="I197" s="31">
        <v>46086</v>
      </c>
      <c r="J197" s="17"/>
      <c r="K197" s="5"/>
      <c r="L197" s="6"/>
      <c r="M197" s="7">
        <f t="shared" si="180"/>
        <v>0</v>
      </c>
      <c r="N197" s="5"/>
      <c r="O197" s="6"/>
      <c r="P197" s="39">
        <f t="shared" si="181"/>
        <v>0</v>
      </c>
      <c r="Q197" s="7">
        <f t="shared" si="182"/>
        <v>0</v>
      </c>
    </row>
    <row r="198" spans="1:18" x14ac:dyDescent="0.15">
      <c r="A198" s="15" t="s">
        <v>192</v>
      </c>
      <c r="B198" s="5">
        <v>3</v>
      </c>
      <c r="C198" s="6">
        <v>2</v>
      </c>
      <c r="D198" s="7">
        <f t="shared" si="174"/>
        <v>5</v>
      </c>
      <c r="E198" s="5">
        <v>3</v>
      </c>
      <c r="F198" s="6">
        <v>2</v>
      </c>
      <c r="G198" s="39">
        <f t="shared" si="175"/>
        <v>5</v>
      </c>
      <c r="H198" s="7">
        <f t="shared" si="176"/>
        <v>10</v>
      </c>
      <c r="I198" s="31">
        <v>46090</v>
      </c>
      <c r="J198" s="15"/>
      <c r="K198" s="5"/>
      <c r="L198" s="6"/>
      <c r="M198" s="7">
        <f t="shared" si="180"/>
        <v>0</v>
      </c>
      <c r="N198" s="5"/>
      <c r="O198" s="6"/>
      <c r="P198" s="39">
        <f t="shared" si="181"/>
        <v>0</v>
      </c>
      <c r="Q198" s="7">
        <f t="shared" si="182"/>
        <v>0</v>
      </c>
    </row>
    <row r="199" spans="1:18" x14ac:dyDescent="0.15">
      <c r="A199" s="17" t="s">
        <v>44</v>
      </c>
      <c r="B199" s="5">
        <v>1</v>
      </c>
      <c r="C199" s="6"/>
      <c r="D199" s="7">
        <f t="shared" si="174"/>
        <v>1</v>
      </c>
      <c r="E199" s="5"/>
      <c r="F199" s="6"/>
      <c r="G199" s="39">
        <f t="shared" si="175"/>
        <v>0</v>
      </c>
      <c r="H199" s="7">
        <f t="shared" si="176"/>
        <v>1</v>
      </c>
      <c r="I199" s="31">
        <v>46088</v>
      </c>
      <c r="J199" s="17"/>
      <c r="K199" s="5"/>
      <c r="L199" s="6"/>
      <c r="M199" s="7">
        <f t="shared" si="180"/>
        <v>0</v>
      </c>
      <c r="N199" s="5"/>
      <c r="O199" s="6"/>
      <c r="P199" s="39">
        <f t="shared" si="181"/>
        <v>0</v>
      </c>
      <c r="Q199" s="7">
        <f t="shared" si="182"/>
        <v>0</v>
      </c>
    </row>
    <row r="200" spans="1:18" x14ac:dyDescent="0.15">
      <c r="A200" s="15" t="s">
        <v>195</v>
      </c>
      <c r="B200" s="5">
        <v>2</v>
      </c>
      <c r="C200" s="6"/>
      <c r="D200" s="7">
        <f t="shared" si="174"/>
        <v>2</v>
      </c>
      <c r="E200" s="5">
        <v>2</v>
      </c>
      <c r="F200" s="6"/>
      <c r="G200" s="39">
        <f t="shared" si="175"/>
        <v>2</v>
      </c>
      <c r="H200" s="7">
        <f t="shared" si="176"/>
        <v>4</v>
      </c>
      <c r="I200" s="31">
        <v>46091</v>
      </c>
      <c r="J200" s="17"/>
      <c r="K200" s="5"/>
      <c r="L200" s="6"/>
      <c r="M200" s="7">
        <f t="shared" si="180"/>
        <v>0</v>
      </c>
      <c r="N200" s="5"/>
      <c r="O200" s="6"/>
      <c r="P200" s="39">
        <f t="shared" si="181"/>
        <v>0</v>
      </c>
      <c r="Q200" s="7">
        <f t="shared" si="182"/>
        <v>0</v>
      </c>
    </row>
    <row r="201" spans="1:18" x14ac:dyDescent="0.15">
      <c r="A201" s="15" t="s">
        <v>53</v>
      </c>
      <c r="B201" s="5"/>
      <c r="C201" s="6">
        <v>2</v>
      </c>
      <c r="D201" s="7">
        <f t="shared" si="174"/>
        <v>2</v>
      </c>
      <c r="E201" s="5">
        <v>2</v>
      </c>
      <c r="F201" s="6"/>
      <c r="G201" s="39">
        <f t="shared" si="175"/>
        <v>2</v>
      </c>
      <c r="H201" s="7">
        <f t="shared" si="176"/>
        <v>4</v>
      </c>
      <c r="I201" s="31">
        <v>46090</v>
      </c>
      <c r="J201" s="17"/>
      <c r="K201" s="5"/>
      <c r="L201" s="6"/>
      <c r="M201" s="7">
        <f t="shared" ref="M201:M205" si="183">SUM(K201:L201)</f>
        <v>0</v>
      </c>
      <c r="N201" s="5"/>
      <c r="O201" s="6"/>
      <c r="P201" s="39">
        <f t="shared" ref="P201:P205" si="184">SUM(N201:O201)</f>
        <v>0</v>
      </c>
      <c r="Q201" s="7">
        <f t="shared" ref="Q201:Q205" si="185">M201+P201</f>
        <v>0</v>
      </c>
    </row>
    <row r="202" spans="1:18" x14ac:dyDescent="0.15">
      <c r="A202" s="15" t="s">
        <v>196</v>
      </c>
      <c r="B202" s="5">
        <v>4</v>
      </c>
      <c r="C202" s="6">
        <v>4</v>
      </c>
      <c r="D202" s="7">
        <f t="shared" si="174"/>
        <v>8</v>
      </c>
      <c r="E202" s="5">
        <v>4</v>
      </c>
      <c r="F202" s="6">
        <v>4</v>
      </c>
      <c r="G202" s="39">
        <f t="shared" si="175"/>
        <v>8</v>
      </c>
      <c r="H202" s="7">
        <f t="shared" si="176"/>
        <v>16</v>
      </c>
      <c r="I202" s="31">
        <v>46093</v>
      </c>
      <c r="J202" s="17"/>
      <c r="K202" s="5"/>
      <c r="L202" s="6"/>
      <c r="M202" s="7">
        <f t="shared" si="183"/>
        <v>0</v>
      </c>
      <c r="N202" s="5"/>
      <c r="O202" s="6"/>
      <c r="P202" s="39">
        <f t="shared" si="184"/>
        <v>0</v>
      </c>
      <c r="Q202" s="7">
        <f t="shared" si="185"/>
        <v>0</v>
      </c>
    </row>
    <row r="203" spans="1:18" x14ac:dyDescent="0.15">
      <c r="A203" s="17" t="s">
        <v>53</v>
      </c>
      <c r="B203" s="5"/>
      <c r="C203" s="6">
        <v>1</v>
      </c>
      <c r="D203" s="7">
        <f t="shared" si="174"/>
        <v>1</v>
      </c>
      <c r="E203" s="5">
        <v>1</v>
      </c>
      <c r="F203" s="6">
        <v>1</v>
      </c>
      <c r="G203" s="39">
        <f t="shared" si="175"/>
        <v>2</v>
      </c>
      <c r="H203" s="7">
        <f t="shared" si="176"/>
        <v>3</v>
      </c>
      <c r="I203" s="33">
        <v>46091</v>
      </c>
      <c r="J203" s="17"/>
      <c r="K203" s="5"/>
      <c r="L203" s="6"/>
      <c r="M203" s="7">
        <f t="shared" si="183"/>
        <v>0</v>
      </c>
      <c r="N203" s="5"/>
      <c r="O203" s="6"/>
      <c r="P203" s="39">
        <f t="shared" si="184"/>
        <v>0</v>
      </c>
      <c r="Q203" s="7">
        <f t="shared" si="185"/>
        <v>0</v>
      </c>
    </row>
    <row r="204" spans="1:18" x14ac:dyDescent="0.15">
      <c r="A204" s="15" t="s">
        <v>198</v>
      </c>
      <c r="B204" s="5">
        <v>1</v>
      </c>
      <c r="C204" s="6"/>
      <c r="D204" s="7">
        <f t="shared" si="174"/>
        <v>1</v>
      </c>
      <c r="E204" s="5">
        <v>1</v>
      </c>
      <c r="F204" s="6"/>
      <c r="G204" s="39">
        <f t="shared" si="175"/>
        <v>1</v>
      </c>
      <c r="H204" s="7">
        <f t="shared" si="176"/>
        <v>2</v>
      </c>
      <c r="I204" s="31">
        <v>46094</v>
      </c>
      <c r="J204" s="17"/>
      <c r="K204" s="5"/>
      <c r="L204" s="6"/>
      <c r="M204" s="7">
        <f t="shared" si="183"/>
        <v>0</v>
      </c>
      <c r="N204" s="5"/>
      <c r="O204" s="6"/>
      <c r="P204" s="39">
        <f t="shared" si="184"/>
        <v>0</v>
      </c>
      <c r="Q204" s="7">
        <f t="shared" si="185"/>
        <v>0</v>
      </c>
    </row>
    <row r="205" spans="1:18" x14ac:dyDescent="0.15">
      <c r="A205" s="14" t="s">
        <v>53</v>
      </c>
      <c r="B205" s="5">
        <v>1</v>
      </c>
      <c r="C205" s="6">
        <v>1</v>
      </c>
      <c r="D205" s="7">
        <f t="shared" si="174"/>
        <v>2</v>
      </c>
      <c r="E205" s="5">
        <v>1</v>
      </c>
      <c r="F205" s="6">
        <v>1</v>
      </c>
      <c r="G205" s="39">
        <f t="shared" si="175"/>
        <v>2</v>
      </c>
      <c r="H205" s="7">
        <f t="shared" si="176"/>
        <v>4</v>
      </c>
      <c r="I205" s="33">
        <v>46092</v>
      </c>
      <c r="J205" s="17"/>
      <c r="K205" s="5"/>
      <c r="L205" s="6"/>
      <c r="M205" s="7">
        <f t="shared" si="183"/>
        <v>0</v>
      </c>
      <c r="N205" s="5"/>
      <c r="O205" s="6"/>
      <c r="P205" s="39">
        <f t="shared" si="184"/>
        <v>0</v>
      </c>
      <c r="Q205" s="7">
        <f t="shared" si="185"/>
        <v>0</v>
      </c>
    </row>
    <row r="206" spans="1:18" x14ac:dyDescent="0.15">
      <c r="A206" s="81" t="s">
        <v>199</v>
      </c>
      <c r="B206" s="65">
        <v>-10</v>
      </c>
      <c r="C206" s="66">
        <v>-5</v>
      </c>
      <c r="D206" s="67">
        <f t="shared" si="174"/>
        <v>-15</v>
      </c>
      <c r="E206" s="65">
        <v>-10</v>
      </c>
      <c r="F206" s="66">
        <v>-5</v>
      </c>
      <c r="G206" s="68">
        <f t="shared" si="175"/>
        <v>-15</v>
      </c>
      <c r="H206" s="67">
        <f t="shared" si="176"/>
        <v>-30</v>
      </c>
      <c r="I206" s="71">
        <v>46093</v>
      </c>
      <c r="J206" s="17"/>
      <c r="K206" s="5"/>
      <c r="L206" s="6"/>
      <c r="M206" s="7">
        <f t="shared" ref="M206:M207" si="186">SUM(K206:L206)</f>
        <v>0</v>
      </c>
      <c r="N206" s="5"/>
      <c r="O206" s="6"/>
      <c r="P206" s="39">
        <f t="shared" ref="P206:P207" si="187">SUM(N206:O206)</f>
        <v>0</v>
      </c>
      <c r="Q206" s="7">
        <f t="shared" ref="Q206:Q207" si="188">M206+P206</f>
        <v>0</v>
      </c>
    </row>
    <row r="207" spans="1:18" x14ac:dyDescent="0.15">
      <c r="A207" s="15" t="s">
        <v>200</v>
      </c>
      <c r="B207" s="8">
        <v>4</v>
      </c>
      <c r="C207" s="9"/>
      <c r="D207" s="7">
        <f t="shared" si="174"/>
        <v>4</v>
      </c>
      <c r="E207" s="8">
        <v>4</v>
      </c>
      <c r="F207" s="9"/>
      <c r="G207" s="39">
        <f t="shared" si="175"/>
        <v>4</v>
      </c>
      <c r="H207" s="7">
        <f t="shared" si="176"/>
        <v>8</v>
      </c>
      <c r="I207" s="31">
        <v>46094</v>
      </c>
      <c r="J207" s="17"/>
      <c r="K207" s="5"/>
      <c r="L207" s="6"/>
      <c r="M207" s="7">
        <f t="shared" si="186"/>
        <v>0</v>
      </c>
      <c r="N207" s="5"/>
      <c r="O207" s="6"/>
      <c r="P207" s="39">
        <f t="shared" si="187"/>
        <v>0</v>
      </c>
      <c r="Q207" s="7">
        <f t="shared" si="188"/>
        <v>0</v>
      </c>
    </row>
    <row r="208" spans="1:18" x14ac:dyDescent="0.15">
      <c r="A208" s="16" t="s">
        <v>102</v>
      </c>
      <c r="B208" s="5">
        <v>-2</v>
      </c>
      <c r="C208" s="6"/>
      <c r="D208" s="7">
        <f t="shared" si="174"/>
        <v>-2</v>
      </c>
      <c r="E208" s="5">
        <v>-2</v>
      </c>
      <c r="F208" s="6"/>
      <c r="G208" s="39">
        <f t="shared" si="175"/>
        <v>-2</v>
      </c>
      <c r="H208" s="7">
        <f t="shared" si="176"/>
        <v>-4</v>
      </c>
      <c r="I208" s="33">
        <v>46090</v>
      </c>
      <c r="J208" s="80" t="s">
        <v>193</v>
      </c>
      <c r="K208" s="59"/>
      <c r="L208" s="60"/>
      <c r="M208" s="61">
        <f t="shared" ref="M208:M211" si="189">SUM(K208:L208)</f>
        <v>0</v>
      </c>
      <c r="N208" s="59"/>
      <c r="O208" s="60"/>
      <c r="P208" s="62">
        <f t="shared" ref="P208:P211" si="190">SUM(N208:O208)</f>
        <v>0</v>
      </c>
      <c r="Q208" s="61">
        <f t="shared" ref="Q208:Q211" si="191">M208+P208</f>
        <v>0</v>
      </c>
      <c r="R208" s="50"/>
    </row>
    <row r="209" spans="1:18" x14ac:dyDescent="0.15">
      <c r="A209" s="15" t="s">
        <v>201</v>
      </c>
      <c r="B209" s="5">
        <v>3</v>
      </c>
      <c r="C209" s="6"/>
      <c r="D209" s="7">
        <f t="shared" si="174"/>
        <v>3</v>
      </c>
      <c r="E209" s="5">
        <v>3</v>
      </c>
      <c r="F209" s="6"/>
      <c r="G209" s="39">
        <f t="shared" si="175"/>
        <v>3</v>
      </c>
      <c r="H209" s="7">
        <f t="shared" si="176"/>
        <v>6</v>
      </c>
      <c r="I209" s="31">
        <v>46094</v>
      </c>
      <c r="J209" s="17" t="s">
        <v>81</v>
      </c>
      <c r="K209" s="5"/>
      <c r="L209" s="6"/>
      <c r="M209" s="7">
        <f t="shared" si="189"/>
        <v>0</v>
      </c>
      <c r="N209" s="5"/>
      <c r="O209" s="6"/>
      <c r="P209" s="39">
        <f t="shared" si="190"/>
        <v>0</v>
      </c>
      <c r="Q209" s="7">
        <f t="shared" si="191"/>
        <v>0</v>
      </c>
      <c r="R209" s="50" t="s">
        <v>79</v>
      </c>
    </row>
    <row r="210" spans="1:18" x14ac:dyDescent="0.15">
      <c r="A210" s="34" t="s">
        <v>53</v>
      </c>
      <c r="B210" s="5">
        <v>1</v>
      </c>
      <c r="C210" s="6"/>
      <c r="D210" s="7">
        <f t="shared" si="174"/>
        <v>1</v>
      </c>
      <c r="E210" s="5"/>
      <c r="F210" s="6"/>
      <c r="G210" s="39">
        <f t="shared" si="175"/>
        <v>0</v>
      </c>
      <c r="H210" s="7">
        <f t="shared" si="176"/>
        <v>1</v>
      </c>
      <c r="I210" s="33">
        <v>46093</v>
      </c>
      <c r="J210" s="80" t="s">
        <v>98</v>
      </c>
      <c r="K210" s="59"/>
      <c r="L210" s="60"/>
      <c r="M210" s="61">
        <f t="shared" si="189"/>
        <v>0</v>
      </c>
      <c r="N210" s="59"/>
      <c r="O210" s="60"/>
      <c r="P210" s="62">
        <f t="shared" si="190"/>
        <v>0</v>
      </c>
      <c r="Q210" s="94">
        <f t="shared" si="191"/>
        <v>0</v>
      </c>
      <c r="R210" s="50"/>
    </row>
    <row r="211" spans="1:18" ht="14.25" thickBot="1" x14ac:dyDescent="0.2">
      <c r="A211" s="34" t="s">
        <v>53</v>
      </c>
      <c r="B211" s="5"/>
      <c r="C211" s="6"/>
      <c r="D211" s="7">
        <f t="shared" si="174"/>
        <v>0</v>
      </c>
      <c r="E211" s="5">
        <v>1</v>
      </c>
      <c r="F211" s="6"/>
      <c r="G211" s="39">
        <f t="shared" si="175"/>
        <v>1</v>
      </c>
      <c r="H211" s="12">
        <f t="shared" si="176"/>
        <v>1</v>
      </c>
      <c r="I211" s="33">
        <v>46094</v>
      </c>
      <c r="J211" s="17" t="s">
        <v>137</v>
      </c>
      <c r="K211" s="5"/>
      <c r="L211" s="6"/>
      <c r="M211" s="7">
        <f t="shared" si="189"/>
        <v>0</v>
      </c>
      <c r="N211" s="5"/>
      <c r="O211" s="6"/>
      <c r="P211" s="39">
        <f t="shared" si="190"/>
        <v>0</v>
      </c>
      <c r="Q211" s="7">
        <f t="shared" si="191"/>
        <v>0</v>
      </c>
      <c r="R211" s="50" t="s">
        <v>136</v>
      </c>
    </row>
    <row r="212" spans="1:18" ht="14.25" thickBot="1" x14ac:dyDescent="0.2">
      <c r="A212" s="26" t="s">
        <v>14</v>
      </c>
      <c r="B212" s="27">
        <f>SUM(B186:B211)</f>
        <v>24</v>
      </c>
      <c r="C212" s="28">
        <f>SUM(C186:C211)</f>
        <v>12</v>
      </c>
      <c r="D212" s="29">
        <f t="shared" si="174"/>
        <v>36</v>
      </c>
      <c r="E212" s="27">
        <f>SUM(E186:E211)</f>
        <v>22</v>
      </c>
      <c r="F212" s="28">
        <f>SUM(F186:F211)</f>
        <v>7</v>
      </c>
      <c r="G212" s="29">
        <f t="shared" si="175"/>
        <v>29</v>
      </c>
      <c r="H212" s="30">
        <f t="shared" si="176"/>
        <v>65</v>
      </c>
      <c r="J212" s="26" t="s">
        <v>14</v>
      </c>
      <c r="K212" s="27">
        <f>SUM(K186:K211)</f>
        <v>160</v>
      </c>
      <c r="L212" s="28">
        <f t="shared" ref="L212:Q212" si="192">SUM(L186:L211)</f>
        <v>45</v>
      </c>
      <c r="M212" s="29">
        <f t="shared" si="192"/>
        <v>205</v>
      </c>
      <c r="N212" s="27">
        <f t="shared" si="192"/>
        <v>90</v>
      </c>
      <c r="O212" s="28">
        <f t="shared" si="192"/>
        <v>40</v>
      </c>
      <c r="P212" s="29">
        <f t="shared" si="192"/>
        <v>130</v>
      </c>
      <c r="Q212" s="30">
        <f t="shared" si="192"/>
        <v>335</v>
      </c>
    </row>
    <row r="213" spans="1:18" ht="14.25" thickBot="1" x14ac:dyDescent="0.2">
      <c r="A213" s="13" t="s">
        <v>15</v>
      </c>
      <c r="B213" s="36">
        <f>B185-B212</f>
        <v>11</v>
      </c>
      <c r="C213" s="37">
        <f t="shared" ref="C213:D213" si="193">C185-C212</f>
        <v>15</v>
      </c>
      <c r="D213" s="38">
        <f t="shared" si="193"/>
        <v>26</v>
      </c>
      <c r="E213" s="36">
        <f>E185-E212</f>
        <v>9</v>
      </c>
      <c r="F213" s="37">
        <f t="shared" ref="F213:G213" si="194">F185-F212</f>
        <v>14</v>
      </c>
      <c r="G213" s="38">
        <f t="shared" si="194"/>
        <v>23</v>
      </c>
      <c r="H213" s="21">
        <f t="shared" si="176"/>
        <v>49</v>
      </c>
      <c r="J213" s="13" t="s">
        <v>15</v>
      </c>
      <c r="K213" s="36">
        <f>K185-K212</f>
        <v>1249</v>
      </c>
      <c r="L213" s="53">
        <f t="shared" ref="L213:Q213" si="195">L185-L212</f>
        <v>1201</v>
      </c>
      <c r="M213" s="54">
        <f t="shared" si="195"/>
        <v>2450</v>
      </c>
      <c r="N213" s="36">
        <f t="shared" si="195"/>
        <v>580</v>
      </c>
      <c r="O213" s="53">
        <f t="shared" si="195"/>
        <v>758</v>
      </c>
      <c r="P213" s="54">
        <f t="shared" si="195"/>
        <v>1338</v>
      </c>
      <c r="Q213" s="21">
        <f t="shared" si="195"/>
        <v>3788</v>
      </c>
      <c r="R213" s="73" t="s">
        <v>183</v>
      </c>
    </row>
    <row r="216" spans="1:18" ht="19.5" thickBot="1" x14ac:dyDescent="0.25">
      <c r="A216" s="57" t="s">
        <v>48</v>
      </c>
      <c r="B216" s="57"/>
      <c r="C216" s="57"/>
      <c r="D216" s="57"/>
      <c r="E216" s="42"/>
      <c r="F216" s="42"/>
      <c r="G216" s="42"/>
      <c r="H216" s="42"/>
      <c r="J216" s="55" t="s">
        <v>47</v>
      </c>
      <c r="K216" s="55"/>
      <c r="L216" s="55"/>
      <c r="M216" s="55"/>
      <c r="N216" s="55"/>
      <c r="O216" s="56"/>
      <c r="P216" s="56" t="s">
        <v>41</v>
      </c>
      <c r="Q216" s="56"/>
    </row>
    <row r="217" spans="1:18" ht="14.25" thickBot="1" x14ac:dyDescent="0.2">
      <c r="A217" s="4" t="s">
        <v>0</v>
      </c>
      <c r="B217" s="107" t="s">
        <v>18</v>
      </c>
      <c r="C217" s="108"/>
      <c r="D217" s="109"/>
      <c r="E217" s="110" t="s">
        <v>19</v>
      </c>
      <c r="F217" s="111"/>
      <c r="G217" s="112"/>
      <c r="H217" s="105" t="s">
        <v>1</v>
      </c>
      <c r="J217" s="4" t="s">
        <v>0</v>
      </c>
      <c r="K217" s="107" t="s">
        <v>18</v>
      </c>
      <c r="L217" s="108"/>
      <c r="M217" s="109"/>
      <c r="N217" s="110" t="s">
        <v>19</v>
      </c>
      <c r="O217" s="111"/>
      <c r="P217" s="112"/>
      <c r="Q217" s="105" t="s">
        <v>1</v>
      </c>
    </row>
    <row r="218" spans="1:18" ht="14.25" thickBot="1" x14ac:dyDescent="0.2">
      <c r="A218" s="4" t="s">
        <v>2</v>
      </c>
      <c r="B218" s="1" t="s">
        <v>16</v>
      </c>
      <c r="C218" s="2" t="s">
        <v>17</v>
      </c>
      <c r="D218" s="4" t="s">
        <v>3</v>
      </c>
      <c r="E218" s="1" t="s">
        <v>16</v>
      </c>
      <c r="F218" s="2" t="s">
        <v>17</v>
      </c>
      <c r="G218" s="4" t="s">
        <v>3</v>
      </c>
      <c r="H218" s="106"/>
      <c r="J218" s="4" t="s">
        <v>2</v>
      </c>
      <c r="K218" s="1" t="s">
        <v>16</v>
      </c>
      <c r="L218" s="2" t="s">
        <v>17</v>
      </c>
      <c r="M218" s="4" t="s">
        <v>3</v>
      </c>
      <c r="N218" s="1" t="s">
        <v>16</v>
      </c>
      <c r="O218" s="2" t="s">
        <v>17</v>
      </c>
      <c r="P218" s="4" t="s">
        <v>3</v>
      </c>
      <c r="Q218" s="106"/>
    </row>
    <row r="219" spans="1:18" ht="14.25" thickBot="1" x14ac:dyDescent="0.2">
      <c r="A219" s="18" t="s">
        <v>15</v>
      </c>
      <c r="B219" s="19">
        <f>B213</f>
        <v>11</v>
      </c>
      <c r="C219" s="20">
        <f t="shared" ref="C219" si="196">C213</f>
        <v>15</v>
      </c>
      <c r="D219" s="21">
        <f t="shared" ref="D219:D227" si="197">SUM(B219:C219)</f>
        <v>26</v>
      </c>
      <c r="E219" s="19">
        <f>E213</f>
        <v>9</v>
      </c>
      <c r="F219" s="20">
        <f t="shared" ref="F219" si="198">F213</f>
        <v>14</v>
      </c>
      <c r="G219" s="21">
        <f t="shared" ref="G219:G227" si="199">SUM(E219:F219)</f>
        <v>23</v>
      </c>
      <c r="H219" s="21">
        <f t="shared" ref="H219:H227" si="200">D219+G219</f>
        <v>49</v>
      </c>
      <c r="J219" s="18" t="s">
        <v>15</v>
      </c>
      <c r="K219" s="19">
        <f>K213</f>
        <v>1249</v>
      </c>
      <c r="L219" s="20">
        <f t="shared" ref="L219:Q219" si="201">L213</f>
        <v>1201</v>
      </c>
      <c r="M219" s="21">
        <f t="shared" si="201"/>
        <v>2450</v>
      </c>
      <c r="N219" s="19">
        <f t="shared" si="201"/>
        <v>580</v>
      </c>
      <c r="O219" s="20">
        <f t="shared" si="201"/>
        <v>758</v>
      </c>
      <c r="P219" s="21">
        <f t="shared" si="201"/>
        <v>1338</v>
      </c>
      <c r="Q219" s="21">
        <f t="shared" si="201"/>
        <v>3788</v>
      </c>
    </row>
    <row r="220" spans="1:18" x14ac:dyDescent="0.15">
      <c r="A220" s="16" t="s">
        <v>5</v>
      </c>
      <c r="B220" s="10">
        <v>5</v>
      </c>
      <c r="C220" s="11"/>
      <c r="D220" s="43">
        <f t="shared" si="197"/>
        <v>5</v>
      </c>
      <c r="E220" s="10">
        <v>5</v>
      </c>
      <c r="F220" s="11"/>
      <c r="G220" s="44">
        <f t="shared" si="199"/>
        <v>5</v>
      </c>
      <c r="H220" s="43">
        <f t="shared" si="200"/>
        <v>10</v>
      </c>
      <c r="I220" s="31">
        <v>46097</v>
      </c>
      <c r="J220" s="16" t="s">
        <v>5</v>
      </c>
      <c r="K220" s="10"/>
      <c r="L220" s="11"/>
      <c r="M220" s="43">
        <f t="shared" ref="M220:M227" si="202">SUM(K220:L220)</f>
        <v>0</v>
      </c>
      <c r="N220" s="10"/>
      <c r="O220" s="11"/>
      <c r="P220" s="44">
        <f t="shared" ref="P220:P227" si="203">SUM(N220:O220)</f>
        <v>0</v>
      </c>
      <c r="Q220" s="43">
        <f t="shared" ref="Q220:Q227" si="204">M220+P220</f>
        <v>0</v>
      </c>
    </row>
    <row r="221" spans="1:18" x14ac:dyDescent="0.15">
      <c r="A221" s="70" t="s">
        <v>204</v>
      </c>
      <c r="B221" s="5">
        <v>20</v>
      </c>
      <c r="C221" s="6">
        <v>23</v>
      </c>
      <c r="D221" s="7">
        <f t="shared" si="197"/>
        <v>43</v>
      </c>
      <c r="E221" s="5">
        <v>5</v>
      </c>
      <c r="F221" s="6">
        <v>10</v>
      </c>
      <c r="G221" s="39">
        <f t="shared" si="199"/>
        <v>15</v>
      </c>
      <c r="H221" s="7">
        <f t="shared" si="200"/>
        <v>58</v>
      </c>
      <c r="I221" s="33">
        <v>46091</v>
      </c>
      <c r="J221" s="16" t="s">
        <v>6</v>
      </c>
      <c r="K221" s="5"/>
      <c r="L221" s="6"/>
      <c r="M221" s="7">
        <f t="shared" si="202"/>
        <v>0</v>
      </c>
      <c r="N221" s="5"/>
      <c r="O221" s="6"/>
      <c r="P221" s="39">
        <f t="shared" si="203"/>
        <v>0</v>
      </c>
      <c r="Q221" s="7">
        <f t="shared" si="204"/>
        <v>0</v>
      </c>
    </row>
    <row r="222" spans="1:18" x14ac:dyDescent="0.15">
      <c r="A222" s="70" t="s">
        <v>88</v>
      </c>
      <c r="B222" s="5">
        <v>1</v>
      </c>
      <c r="C222" s="6"/>
      <c r="D222" s="7">
        <f t="shared" si="197"/>
        <v>1</v>
      </c>
      <c r="E222" s="5">
        <v>1</v>
      </c>
      <c r="F222" s="6"/>
      <c r="G222" s="39">
        <f t="shared" si="199"/>
        <v>1</v>
      </c>
      <c r="H222" s="7">
        <f t="shared" si="200"/>
        <v>2</v>
      </c>
      <c r="I222" s="31">
        <v>46097</v>
      </c>
      <c r="J222" s="16" t="s">
        <v>7</v>
      </c>
      <c r="K222" s="5"/>
      <c r="L222" s="6"/>
      <c r="M222" s="7">
        <f t="shared" ref="M222:M223" si="205">SUM(K222:L222)</f>
        <v>0</v>
      </c>
      <c r="N222" s="5"/>
      <c r="O222" s="6"/>
      <c r="P222" s="39">
        <f t="shared" ref="P222:P223" si="206">SUM(N222:O222)</f>
        <v>0</v>
      </c>
      <c r="Q222" s="7">
        <f t="shared" ref="Q222:Q223" si="207">M222+P222</f>
        <v>0</v>
      </c>
    </row>
    <row r="223" spans="1:18" x14ac:dyDescent="0.15">
      <c r="A223" s="70" t="s">
        <v>204</v>
      </c>
      <c r="B223" s="5"/>
      <c r="C223" s="6"/>
      <c r="D223" s="7">
        <f t="shared" si="197"/>
        <v>0</v>
      </c>
      <c r="E223" s="5"/>
      <c r="F223" s="6">
        <v>1</v>
      </c>
      <c r="G223" s="39">
        <f t="shared" si="199"/>
        <v>1</v>
      </c>
      <c r="H223" s="7">
        <f t="shared" si="200"/>
        <v>1</v>
      </c>
      <c r="I223" s="31">
        <v>46094</v>
      </c>
      <c r="J223" s="16" t="s">
        <v>8</v>
      </c>
      <c r="K223" s="5"/>
      <c r="L223" s="6"/>
      <c r="M223" s="7">
        <f t="shared" si="205"/>
        <v>0</v>
      </c>
      <c r="N223" s="5"/>
      <c r="O223" s="6"/>
      <c r="P223" s="39">
        <f t="shared" si="206"/>
        <v>0</v>
      </c>
      <c r="Q223" s="7">
        <f t="shared" si="207"/>
        <v>0</v>
      </c>
    </row>
    <row r="224" spans="1:18" x14ac:dyDescent="0.15">
      <c r="A224" s="70" t="s">
        <v>204</v>
      </c>
      <c r="B224" s="65"/>
      <c r="C224" s="66">
        <v>1</v>
      </c>
      <c r="D224" s="67">
        <f t="shared" si="197"/>
        <v>1</v>
      </c>
      <c r="E224" s="65">
        <v>3</v>
      </c>
      <c r="F224" s="66">
        <v>2</v>
      </c>
      <c r="G224" s="68">
        <f t="shared" si="199"/>
        <v>5</v>
      </c>
      <c r="H224" s="67">
        <f t="shared" si="200"/>
        <v>6</v>
      </c>
      <c r="I224" s="71">
        <v>46093</v>
      </c>
      <c r="J224" s="16" t="s">
        <v>9</v>
      </c>
      <c r="K224" s="5"/>
      <c r="L224" s="6"/>
      <c r="M224" s="7">
        <f t="shared" si="202"/>
        <v>0</v>
      </c>
      <c r="N224" s="5"/>
      <c r="O224" s="6"/>
      <c r="P224" s="39">
        <f t="shared" si="203"/>
        <v>0</v>
      </c>
      <c r="Q224" s="7">
        <f t="shared" si="204"/>
        <v>0</v>
      </c>
    </row>
    <row r="225" spans="1:19" x14ac:dyDescent="0.15">
      <c r="A225" s="17" t="s">
        <v>210</v>
      </c>
      <c r="B225" s="5">
        <v>1</v>
      </c>
      <c r="C225" s="6"/>
      <c r="D225" s="7">
        <f t="shared" si="197"/>
        <v>1</v>
      </c>
      <c r="E225" s="5"/>
      <c r="F225" s="6">
        <v>1</v>
      </c>
      <c r="G225" s="39">
        <f t="shared" si="199"/>
        <v>1</v>
      </c>
      <c r="H225" s="7">
        <f t="shared" si="200"/>
        <v>2</v>
      </c>
      <c r="I225" s="33">
        <v>46098</v>
      </c>
      <c r="J225" s="16" t="s">
        <v>10</v>
      </c>
      <c r="K225" s="5"/>
      <c r="L225" s="6"/>
      <c r="M225" s="7">
        <f t="shared" si="202"/>
        <v>0</v>
      </c>
      <c r="N225" s="5"/>
      <c r="O225" s="6"/>
      <c r="P225" s="39">
        <f t="shared" si="203"/>
        <v>0</v>
      </c>
      <c r="Q225" s="7">
        <f t="shared" si="204"/>
        <v>0</v>
      </c>
    </row>
    <row r="226" spans="1:19" x14ac:dyDescent="0.15">
      <c r="A226" s="70" t="s">
        <v>180</v>
      </c>
      <c r="B226" s="83"/>
      <c r="C226" s="84"/>
      <c r="D226" s="67">
        <f t="shared" si="197"/>
        <v>0</v>
      </c>
      <c r="E226" s="83">
        <v>1</v>
      </c>
      <c r="F226" s="84"/>
      <c r="G226" s="68">
        <f t="shared" si="199"/>
        <v>1</v>
      </c>
      <c r="H226" s="67">
        <f t="shared" si="200"/>
        <v>1</v>
      </c>
      <c r="I226" s="71">
        <v>46104</v>
      </c>
      <c r="J226" s="16" t="s">
        <v>11</v>
      </c>
      <c r="K226" s="8"/>
      <c r="L226" s="9"/>
      <c r="M226" s="7">
        <f t="shared" si="202"/>
        <v>0</v>
      </c>
      <c r="N226" s="8"/>
      <c r="O226" s="9"/>
      <c r="P226" s="39">
        <f t="shared" si="203"/>
        <v>0</v>
      </c>
      <c r="Q226" s="7">
        <f t="shared" si="204"/>
        <v>0</v>
      </c>
    </row>
    <row r="227" spans="1:19" ht="14.25" thickBot="1" x14ac:dyDescent="0.2">
      <c r="A227" s="16" t="s">
        <v>12</v>
      </c>
      <c r="B227" s="22"/>
      <c r="C227" s="23"/>
      <c r="D227" s="7">
        <f t="shared" si="197"/>
        <v>0</v>
      </c>
      <c r="E227" s="22">
        <v>5</v>
      </c>
      <c r="F227" s="23"/>
      <c r="G227" s="39">
        <f t="shared" si="199"/>
        <v>5</v>
      </c>
      <c r="H227" s="12">
        <f t="shared" si="200"/>
        <v>5</v>
      </c>
      <c r="I227" s="31">
        <v>46107</v>
      </c>
      <c r="J227" s="16" t="s">
        <v>12</v>
      </c>
      <c r="K227" s="22"/>
      <c r="L227" s="23"/>
      <c r="M227" s="7">
        <f t="shared" si="202"/>
        <v>0</v>
      </c>
      <c r="N227" s="22"/>
      <c r="O227" s="23"/>
      <c r="P227" s="39">
        <f t="shared" si="203"/>
        <v>0</v>
      </c>
      <c r="Q227" s="12">
        <f t="shared" si="204"/>
        <v>0</v>
      </c>
    </row>
    <row r="228" spans="1:19" ht="14.25" thickBot="1" x14ac:dyDescent="0.2">
      <c r="A228" s="24" t="s">
        <v>13</v>
      </c>
      <c r="B228" s="19">
        <f>SUM(B219:B227)</f>
        <v>38</v>
      </c>
      <c r="C228" s="20">
        <f t="shared" ref="C228:H228" si="208">SUM(C219:C227)</f>
        <v>39</v>
      </c>
      <c r="D228" s="41">
        <f t="shared" si="208"/>
        <v>77</v>
      </c>
      <c r="E228" s="19">
        <f t="shared" si="208"/>
        <v>29</v>
      </c>
      <c r="F228" s="20">
        <f t="shared" si="208"/>
        <v>28</v>
      </c>
      <c r="G228" s="40">
        <f t="shared" si="208"/>
        <v>57</v>
      </c>
      <c r="H228" s="21">
        <f t="shared" si="208"/>
        <v>134</v>
      </c>
      <c r="J228" s="24" t="s">
        <v>13</v>
      </c>
      <c r="K228" s="19">
        <f>SUM(K219:K227)</f>
        <v>1249</v>
      </c>
      <c r="L228" s="52">
        <f t="shared" ref="L228:Q228" si="209">SUM(L219:L227)</f>
        <v>1201</v>
      </c>
      <c r="M228" s="21">
        <f t="shared" si="209"/>
        <v>2450</v>
      </c>
      <c r="N228" s="19">
        <f t="shared" si="209"/>
        <v>580</v>
      </c>
      <c r="O228" s="52">
        <f t="shared" si="209"/>
        <v>758</v>
      </c>
      <c r="P228" s="21">
        <f t="shared" si="209"/>
        <v>1338</v>
      </c>
      <c r="Q228" s="21">
        <f t="shared" si="209"/>
        <v>3788</v>
      </c>
    </row>
    <row r="229" spans="1:19" x14ac:dyDescent="0.15">
      <c r="A229" s="15" t="s">
        <v>202</v>
      </c>
      <c r="B229" s="5">
        <v>3</v>
      </c>
      <c r="C229" s="6"/>
      <c r="D229" s="7">
        <f t="shared" ref="D229:D255" si="210">SUM(B229:C229)</f>
        <v>3</v>
      </c>
      <c r="E229" s="5">
        <v>3</v>
      </c>
      <c r="F229" s="6"/>
      <c r="G229" s="39">
        <f t="shared" ref="G229:G255" si="211">SUM(E229:F229)</f>
        <v>3</v>
      </c>
      <c r="H229" s="7">
        <f t="shared" ref="H229:H256" si="212">D229+G229</f>
        <v>6</v>
      </c>
      <c r="I229" s="31">
        <v>46099</v>
      </c>
      <c r="J229" s="17" t="s">
        <v>208</v>
      </c>
      <c r="K229" s="5">
        <v>5</v>
      </c>
      <c r="L229" s="6">
        <v>5</v>
      </c>
      <c r="M229" s="7">
        <f t="shared" ref="M229" si="213">SUM(K229:L229)</f>
        <v>10</v>
      </c>
      <c r="N229" s="5"/>
      <c r="O229" s="6"/>
      <c r="P229" s="39">
        <f t="shared" ref="P229" si="214">SUM(N229:O229)</f>
        <v>0</v>
      </c>
      <c r="Q229" s="7">
        <f t="shared" ref="Q229" si="215">M229+P229</f>
        <v>10</v>
      </c>
      <c r="R229" s="49">
        <v>46107</v>
      </c>
    </row>
    <row r="230" spans="1:19" x14ac:dyDescent="0.15">
      <c r="A230" s="14" t="s">
        <v>205</v>
      </c>
      <c r="B230" s="5">
        <v>2</v>
      </c>
      <c r="C230" s="6"/>
      <c r="D230" s="7">
        <f t="shared" si="210"/>
        <v>2</v>
      </c>
      <c r="E230" s="5">
        <v>2</v>
      </c>
      <c r="F230" s="6"/>
      <c r="G230" s="39">
        <f t="shared" si="211"/>
        <v>2</v>
      </c>
      <c r="H230" s="7">
        <f t="shared" si="212"/>
        <v>4</v>
      </c>
      <c r="I230" s="31">
        <v>46100</v>
      </c>
      <c r="J230" s="15" t="s">
        <v>209</v>
      </c>
      <c r="K230" s="5">
        <v>5</v>
      </c>
      <c r="L230" s="6">
        <v>5</v>
      </c>
      <c r="M230" s="7">
        <f t="shared" ref="M230:M254" si="216">SUM(K230:L230)</f>
        <v>10</v>
      </c>
      <c r="N230" s="5">
        <v>5</v>
      </c>
      <c r="O230" s="6">
        <v>5</v>
      </c>
      <c r="P230" s="39">
        <f t="shared" ref="P230:P254" si="217">SUM(N230:O230)</f>
        <v>10</v>
      </c>
      <c r="Q230" s="7">
        <f t="shared" ref="Q230:Q254" si="218">M230+P230</f>
        <v>20</v>
      </c>
      <c r="R230" s="49">
        <v>46104</v>
      </c>
      <c r="S230" s="32"/>
    </row>
    <row r="231" spans="1:19" x14ac:dyDescent="0.15">
      <c r="A231" s="17" t="s">
        <v>206</v>
      </c>
      <c r="B231" s="5"/>
      <c r="C231" s="6">
        <v>9</v>
      </c>
      <c r="D231" s="7">
        <f t="shared" si="210"/>
        <v>9</v>
      </c>
      <c r="E231" s="5"/>
      <c r="F231" s="6"/>
      <c r="G231" s="39">
        <f t="shared" si="211"/>
        <v>0</v>
      </c>
      <c r="H231" s="7">
        <f t="shared" si="212"/>
        <v>9</v>
      </c>
      <c r="I231" s="31">
        <v>46099</v>
      </c>
      <c r="J231" s="14" t="s">
        <v>215</v>
      </c>
      <c r="K231" s="5">
        <v>1</v>
      </c>
      <c r="L231" s="6"/>
      <c r="M231" s="7">
        <f t="shared" si="216"/>
        <v>1</v>
      </c>
      <c r="N231" s="5">
        <v>1</v>
      </c>
      <c r="O231" s="6"/>
      <c r="P231" s="39">
        <f t="shared" si="217"/>
        <v>1</v>
      </c>
      <c r="Q231" s="7">
        <f t="shared" si="218"/>
        <v>2</v>
      </c>
      <c r="R231" s="49">
        <v>46115</v>
      </c>
      <c r="S231" s="32"/>
    </row>
    <row r="232" spans="1:19" x14ac:dyDescent="0.15">
      <c r="A232" s="15" t="s">
        <v>207</v>
      </c>
      <c r="B232" s="5">
        <v>1</v>
      </c>
      <c r="C232" s="6"/>
      <c r="D232" s="7">
        <f t="shared" si="210"/>
        <v>1</v>
      </c>
      <c r="E232" s="5"/>
      <c r="F232" s="6"/>
      <c r="G232" s="39">
        <f t="shared" si="211"/>
        <v>0</v>
      </c>
      <c r="H232" s="7">
        <f t="shared" si="212"/>
        <v>1</v>
      </c>
      <c r="I232" s="31">
        <v>46098</v>
      </c>
      <c r="J232" s="64" t="s">
        <v>220</v>
      </c>
      <c r="K232" s="65">
        <v>10</v>
      </c>
      <c r="L232" s="66"/>
      <c r="M232" s="67">
        <f t="shared" si="216"/>
        <v>10</v>
      </c>
      <c r="N232" s="65">
        <v>10</v>
      </c>
      <c r="O232" s="66"/>
      <c r="P232" s="68">
        <f t="shared" si="217"/>
        <v>10</v>
      </c>
      <c r="Q232" s="67">
        <f t="shared" si="218"/>
        <v>20</v>
      </c>
      <c r="R232" s="69">
        <v>46111</v>
      </c>
    </row>
    <row r="233" spans="1:19" x14ac:dyDescent="0.15">
      <c r="A233" s="34" t="s">
        <v>53</v>
      </c>
      <c r="B233" s="5">
        <v>3</v>
      </c>
      <c r="C233" s="6">
        <v>2</v>
      </c>
      <c r="D233" s="7">
        <f t="shared" si="210"/>
        <v>5</v>
      </c>
      <c r="E233" s="5">
        <v>1</v>
      </c>
      <c r="F233" s="6">
        <v>2</v>
      </c>
      <c r="G233" s="39">
        <f t="shared" si="211"/>
        <v>3</v>
      </c>
      <c r="H233" s="7">
        <f t="shared" si="212"/>
        <v>8</v>
      </c>
      <c r="I233" s="31">
        <v>46097</v>
      </c>
      <c r="J233" s="15" t="s">
        <v>223</v>
      </c>
      <c r="K233" s="5">
        <v>2</v>
      </c>
      <c r="L233" s="6"/>
      <c r="M233" s="7">
        <f t="shared" si="216"/>
        <v>2</v>
      </c>
      <c r="N233" s="5">
        <v>2</v>
      </c>
      <c r="O233" s="6"/>
      <c r="P233" s="39">
        <f t="shared" si="217"/>
        <v>2</v>
      </c>
      <c r="Q233" s="7">
        <f t="shared" si="218"/>
        <v>4</v>
      </c>
      <c r="R233" s="49">
        <v>46114</v>
      </c>
      <c r="S233" s="32"/>
    </row>
    <row r="234" spans="1:19" x14ac:dyDescent="0.15">
      <c r="A234" s="34" t="s">
        <v>53</v>
      </c>
      <c r="B234" s="5">
        <v>1</v>
      </c>
      <c r="C234" s="6"/>
      <c r="D234" s="7">
        <f t="shared" si="210"/>
        <v>1</v>
      </c>
      <c r="E234" s="5">
        <v>1</v>
      </c>
      <c r="F234" s="6"/>
      <c r="G234" s="39">
        <f t="shared" si="211"/>
        <v>1</v>
      </c>
      <c r="H234" s="7">
        <f t="shared" si="212"/>
        <v>2</v>
      </c>
      <c r="I234" s="31">
        <v>46099</v>
      </c>
      <c r="J234" s="14" t="s">
        <v>224</v>
      </c>
      <c r="K234" s="5">
        <v>2</v>
      </c>
      <c r="L234" s="6"/>
      <c r="M234" s="7">
        <f t="shared" si="216"/>
        <v>2</v>
      </c>
      <c r="N234" s="5">
        <v>2</v>
      </c>
      <c r="O234" s="6"/>
      <c r="P234" s="39">
        <f t="shared" si="217"/>
        <v>2</v>
      </c>
      <c r="Q234" s="7">
        <f t="shared" si="218"/>
        <v>4</v>
      </c>
      <c r="R234" s="49">
        <v>46118</v>
      </c>
    </row>
    <row r="235" spans="1:19" x14ac:dyDescent="0.15">
      <c r="A235" s="15" t="s">
        <v>211</v>
      </c>
      <c r="B235" s="5">
        <v>2</v>
      </c>
      <c r="C235" s="6"/>
      <c r="D235" s="7">
        <f t="shared" si="210"/>
        <v>2</v>
      </c>
      <c r="E235" s="5">
        <v>2</v>
      </c>
      <c r="F235" s="6"/>
      <c r="G235" s="39">
        <f t="shared" si="211"/>
        <v>2</v>
      </c>
      <c r="H235" s="7">
        <f t="shared" si="212"/>
        <v>4</v>
      </c>
      <c r="I235" s="31">
        <v>46106</v>
      </c>
      <c r="J235" s="17" t="s">
        <v>226</v>
      </c>
      <c r="K235" s="5">
        <v>70</v>
      </c>
      <c r="L235" s="6">
        <v>15</v>
      </c>
      <c r="M235" s="7">
        <f t="shared" si="216"/>
        <v>85</v>
      </c>
      <c r="N235" s="5">
        <v>50</v>
      </c>
      <c r="O235" s="6">
        <v>15</v>
      </c>
      <c r="P235" s="39">
        <f t="shared" si="217"/>
        <v>65</v>
      </c>
      <c r="Q235" s="7">
        <f t="shared" si="218"/>
        <v>150</v>
      </c>
      <c r="R235" s="49">
        <v>46120</v>
      </c>
    </row>
    <row r="236" spans="1:19" x14ac:dyDescent="0.15">
      <c r="A236" s="14" t="s">
        <v>212</v>
      </c>
      <c r="B236" s="5">
        <v>1</v>
      </c>
      <c r="C236" s="6"/>
      <c r="D236" s="7">
        <f t="shared" si="210"/>
        <v>1</v>
      </c>
      <c r="E236" s="5">
        <v>1</v>
      </c>
      <c r="F236" s="6"/>
      <c r="G236" s="39">
        <f t="shared" si="211"/>
        <v>1</v>
      </c>
      <c r="H236" s="7">
        <f t="shared" si="212"/>
        <v>2</v>
      </c>
      <c r="I236" s="31">
        <v>46108</v>
      </c>
      <c r="J236" s="17" t="s">
        <v>228</v>
      </c>
      <c r="K236" s="5">
        <v>70</v>
      </c>
      <c r="L236" s="6">
        <v>15</v>
      </c>
      <c r="M236" s="7">
        <f t="shared" si="216"/>
        <v>85</v>
      </c>
      <c r="N236" s="5">
        <v>20</v>
      </c>
      <c r="O236" s="6"/>
      <c r="P236" s="39">
        <f t="shared" si="217"/>
        <v>20</v>
      </c>
      <c r="Q236" s="7">
        <f t="shared" si="218"/>
        <v>105</v>
      </c>
      <c r="R236" s="49">
        <v>46121</v>
      </c>
    </row>
    <row r="237" spans="1:19" x14ac:dyDescent="0.15">
      <c r="A237" s="17" t="s">
        <v>53</v>
      </c>
      <c r="B237" s="5">
        <v>3</v>
      </c>
      <c r="C237" s="6">
        <v>4</v>
      </c>
      <c r="D237" s="7">
        <f t="shared" si="210"/>
        <v>7</v>
      </c>
      <c r="E237" s="5">
        <v>2</v>
      </c>
      <c r="F237" s="6">
        <v>3</v>
      </c>
      <c r="G237" s="39">
        <f t="shared" si="211"/>
        <v>5</v>
      </c>
      <c r="H237" s="7">
        <f t="shared" si="212"/>
        <v>12</v>
      </c>
      <c r="I237" s="33">
        <v>46104</v>
      </c>
      <c r="J237" s="17" t="s">
        <v>230</v>
      </c>
      <c r="K237" s="5"/>
      <c r="L237" s="6">
        <v>20</v>
      </c>
      <c r="M237" s="7">
        <f t="shared" si="216"/>
        <v>20</v>
      </c>
      <c r="N237" s="5"/>
      <c r="O237" s="6">
        <v>20</v>
      </c>
      <c r="P237" s="39">
        <f t="shared" si="217"/>
        <v>20</v>
      </c>
      <c r="Q237" s="7">
        <f t="shared" si="218"/>
        <v>40</v>
      </c>
      <c r="R237" s="49">
        <v>46122</v>
      </c>
    </row>
    <row r="238" spans="1:19" x14ac:dyDescent="0.15">
      <c r="A238" s="15" t="s">
        <v>213</v>
      </c>
      <c r="B238" s="8">
        <v>4</v>
      </c>
      <c r="C238" s="9"/>
      <c r="D238" s="7">
        <f t="shared" si="210"/>
        <v>4</v>
      </c>
      <c r="E238" s="8">
        <v>4</v>
      </c>
      <c r="F238" s="9"/>
      <c r="G238" s="39">
        <f t="shared" si="211"/>
        <v>4</v>
      </c>
      <c r="H238" s="7">
        <f t="shared" si="212"/>
        <v>8</v>
      </c>
      <c r="I238" s="31">
        <v>46107</v>
      </c>
      <c r="J238" s="17" t="s">
        <v>232</v>
      </c>
      <c r="K238" s="8"/>
      <c r="L238" s="9">
        <v>10</v>
      </c>
      <c r="M238" s="7">
        <f t="shared" si="216"/>
        <v>10</v>
      </c>
      <c r="N238" s="8"/>
      <c r="O238" s="9">
        <v>10</v>
      </c>
      <c r="P238" s="39">
        <f t="shared" si="217"/>
        <v>10</v>
      </c>
      <c r="Q238" s="7">
        <f t="shared" si="218"/>
        <v>20</v>
      </c>
      <c r="R238" s="49">
        <v>46123</v>
      </c>
    </row>
    <row r="239" spans="1:19" x14ac:dyDescent="0.15">
      <c r="A239" s="15" t="s">
        <v>53</v>
      </c>
      <c r="B239" s="5">
        <v>3</v>
      </c>
      <c r="C239" s="6"/>
      <c r="D239" s="7">
        <f t="shared" si="210"/>
        <v>3</v>
      </c>
      <c r="E239" s="5">
        <v>2</v>
      </c>
      <c r="F239" s="6"/>
      <c r="G239" s="39">
        <f t="shared" si="211"/>
        <v>2</v>
      </c>
      <c r="H239" s="7">
        <f t="shared" si="212"/>
        <v>5</v>
      </c>
      <c r="I239" s="31">
        <v>46105</v>
      </c>
      <c r="J239" s="17"/>
      <c r="K239" s="5"/>
      <c r="L239" s="6"/>
      <c r="M239" s="7">
        <f t="shared" si="216"/>
        <v>0</v>
      </c>
      <c r="N239" s="5"/>
      <c r="O239" s="6"/>
      <c r="P239" s="39">
        <f t="shared" si="217"/>
        <v>0</v>
      </c>
      <c r="Q239" s="7">
        <f t="shared" si="218"/>
        <v>0</v>
      </c>
    </row>
    <row r="240" spans="1:19" x14ac:dyDescent="0.15">
      <c r="A240" s="15" t="s">
        <v>53</v>
      </c>
      <c r="B240" s="5"/>
      <c r="C240" s="6">
        <v>1</v>
      </c>
      <c r="D240" s="7">
        <f t="shared" si="210"/>
        <v>1</v>
      </c>
      <c r="E240" s="5"/>
      <c r="F240" s="6"/>
      <c r="G240" s="39">
        <f t="shared" si="211"/>
        <v>0</v>
      </c>
      <c r="H240" s="7">
        <f t="shared" si="212"/>
        <v>1</v>
      </c>
      <c r="I240" s="31">
        <v>46106</v>
      </c>
      <c r="J240" s="17"/>
      <c r="K240" s="5"/>
      <c r="L240" s="6"/>
      <c r="M240" s="7">
        <f t="shared" si="216"/>
        <v>0</v>
      </c>
      <c r="N240" s="5"/>
      <c r="O240" s="6"/>
      <c r="P240" s="39">
        <f t="shared" si="217"/>
        <v>0</v>
      </c>
      <c r="Q240" s="7">
        <f t="shared" si="218"/>
        <v>0</v>
      </c>
    </row>
    <row r="241" spans="1:18" x14ac:dyDescent="0.15">
      <c r="A241" s="15" t="s">
        <v>216</v>
      </c>
      <c r="B241" s="5">
        <v>1</v>
      </c>
      <c r="C241" s="6"/>
      <c r="D241" s="7">
        <f t="shared" si="210"/>
        <v>1</v>
      </c>
      <c r="E241" s="5">
        <v>1</v>
      </c>
      <c r="F241" s="6"/>
      <c r="G241" s="39">
        <f t="shared" si="211"/>
        <v>1</v>
      </c>
      <c r="H241" s="7">
        <f t="shared" si="212"/>
        <v>2</v>
      </c>
      <c r="I241" s="31">
        <v>46108</v>
      </c>
      <c r="J241" s="15"/>
      <c r="K241" s="5"/>
      <c r="L241" s="6"/>
      <c r="M241" s="7">
        <f t="shared" si="216"/>
        <v>0</v>
      </c>
      <c r="N241" s="5"/>
      <c r="O241" s="6"/>
      <c r="P241" s="39">
        <f t="shared" si="217"/>
        <v>0</v>
      </c>
      <c r="Q241" s="7">
        <f t="shared" si="218"/>
        <v>0</v>
      </c>
    </row>
    <row r="242" spans="1:18" x14ac:dyDescent="0.15">
      <c r="A242" s="17" t="s">
        <v>217</v>
      </c>
      <c r="B242" s="5">
        <v>-1</v>
      </c>
      <c r="C242" s="6"/>
      <c r="D242" s="7">
        <f t="shared" si="210"/>
        <v>-1</v>
      </c>
      <c r="E242" s="5">
        <v>-1</v>
      </c>
      <c r="F242" s="6"/>
      <c r="G242" s="39">
        <f t="shared" si="211"/>
        <v>-1</v>
      </c>
      <c r="H242" s="7">
        <f t="shared" si="212"/>
        <v>-2</v>
      </c>
      <c r="I242" s="31">
        <v>46105</v>
      </c>
      <c r="J242" s="17"/>
      <c r="K242" s="5"/>
      <c r="L242" s="6"/>
      <c r="M242" s="7">
        <f t="shared" si="216"/>
        <v>0</v>
      </c>
      <c r="N242" s="5"/>
      <c r="O242" s="6"/>
      <c r="P242" s="39">
        <f t="shared" si="217"/>
        <v>0</v>
      </c>
      <c r="Q242" s="7">
        <f t="shared" si="218"/>
        <v>0</v>
      </c>
    </row>
    <row r="243" spans="1:18" x14ac:dyDescent="0.15">
      <c r="A243" s="15" t="s">
        <v>53</v>
      </c>
      <c r="B243" s="5">
        <v>1</v>
      </c>
      <c r="C243" s="6"/>
      <c r="D243" s="7">
        <f t="shared" si="210"/>
        <v>1</v>
      </c>
      <c r="E243" s="5"/>
      <c r="F243" s="6"/>
      <c r="G243" s="39">
        <f t="shared" si="211"/>
        <v>0</v>
      </c>
      <c r="H243" s="7">
        <f t="shared" si="212"/>
        <v>1</v>
      </c>
      <c r="I243" s="31">
        <v>46107</v>
      </c>
      <c r="J243" s="17"/>
      <c r="K243" s="5"/>
      <c r="L243" s="6"/>
      <c r="M243" s="7">
        <f t="shared" si="216"/>
        <v>0</v>
      </c>
      <c r="N243" s="5"/>
      <c r="O243" s="6"/>
      <c r="P243" s="39">
        <f t="shared" si="217"/>
        <v>0</v>
      </c>
      <c r="Q243" s="7">
        <f t="shared" si="218"/>
        <v>0</v>
      </c>
    </row>
    <row r="244" spans="1:18" x14ac:dyDescent="0.15">
      <c r="A244" s="15" t="s">
        <v>218</v>
      </c>
      <c r="B244" s="5">
        <v>-2</v>
      </c>
      <c r="C244" s="6">
        <v>-1</v>
      </c>
      <c r="D244" s="7">
        <f t="shared" si="210"/>
        <v>-3</v>
      </c>
      <c r="E244" s="5">
        <v>-2</v>
      </c>
      <c r="F244" s="6">
        <v>-1</v>
      </c>
      <c r="G244" s="39">
        <f t="shared" si="211"/>
        <v>-3</v>
      </c>
      <c r="H244" s="7">
        <f t="shared" si="212"/>
        <v>-6</v>
      </c>
      <c r="I244" s="31">
        <v>46107</v>
      </c>
      <c r="J244" s="17"/>
      <c r="K244" s="5"/>
      <c r="L244" s="6"/>
      <c r="M244" s="7">
        <f t="shared" si="216"/>
        <v>0</v>
      </c>
      <c r="N244" s="5"/>
      <c r="O244" s="6"/>
      <c r="P244" s="39">
        <f t="shared" si="217"/>
        <v>0</v>
      </c>
      <c r="Q244" s="7">
        <f t="shared" si="218"/>
        <v>0</v>
      </c>
    </row>
    <row r="245" spans="1:18" x14ac:dyDescent="0.15">
      <c r="A245" s="95" t="s">
        <v>219</v>
      </c>
      <c r="B245" s="65">
        <v>-10</v>
      </c>
      <c r="C245" s="66"/>
      <c r="D245" s="67">
        <f t="shared" si="210"/>
        <v>-10</v>
      </c>
      <c r="E245" s="65">
        <v>-10</v>
      </c>
      <c r="F245" s="66"/>
      <c r="G245" s="68">
        <f t="shared" si="211"/>
        <v>-10</v>
      </c>
      <c r="H245" s="67">
        <f t="shared" si="212"/>
        <v>-20</v>
      </c>
      <c r="I245" s="71">
        <v>46111</v>
      </c>
      <c r="J245" s="17"/>
      <c r="K245" s="5"/>
      <c r="L245" s="6"/>
      <c r="M245" s="7">
        <f t="shared" si="216"/>
        <v>0</v>
      </c>
      <c r="N245" s="5"/>
      <c r="O245" s="6"/>
      <c r="P245" s="39">
        <f t="shared" si="217"/>
        <v>0</v>
      </c>
      <c r="Q245" s="7">
        <f t="shared" si="218"/>
        <v>0</v>
      </c>
    </row>
    <row r="246" spans="1:18" x14ac:dyDescent="0.15">
      <c r="A246" s="15" t="s">
        <v>221</v>
      </c>
      <c r="B246" s="5">
        <v>2</v>
      </c>
      <c r="C246" s="6">
        <v>1</v>
      </c>
      <c r="D246" s="7">
        <f t="shared" si="210"/>
        <v>3</v>
      </c>
      <c r="E246" s="5">
        <v>2</v>
      </c>
      <c r="F246" s="6">
        <v>1</v>
      </c>
      <c r="G246" s="39">
        <f t="shared" si="211"/>
        <v>3</v>
      </c>
      <c r="H246" s="7">
        <f t="shared" si="212"/>
        <v>6</v>
      </c>
      <c r="I246" s="31">
        <v>46113</v>
      </c>
      <c r="J246" s="17"/>
      <c r="K246" s="5"/>
      <c r="L246" s="6"/>
      <c r="M246" s="7">
        <f t="shared" si="216"/>
        <v>0</v>
      </c>
      <c r="N246" s="5"/>
      <c r="O246" s="6"/>
      <c r="P246" s="39">
        <f t="shared" si="217"/>
        <v>0</v>
      </c>
      <c r="Q246" s="7">
        <f t="shared" si="218"/>
        <v>0</v>
      </c>
    </row>
    <row r="247" spans="1:18" x14ac:dyDescent="0.15">
      <c r="A247" s="17" t="s">
        <v>222</v>
      </c>
      <c r="B247" s="5">
        <v>3</v>
      </c>
      <c r="C247" s="6"/>
      <c r="D247" s="7">
        <f t="shared" si="210"/>
        <v>3</v>
      </c>
      <c r="E247" s="5">
        <v>3</v>
      </c>
      <c r="F247" s="6">
        <v>3</v>
      </c>
      <c r="G247" s="39">
        <f t="shared" si="211"/>
        <v>6</v>
      </c>
      <c r="H247" s="7">
        <f t="shared" si="212"/>
        <v>9</v>
      </c>
      <c r="I247" s="31">
        <v>46113</v>
      </c>
      <c r="J247" s="17"/>
      <c r="K247" s="5"/>
      <c r="L247" s="6"/>
      <c r="M247" s="7">
        <f t="shared" si="216"/>
        <v>0</v>
      </c>
      <c r="N247" s="5"/>
      <c r="O247" s="6"/>
      <c r="P247" s="39">
        <f t="shared" si="217"/>
        <v>0</v>
      </c>
      <c r="Q247" s="7">
        <f t="shared" si="218"/>
        <v>0</v>
      </c>
    </row>
    <row r="248" spans="1:18" x14ac:dyDescent="0.15">
      <c r="A248" s="14" t="s">
        <v>53</v>
      </c>
      <c r="B248" s="5"/>
      <c r="C248" s="6"/>
      <c r="D248" s="7">
        <f t="shared" si="210"/>
        <v>0</v>
      </c>
      <c r="E248" s="5">
        <v>1</v>
      </c>
      <c r="F248" s="6">
        <v>1</v>
      </c>
      <c r="G248" s="39">
        <f t="shared" si="211"/>
        <v>2</v>
      </c>
      <c r="H248" s="7">
        <f t="shared" si="212"/>
        <v>2</v>
      </c>
      <c r="I248" s="31">
        <v>46113</v>
      </c>
      <c r="J248" s="17"/>
      <c r="K248" s="5"/>
      <c r="L248" s="6"/>
      <c r="M248" s="7">
        <f t="shared" si="216"/>
        <v>0</v>
      </c>
      <c r="N248" s="5"/>
      <c r="O248" s="6"/>
      <c r="P248" s="39">
        <f t="shared" si="217"/>
        <v>0</v>
      </c>
      <c r="Q248" s="7">
        <f t="shared" si="218"/>
        <v>0</v>
      </c>
    </row>
    <row r="249" spans="1:18" x14ac:dyDescent="0.15">
      <c r="A249" s="95" t="s">
        <v>225</v>
      </c>
      <c r="B249" s="65">
        <v>1</v>
      </c>
      <c r="C249" s="66"/>
      <c r="D249" s="67">
        <f t="shared" si="210"/>
        <v>1</v>
      </c>
      <c r="E249" s="65">
        <v>1</v>
      </c>
      <c r="F249" s="66"/>
      <c r="G249" s="68">
        <f t="shared" si="211"/>
        <v>1</v>
      </c>
      <c r="H249" s="67">
        <f t="shared" si="212"/>
        <v>2</v>
      </c>
      <c r="I249" s="71">
        <v>46115</v>
      </c>
      <c r="J249" s="17"/>
      <c r="K249" s="5"/>
      <c r="L249" s="6"/>
      <c r="M249" s="7">
        <f t="shared" ref="M249:M252" si="219">SUM(K249:L249)</f>
        <v>0</v>
      </c>
      <c r="N249" s="5"/>
      <c r="O249" s="6"/>
      <c r="P249" s="39">
        <f t="shared" ref="P249:P252" si="220">SUM(N249:O249)</f>
        <v>0</v>
      </c>
      <c r="Q249" s="7">
        <f t="shared" ref="Q249:Q252" si="221">M249+P249</f>
        <v>0</v>
      </c>
    </row>
    <row r="250" spans="1:18" x14ac:dyDescent="0.15">
      <c r="A250" s="95" t="s">
        <v>53</v>
      </c>
      <c r="B250" s="83"/>
      <c r="C250" s="84">
        <v>1</v>
      </c>
      <c r="D250" s="67">
        <f t="shared" si="210"/>
        <v>1</v>
      </c>
      <c r="E250" s="83"/>
      <c r="F250" s="84">
        <v>1</v>
      </c>
      <c r="G250" s="68">
        <f t="shared" si="211"/>
        <v>1</v>
      </c>
      <c r="H250" s="67">
        <f t="shared" si="212"/>
        <v>2</v>
      </c>
      <c r="I250" s="71">
        <v>46118</v>
      </c>
      <c r="J250" s="17"/>
      <c r="K250" s="5"/>
      <c r="L250" s="6"/>
      <c r="M250" s="7">
        <f t="shared" si="219"/>
        <v>0</v>
      </c>
      <c r="N250" s="5"/>
      <c r="O250" s="6"/>
      <c r="P250" s="39">
        <f t="shared" si="220"/>
        <v>0</v>
      </c>
      <c r="Q250" s="7">
        <f t="shared" si="221"/>
        <v>0</v>
      </c>
    </row>
    <row r="251" spans="1:18" x14ac:dyDescent="0.15">
      <c r="A251" s="17" t="s">
        <v>44</v>
      </c>
      <c r="B251" s="5">
        <v>3</v>
      </c>
      <c r="C251" s="6"/>
      <c r="D251" s="7">
        <f t="shared" si="210"/>
        <v>3</v>
      </c>
      <c r="E251" s="5">
        <v>1</v>
      </c>
      <c r="F251" s="6"/>
      <c r="G251" s="39">
        <f t="shared" si="211"/>
        <v>1</v>
      </c>
      <c r="H251" s="7">
        <f t="shared" si="212"/>
        <v>4</v>
      </c>
      <c r="I251" s="31">
        <v>46119</v>
      </c>
      <c r="J251" s="17"/>
      <c r="K251" s="5"/>
      <c r="L251" s="6"/>
      <c r="M251" s="7">
        <f t="shared" si="219"/>
        <v>0</v>
      </c>
      <c r="N251" s="5"/>
      <c r="O251" s="6"/>
      <c r="P251" s="39">
        <f t="shared" si="220"/>
        <v>0</v>
      </c>
      <c r="Q251" s="7">
        <f t="shared" si="221"/>
        <v>0</v>
      </c>
    </row>
    <row r="252" spans="1:18" x14ac:dyDescent="0.15">
      <c r="A252" s="17" t="s">
        <v>227</v>
      </c>
      <c r="B252" s="5">
        <v>2</v>
      </c>
      <c r="C252" s="6"/>
      <c r="D252" s="7">
        <f t="shared" si="210"/>
        <v>2</v>
      </c>
      <c r="E252" s="5">
        <v>3</v>
      </c>
      <c r="F252" s="6"/>
      <c r="G252" s="39">
        <f t="shared" si="211"/>
        <v>3</v>
      </c>
      <c r="H252" s="7">
        <f t="shared" si="212"/>
        <v>5</v>
      </c>
      <c r="I252" s="31">
        <v>46120</v>
      </c>
      <c r="J252" s="17"/>
      <c r="K252" s="5"/>
      <c r="L252" s="6"/>
      <c r="M252" s="7">
        <f t="shared" si="219"/>
        <v>0</v>
      </c>
      <c r="N252" s="5"/>
      <c r="O252" s="6"/>
      <c r="P252" s="39">
        <f t="shared" si="220"/>
        <v>0</v>
      </c>
      <c r="Q252" s="7">
        <f t="shared" si="221"/>
        <v>0</v>
      </c>
    </row>
    <row r="253" spans="1:18" x14ac:dyDescent="0.15">
      <c r="A253" s="15" t="s">
        <v>229</v>
      </c>
      <c r="B253" s="5">
        <v>1</v>
      </c>
      <c r="C253" s="6"/>
      <c r="D253" s="7">
        <f t="shared" si="210"/>
        <v>1</v>
      </c>
      <c r="E253" s="5">
        <v>1</v>
      </c>
      <c r="F253" s="6"/>
      <c r="G253" s="39">
        <f t="shared" si="211"/>
        <v>1</v>
      </c>
      <c r="H253" s="7">
        <f t="shared" si="212"/>
        <v>2</v>
      </c>
      <c r="I253" s="31">
        <v>46122</v>
      </c>
      <c r="J253" s="80" t="s">
        <v>121</v>
      </c>
      <c r="K253" s="59"/>
      <c r="L253" s="60"/>
      <c r="M253" s="61">
        <f t="shared" si="216"/>
        <v>0</v>
      </c>
      <c r="N253" s="59"/>
      <c r="O253" s="60"/>
      <c r="P253" s="62">
        <f t="shared" si="217"/>
        <v>0</v>
      </c>
      <c r="Q253" s="94">
        <f t="shared" si="218"/>
        <v>0</v>
      </c>
      <c r="R253" s="50"/>
    </row>
    <row r="254" spans="1:18" ht="14.25" thickBot="1" x14ac:dyDescent="0.2">
      <c r="A254" s="15" t="s">
        <v>231</v>
      </c>
      <c r="B254" s="5">
        <v>1</v>
      </c>
      <c r="C254" s="6"/>
      <c r="D254" s="7">
        <f t="shared" si="210"/>
        <v>1</v>
      </c>
      <c r="E254" s="5"/>
      <c r="F254" s="6">
        <v>1</v>
      </c>
      <c r="G254" s="39">
        <f t="shared" si="211"/>
        <v>1</v>
      </c>
      <c r="H254" s="12">
        <f t="shared" si="212"/>
        <v>2</v>
      </c>
      <c r="I254" s="31">
        <v>46121</v>
      </c>
      <c r="J254" s="17" t="s">
        <v>122</v>
      </c>
      <c r="K254" s="5"/>
      <c r="L254" s="6"/>
      <c r="M254" s="7">
        <f t="shared" si="216"/>
        <v>0</v>
      </c>
      <c r="N254" s="5"/>
      <c r="O254" s="6"/>
      <c r="P254" s="39">
        <f t="shared" si="217"/>
        <v>0</v>
      </c>
      <c r="Q254" s="12">
        <f t="shared" si="218"/>
        <v>0</v>
      </c>
      <c r="R254" s="50" t="s">
        <v>123</v>
      </c>
    </row>
    <row r="255" spans="1:18" ht="14.25" thickBot="1" x14ac:dyDescent="0.2">
      <c r="A255" s="26" t="s">
        <v>14</v>
      </c>
      <c r="B255" s="27">
        <f>SUM(B229:B254)</f>
        <v>25</v>
      </c>
      <c r="C255" s="28">
        <f>SUM(C229:C254)</f>
        <v>17</v>
      </c>
      <c r="D255" s="29">
        <f t="shared" si="210"/>
        <v>42</v>
      </c>
      <c r="E255" s="27">
        <f>SUM(E229:E254)</f>
        <v>18</v>
      </c>
      <c r="F255" s="28">
        <f>SUM(F229:F254)</f>
        <v>11</v>
      </c>
      <c r="G255" s="29">
        <f t="shared" si="211"/>
        <v>29</v>
      </c>
      <c r="H255" s="30">
        <f t="shared" si="212"/>
        <v>71</v>
      </c>
      <c r="J255" s="26" t="s">
        <v>14</v>
      </c>
      <c r="K255" s="27">
        <f>SUM(K229:K254)</f>
        <v>165</v>
      </c>
      <c r="L255" s="28">
        <f t="shared" ref="L255:Q255" si="222">SUM(L229:L254)</f>
        <v>70</v>
      </c>
      <c r="M255" s="29">
        <f t="shared" si="222"/>
        <v>235</v>
      </c>
      <c r="N255" s="27">
        <f t="shared" si="222"/>
        <v>90</v>
      </c>
      <c r="O255" s="28">
        <f t="shared" si="222"/>
        <v>50</v>
      </c>
      <c r="P255" s="29">
        <f t="shared" si="222"/>
        <v>140</v>
      </c>
      <c r="Q255" s="30">
        <f t="shared" si="222"/>
        <v>375</v>
      </c>
    </row>
    <row r="256" spans="1:18" ht="14.25" thickBot="1" x14ac:dyDescent="0.2">
      <c r="A256" s="13" t="s">
        <v>15</v>
      </c>
      <c r="B256" s="36">
        <f>B228-B255</f>
        <v>13</v>
      </c>
      <c r="C256" s="37">
        <f t="shared" ref="C256:D256" si="223">C228-C255</f>
        <v>22</v>
      </c>
      <c r="D256" s="38">
        <f t="shared" si="223"/>
        <v>35</v>
      </c>
      <c r="E256" s="36">
        <f>E228-E255</f>
        <v>11</v>
      </c>
      <c r="F256" s="37">
        <f t="shared" ref="F256:G256" si="224">F228-F255</f>
        <v>17</v>
      </c>
      <c r="G256" s="38">
        <f t="shared" si="224"/>
        <v>28</v>
      </c>
      <c r="H256" s="21">
        <f t="shared" si="212"/>
        <v>63</v>
      </c>
      <c r="J256" s="13" t="s">
        <v>15</v>
      </c>
      <c r="K256" s="36">
        <f>K228-K255</f>
        <v>1084</v>
      </c>
      <c r="L256" s="53">
        <f t="shared" ref="L256:Q256" si="225">L228-L255</f>
        <v>1131</v>
      </c>
      <c r="M256" s="54">
        <f t="shared" si="225"/>
        <v>2215</v>
      </c>
      <c r="N256" s="36">
        <f t="shared" si="225"/>
        <v>490</v>
      </c>
      <c r="O256" s="53">
        <f t="shared" si="225"/>
        <v>708</v>
      </c>
      <c r="P256" s="54">
        <f t="shared" si="225"/>
        <v>1198</v>
      </c>
      <c r="Q256" s="21">
        <f t="shared" si="225"/>
        <v>3413</v>
      </c>
      <c r="R256" s="73" t="s">
        <v>183</v>
      </c>
    </row>
    <row r="259" spans="1:20" ht="19.5" thickBot="1" x14ac:dyDescent="0.25">
      <c r="A259" s="57" t="s">
        <v>48</v>
      </c>
      <c r="B259" s="57"/>
      <c r="C259" s="57"/>
      <c r="D259" s="57"/>
      <c r="E259" s="42"/>
      <c r="F259" s="42"/>
      <c r="G259" s="42"/>
      <c r="H259" s="42"/>
      <c r="J259" s="55" t="s">
        <v>47</v>
      </c>
      <c r="K259" s="55"/>
      <c r="L259" s="55"/>
      <c r="M259" s="55"/>
      <c r="N259" s="55"/>
      <c r="O259" s="56"/>
      <c r="P259" s="56" t="s">
        <v>41</v>
      </c>
      <c r="Q259" s="56"/>
    </row>
    <row r="260" spans="1:20" ht="14.25" thickBot="1" x14ac:dyDescent="0.2">
      <c r="A260" s="4" t="s">
        <v>0</v>
      </c>
      <c r="B260" s="107" t="s">
        <v>18</v>
      </c>
      <c r="C260" s="108"/>
      <c r="D260" s="109"/>
      <c r="E260" s="110" t="s">
        <v>19</v>
      </c>
      <c r="F260" s="111"/>
      <c r="G260" s="112"/>
      <c r="H260" s="105" t="s">
        <v>1</v>
      </c>
      <c r="J260" s="4" t="s">
        <v>0</v>
      </c>
      <c r="K260" s="107" t="s">
        <v>18</v>
      </c>
      <c r="L260" s="108"/>
      <c r="M260" s="109"/>
      <c r="N260" s="110" t="s">
        <v>19</v>
      </c>
      <c r="O260" s="111"/>
      <c r="P260" s="112"/>
      <c r="Q260" s="105" t="s">
        <v>1</v>
      </c>
    </row>
    <row r="261" spans="1:20" ht="14.25" thickBot="1" x14ac:dyDescent="0.2">
      <c r="A261" s="4" t="s">
        <v>2</v>
      </c>
      <c r="B261" s="1" t="s">
        <v>16</v>
      </c>
      <c r="C261" s="2" t="s">
        <v>17</v>
      </c>
      <c r="D261" s="4" t="s">
        <v>3</v>
      </c>
      <c r="E261" s="1" t="s">
        <v>16</v>
      </c>
      <c r="F261" s="2" t="s">
        <v>17</v>
      </c>
      <c r="G261" s="4" t="s">
        <v>3</v>
      </c>
      <c r="H261" s="106"/>
      <c r="J261" s="4" t="s">
        <v>2</v>
      </c>
      <c r="K261" s="1" t="s">
        <v>16</v>
      </c>
      <c r="L261" s="2" t="s">
        <v>17</v>
      </c>
      <c r="M261" s="4" t="s">
        <v>3</v>
      </c>
      <c r="N261" s="1" t="s">
        <v>16</v>
      </c>
      <c r="O261" s="2" t="s">
        <v>17</v>
      </c>
      <c r="P261" s="4" t="s">
        <v>3</v>
      </c>
      <c r="Q261" s="106"/>
    </row>
    <row r="262" spans="1:20" ht="14.25" thickBot="1" x14ac:dyDescent="0.2">
      <c r="A262" s="18" t="s">
        <v>15</v>
      </c>
      <c r="B262" s="19">
        <f>B256</f>
        <v>13</v>
      </c>
      <c r="C262" s="20">
        <f t="shared" ref="C262" si="226">C256</f>
        <v>22</v>
      </c>
      <c r="D262" s="21">
        <f t="shared" ref="D262:D270" si="227">SUM(B262:C262)</f>
        <v>35</v>
      </c>
      <c r="E262" s="19">
        <f>E256</f>
        <v>11</v>
      </c>
      <c r="F262" s="20">
        <f t="shared" ref="F262" si="228">F256</f>
        <v>17</v>
      </c>
      <c r="G262" s="21">
        <f t="shared" ref="G262:G270" si="229">SUM(E262:F262)</f>
        <v>28</v>
      </c>
      <c r="H262" s="21">
        <f t="shared" ref="H262:H270" si="230">D262+G262</f>
        <v>63</v>
      </c>
      <c r="J262" s="18" t="s">
        <v>15</v>
      </c>
      <c r="K262" s="19">
        <f>K256</f>
        <v>1084</v>
      </c>
      <c r="L262" s="20">
        <f t="shared" ref="L262:Q262" si="231">L256</f>
        <v>1131</v>
      </c>
      <c r="M262" s="21">
        <f t="shared" si="231"/>
        <v>2215</v>
      </c>
      <c r="N262" s="19">
        <f t="shared" si="231"/>
        <v>490</v>
      </c>
      <c r="O262" s="20">
        <f t="shared" si="231"/>
        <v>708</v>
      </c>
      <c r="P262" s="21">
        <f t="shared" si="231"/>
        <v>1198</v>
      </c>
      <c r="Q262" s="21">
        <f t="shared" si="231"/>
        <v>3413</v>
      </c>
    </row>
    <row r="263" spans="1:20" x14ac:dyDescent="0.15">
      <c r="A263" s="16" t="s">
        <v>102</v>
      </c>
      <c r="B263" s="10">
        <v>3</v>
      </c>
      <c r="C263" s="11"/>
      <c r="D263" s="43">
        <f t="shared" si="227"/>
        <v>3</v>
      </c>
      <c r="E263" s="10">
        <v>3</v>
      </c>
      <c r="F263" s="11"/>
      <c r="G263" s="44">
        <f t="shared" si="229"/>
        <v>3</v>
      </c>
      <c r="H263" s="43">
        <f t="shared" si="230"/>
        <v>6</v>
      </c>
      <c r="I263" s="31">
        <v>46119</v>
      </c>
      <c r="J263" s="16" t="s">
        <v>5</v>
      </c>
      <c r="K263" s="10"/>
      <c r="L263" s="11"/>
      <c r="M263" s="43">
        <f t="shared" ref="M263:M270" si="232">SUM(K263:L263)</f>
        <v>0</v>
      </c>
      <c r="N263" s="10"/>
      <c r="O263" s="11"/>
      <c r="P263" s="44">
        <f t="shared" ref="P263:P270" si="233">SUM(N263:O263)</f>
        <v>0</v>
      </c>
      <c r="Q263" s="43">
        <f t="shared" ref="Q263:Q270" si="234">M263+P263</f>
        <v>0</v>
      </c>
    </row>
    <row r="264" spans="1:20" x14ac:dyDescent="0.15">
      <c r="A264" s="16" t="s">
        <v>204</v>
      </c>
      <c r="B264" s="5">
        <v>3</v>
      </c>
      <c r="C264" s="6">
        <v>2</v>
      </c>
      <c r="D264" s="7">
        <f t="shared" si="227"/>
        <v>5</v>
      </c>
      <c r="E264" s="5">
        <v>5</v>
      </c>
      <c r="F264" s="6">
        <v>2</v>
      </c>
      <c r="G264" s="39">
        <f t="shared" si="229"/>
        <v>7</v>
      </c>
      <c r="H264" s="7">
        <f t="shared" si="230"/>
        <v>12</v>
      </c>
      <c r="I264" s="33">
        <v>46129</v>
      </c>
      <c r="J264" s="16" t="s">
        <v>204</v>
      </c>
      <c r="K264" s="5"/>
      <c r="L264" s="6"/>
      <c r="M264" s="7">
        <f t="shared" si="232"/>
        <v>0</v>
      </c>
      <c r="N264" s="5">
        <v>10</v>
      </c>
      <c r="O264" s="6"/>
      <c r="P264" s="39">
        <f t="shared" si="233"/>
        <v>10</v>
      </c>
      <c r="Q264" s="7">
        <f t="shared" si="234"/>
        <v>10</v>
      </c>
      <c r="R264" s="49">
        <v>46129</v>
      </c>
    </row>
    <row r="265" spans="1:20" x14ac:dyDescent="0.15">
      <c r="A265" s="16" t="s">
        <v>237</v>
      </c>
      <c r="B265" s="5">
        <v>1</v>
      </c>
      <c r="C265" s="6">
        <v>1</v>
      </c>
      <c r="D265" s="7">
        <f t="shared" si="227"/>
        <v>2</v>
      </c>
      <c r="E265" s="5">
        <v>1</v>
      </c>
      <c r="F265" s="6">
        <v>1</v>
      </c>
      <c r="G265" s="39">
        <f t="shared" si="229"/>
        <v>2</v>
      </c>
      <c r="H265" s="7">
        <f t="shared" si="230"/>
        <v>4</v>
      </c>
      <c r="I265" s="31">
        <v>46128</v>
      </c>
      <c r="J265" s="16" t="s">
        <v>236</v>
      </c>
      <c r="K265" s="5">
        <v>3</v>
      </c>
      <c r="L265" s="6">
        <v>10</v>
      </c>
      <c r="M265" s="7">
        <f t="shared" si="232"/>
        <v>13</v>
      </c>
      <c r="N265" s="5">
        <v>5</v>
      </c>
      <c r="O265" s="6">
        <v>9</v>
      </c>
      <c r="P265" s="39">
        <f t="shared" si="233"/>
        <v>14</v>
      </c>
      <c r="Q265" s="7">
        <f t="shared" si="234"/>
        <v>27</v>
      </c>
      <c r="R265" s="51">
        <v>46130</v>
      </c>
    </row>
    <row r="266" spans="1:20" x14ac:dyDescent="0.15">
      <c r="A266" s="70" t="s">
        <v>8</v>
      </c>
      <c r="B266" s="65"/>
      <c r="C266" s="66"/>
      <c r="D266" s="67">
        <f t="shared" si="227"/>
        <v>0</v>
      </c>
      <c r="E266" s="65">
        <v>5</v>
      </c>
      <c r="F266" s="66">
        <v>5</v>
      </c>
      <c r="G266" s="68">
        <f t="shared" si="229"/>
        <v>10</v>
      </c>
      <c r="H266" s="67">
        <f t="shared" si="230"/>
        <v>10</v>
      </c>
      <c r="I266" s="71">
        <v>46139</v>
      </c>
      <c r="J266" s="16" t="s">
        <v>95</v>
      </c>
      <c r="K266" s="5">
        <v>18</v>
      </c>
      <c r="L266" s="6">
        <v>2</v>
      </c>
      <c r="M266" s="7">
        <f t="shared" si="232"/>
        <v>20</v>
      </c>
      <c r="N266" s="5">
        <v>11</v>
      </c>
      <c r="O266" s="6">
        <v>8</v>
      </c>
      <c r="P266" s="39">
        <f t="shared" si="233"/>
        <v>19</v>
      </c>
      <c r="Q266" s="7">
        <f t="shared" si="234"/>
        <v>39</v>
      </c>
      <c r="R266" s="49">
        <v>46157</v>
      </c>
      <c r="S266" s="32"/>
      <c r="T266" s="32"/>
    </row>
    <row r="267" spans="1:20" x14ac:dyDescent="0.15">
      <c r="A267" s="70" t="s">
        <v>9</v>
      </c>
      <c r="B267" s="65"/>
      <c r="C267" s="66"/>
      <c r="D267" s="67">
        <f t="shared" si="227"/>
        <v>0</v>
      </c>
      <c r="E267" s="65">
        <v>3</v>
      </c>
      <c r="F267" s="66"/>
      <c r="G267" s="68">
        <f t="shared" si="229"/>
        <v>3</v>
      </c>
      <c r="H267" s="67">
        <f t="shared" si="230"/>
        <v>3</v>
      </c>
      <c r="I267" s="71">
        <v>46162</v>
      </c>
      <c r="J267" s="16" t="s">
        <v>9</v>
      </c>
      <c r="K267" s="5"/>
      <c r="L267" s="6"/>
      <c r="M267" s="7">
        <f t="shared" si="232"/>
        <v>0</v>
      </c>
      <c r="N267" s="5"/>
      <c r="O267" s="6"/>
      <c r="P267" s="39">
        <f t="shared" si="233"/>
        <v>0</v>
      </c>
      <c r="Q267" s="7">
        <f t="shared" si="234"/>
        <v>0</v>
      </c>
      <c r="R267" s="50"/>
      <c r="S267" s="32"/>
      <c r="T267" s="32"/>
    </row>
    <row r="268" spans="1:20" x14ac:dyDescent="0.15">
      <c r="A268" s="16" t="s">
        <v>250</v>
      </c>
      <c r="B268" s="5">
        <v>4</v>
      </c>
      <c r="C268" s="6">
        <v>6</v>
      </c>
      <c r="D268" s="7">
        <f t="shared" si="227"/>
        <v>10</v>
      </c>
      <c r="E268" s="5">
        <v>6</v>
      </c>
      <c r="F268" s="6">
        <v>5</v>
      </c>
      <c r="G268" s="39">
        <f t="shared" si="229"/>
        <v>11</v>
      </c>
      <c r="H268" s="7">
        <f t="shared" si="230"/>
        <v>21</v>
      </c>
      <c r="I268" s="33">
        <v>46160</v>
      </c>
      <c r="J268" s="16" t="s">
        <v>10</v>
      </c>
      <c r="K268" s="5"/>
      <c r="L268" s="6"/>
      <c r="M268" s="7">
        <f t="shared" si="232"/>
        <v>0</v>
      </c>
      <c r="N268" s="5"/>
      <c r="O268" s="6"/>
      <c r="P268" s="39">
        <f t="shared" si="233"/>
        <v>0</v>
      </c>
      <c r="Q268" s="7">
        <f t="shared" si="234"/>
        <v>0</v>
      </c>
    </row>
    <row r="269" spans="1:20" x14ac:dyDescent="0.15">
      <c r="A269" s="16" t="s">
        <v>11</v>
      </c>
      <c r="B269" s="83"/>
      <c r="C269" s="84"/>
      <c r="D269" s="67">
        <f t="shared" si="227"/>
        <v>0</v>
      </c>
      <c r="E269" s="83"/>
      <c r="F269" s="84"/>
      <c r="G269" s="68">
        <f t="shared" si="229"/>
        <v>0</v>
      </c>
      <c r="H269" s="67">
        <f t="shared" si="230"/>
        <v>0</v>
      </c>
      <c r="I269" s="71"/>
      <c r="J269" s="16" t="s">
        <v>11</v>
      </c>
      <c r="K269" s="8"/>
      <c r="L269" s="9"/>
      <c r="M269" s="7">
        <f t="shared" si="232"/>
        <v>0</v>
      </c>
      <c r="N269" s="8"/>
      <c r="O269" s="9"/>
      <c r="P269" s="39">
        <f t="shared" si="233"/>
        <v>0</v>
      </c>
      <c r="Q269" s="7">
        <f t="shared" si="234"/>
        <v>0</v>
      </c>
    </row>
    <row r="270" spans="1:20" ht="14.25" thickBot="1" x14ac:dyDescent="0.2">
      <c r="A270" s="16" t="s">
        <v>12</v>
      </c>
      <c r="B270" s="22"/>
      <c r="C270" s="23"/>
      <c r="D270" s="7">
        <f t="shared" si="227"/>
        <v>0</v>
      </c>
      <c r="E270" s="22"/>
      <c r="F270" s="23"/>
      <c r="G270" s="39">
        <f t="shared" si="229"/>
        <v>0</v>
      </c>
      <c r="H270" s="12">
        <f t="shared" si="230"/>
        <v>0</v>
      </c>
      <c r="I270" s="31"/>
      <c r="J270" s="16" t="s">
        <v>12</v>
      </c>
      <c r="K270" s="22"/>
      <c r="L270" s="23"/>
      <c r="M270" s="7">
        <f t="shared" si="232"/>
        <v>0</v>
      </c>
      <c r="N270" s="22"/>
      <c r="O270" s="23"/>
      <c r="P270" s="39">
        <f t="shared" si="233"/>
        <v>0</v>
      </c>
      <c r="Q270" s="12">
        <f t="shared" si="234"/>
        <v>0</v>
      </c>
    </row>
    <row r="271" spans="1:20" ht="14.25" thickBot="1" x14ac:dyDescent="0.2">
      <c r="A271" s="24" t="s">
        <v>13</v>
      </c>
      <c r="B271" s="19">
        <f>SUM(B262:B270)</f>
        <v>24</v>
      </c>
      <c r="C271" s="20">
        <f t="shared" ref="C271:H271" si="235">SUM(C262:C270)</f>
        <v>31</v>
      </c>
      <c r="D271" s="41">
        <f t="shared" si="235"/>
        <v>55</v>
      </c>
      <c r="E271" s="19">
        <f t="shared" si="235"/>
        <v>34</v>
      </c>
      <c r="F271" s="20">
        <f t="shared" si="235"/>
        <v>30</v>
      </c>
      <c r="G271" s="40">
        <f t="shared" si="235"/>
        <v>64</v>
      </c>
      <c r="H271" s="21">
        <f t="shared" si="235"/>
        <v>119</v>
      </c>
      <c r="J271" s="26" t="s">
        <v>13</v>
      </c>
      <c r="K271" s="98">
        <f>SUM(K262:K270)</f>
        <v>1105</v>
      </c>
      <c r="L271" s="99">
        <f t="shared" ref="L271:Q271" si="236">SUM(L262:L270)</f>
        <v>1143</v>
      </c>
      <c r="M271" s="29">
        <f t="shared" si="236"/>
        <v>2248</v>
      </c>
      <c r="N271" s="98">
        <f t="shared" si="236"/>
        <v>516</v>
      </c>
      <c r="O271" s="99">
        <f t="shared" si="236"/>
        <v>725</v>
      </c>
      <c r="P271" s="29">
        <f t="shared" si="236"/>
        <v>1241</v>
      </c>
      <c r="Q271" s="29">
        <f t="shared" si="236"/>
        <v>3489</v>
      </c>
      <c r="R271" s="50"/>
    </row>
    <row r="272" spans="1:20" x14ac:dyDescent="0.15">
      <c r="A272" s="15" t="s">
        <v>53</v>
      </c>
      <c r="B272" s="5"/>
      <c r="C272" s="6">
        <v>1</v>
      </c>
      <c r="D272" s="7">
        <f t="shared" ref="D272:D298" si="237">SUM(B272:C272)</f>
        <v>1</v>
      </c>
      <c r="E272" s="5"/>
      <c r="F272" s="6">
        <v>1</v>
      </c>
      <c r="G272" s="39">
        <f t="shared" ref="G272:G298" si="238">SUM(E272:F272)</f>
        <v>1</v>
      </c>
      <c r="H272" s="7">
        <f t="shared" ref="H272:H299" si="239">D272+G272</f>
        <v>2</v>
      </c>
      <c r="I272" s="31">
        <v>46120</v>
      </c>
      <c r="J272" s="17" t="s">
        <v>240</v>
      </c>
      <c r="K272" s="5"/>
      <c r="L272" s="6"/>
      <c r="M272" s="7">
        <f t="shared" ref="M272:M278" si="240">SUM(K272:L272)</f>
        <v>0</v>
      </c>
      <c r="N272" s="5">
        <v>5</v>
      </c>
      <c r="O272" s="6">
        <v>5</v>
      </c>
      <c r="P272" s="39">
        <f t="shared" ref="P272:P278" si="241">SUM(N272:O272)</f>
        <v>10</v>
      </c>
      <c r="Q272" s="7">
        <f t="shared" ref="Q272:Q278" si="242">M272+P272</f>
        <v>10</v>
      </c>
      <c r="R272" s="49">
        <v>46139</v>
      </c>
    </row>
    <row r="273" spans="1:19" x14ac:dyDescent="0.15">
      <c r="A273" s="15" t="s">
        <v>53</v>
      </c>
      <c r="B273" s="5"/>
      <c r="C273" s="6">
        <v>2</v>
      </c>
      <c r="D273" s="7">
        <f t="shared" si="237"/>
        <v>2</v>
      </c>
      <c r="E273" s="5"/>
      <c r="F273" s="6"/>
      <c r="G273" s="39">
        <f t="shared" si="238"/>
        <v>0</v>
      </c>
      <c r="H273" s="7">
        <f t="shared" si="239"/>
        <v>2</v>
      </c>
      <c r="I273" s="31">
        <v>46121</v>
      </c>
      <c r="J273" s="14" t="s">
        <v>224</v>
      </c>
      <c r="K273" s="5"/>
      <c r="L273" s="6">
        <v>1</v>
      </c>
      <c r="M273" s="7">
        <f t="shared" si="240"/>
        <v>1</v>
      </c>
      <c r="N273" s="5"/>
      <c r="O273" s="6">
        <v>1</v>
      </c>
      <c r="P273" s="39">
        <f t="shared" si="241"/>
        <v>1</v>
      </c>
      <c r="Q273" s="7">
        <f t="shared" si="242"/>
        <v>2</v>
      </c>
      <c r="R273" s="49">
        <v>46149</v>
      </c>
      <c r="S273" s="32"/>
    </row>
    <row r="274" spans="1:19" x14ac:dyDescent="0.15">
      <c r="A274" s="17" t="s">
        <v>233</v>
      </c>
      <c r="B274" s="5"/>
      <c r="C274" s="6"/>
      <c r="D274" s="7">
        <f t="shared" si="237"/>
        <v>0</v>
      </c>
      <c r="E274" s="5">
        <v>2</v>
      </c>
      <c r="F274" s="6">
        <v>1</v>
      </c>
      <c r="G274" s="39">
        <f t="shared" si="238"/>
        <v>3</v>
      </c>
      <c r="H274" s="7">
        <f t="shared" si="239"/>
        <v>3</v>
      </c>
      <c r="I274" s="31">
        <v>46123</v>
      </c>
      <c r="J274" s="15" t="s">
        <v>246</v>
      </c>
      <c r="K274" s="5">
        <v>1</v>
      </c>
      <c r="L274" s="6"/>
      <c r="M274" s="7">
        <f t="shared" si="240"/>
        <v>1</v>
      </c>
      <c r="N274" s="5">
        <v>1</v>
      </c>
      <c r="O274" s="6"/>
      <c r="P274" s="39">
        <f t="shared" si="241"/>
        <v>1</v>
      </c>
      <c r="Q274" s="7">
        <f t="shared" si="242"/>
        <v>2</v>
      </c>
      <c r="R274" s="49">
        <v>46155</v>
      </c>
    </row>
    <row r="275" spans="1:19" x14ac:dyDescent="0.15">
      <c r="A275" s="15" t="s">
        <v>234</v>
      </c>
      <c r="B275" s="5">
        <v>1</v>
      </c>
      <c r="C275" s="6"/>
      <c r="D275" s="7">
        <f t="shared" si="237"/>
        <v>1</v>
      </c>
      <c r="E275" s="5">
        <v>1</v>
      </c>
      <c r="F275" s="6"/>
      <c r="G275" s="39">
        <f t="shared" si="238"/>
        <v>1</v>
      </c>
      <c r="H275" s="7">
        <f t="shared" si="239"/>
        <v>2</v>
      </c>
      <c r="I275" s="31">
        <v>46127</v>
      </c>
      <c r="J275" s="64" t="s">
        <v>130</v>
      </c>
      <c r="K275" s="65"/>
      <c r="L275" s="66"/>
      <c r="M275" s="67">
        <f t="shared" si="240"/>
        <v>0</v>
      </c>
      <c r="N275" s="65">
        <v>3</v>
      </c>
      <c r="O275" s="66"/>
      <c r="P275" s="68">
        <f t="shared" si="241"/>
        <v>3</v>
      </c>
      <c r="Q275" s="67">
        <f t="shared" si="242"/>
        <v>3</v>
      </c>
      <c r="R275" s="69">
        <v>46162</v>
      </c>
    </row>
    <row r="276" spans="1:19" x14ac:dyDescent="0.15">
      <c r="A276" s="34" t="s">
        <v>53</v>
      </c>
      <c r="B276" s="5"/>
      <c r="C276" s="6"/>
      <c r="D276" s="7">
        <f t="shared" si="237"/>
        <v>0</v>
      </c>
      <c r="E276" s="5">
        <v>4</v>
      </c>
      <c r="F276" s="6">
        <v>1</v>
      </c>
      <c r="G276" s="39">
        <f t="shared" si="238"/>
        <v>5</v>
      </c>
      <c r="H276" s="7">
        <f t="shared" si="239"/>
        <v>5</v>
      </c>
      <c r="I276" s="31">
        <v>46125</v>
      </c>
      <c r="J276" s="17"/>
      <c r="K276" s="5"/>
      <c r="L276" s="6"/>
      <c r="M276" s="7">
        <f t="shared" si="240"/>
        <v>0</v>
      </c>
      <c r="N276" s="5"/>
      <c r="O276" s="6"/>
      <c r="P276" s="39">
        <f t="shared" si="241"/>
        <v>0</v>
      </c>
      <c r="Q276" s="7">
        <f t="shared" si="242"/>
        <v>0</v>
      </c>
    </row>
    <row r="277" spans="1:19" x14ac:dyDescent="0.15">
      <c r="A277" s="34" t="s">
        <v>53</v>
      </c>
      <c r="B277" s="5"/>
      <c r="C277" s="6"/>
      <c r="D277" s="7">
        <f t="shared" si="237"/>
        <v>0</v>
      </c>
      <c r="E277" s="5"/>
      <c r="F277" s="6">
        <v>1</v>
      </c>
      <c r="G277" s="39">
        <f t="shared" si="238"/>
        <v>1</v>
      </c>
      <c r="H277" s="7">
        <f t="shared" si="239"/>
        <v>1</v>
      </c>
      <c r="I277" s="31">
        <v>46127</v>
      </c>
      <c r="J277" s="17"/>
      <c r="K277" s="5"/>
      <c r="L277" s="6"/>
      <c r="M277" s="7">
        <f t="shared" si="240"/>
        <v>0</v>
      </c>
      <c r="N277" s="5"/>
      <c r="O277" s="6"/>
      <c r="P277" s="39">
        <f t="shared" si="241"/>
        <v>0</v>
      </c>
      <c r="Q277" s="7">
        <f t="shared" si="242"/>
        <v>0</v>
      </c>
    </row>
    <row r="278" spans="1:19" x14ac:dyDescent="0.15">
      <c r="A278" s="34" t="s">
        <v>53</v>
      </c>
      <c r="B278" s="5">
        <v>1</v>
      </c>
      <c r="C278" s="6"/>
      <c r="D278" s="7">
        <f t="shared" si="237"/>
        <v>1</v>
      </c>
      <c r="E278" s="5"/>
      <c r="F278" s="6"/>
      <c r="G278" s="39">
        <f t="shared" si="238"/>
        <v>0</v>
      </c>
      <c r="H278" s="7">
        <f t="shared" si="239"/>
        <v>1</v>
      </c>
      <c r="I278" s="31">
        <v>46128</v>
      </c>
      <c r="J278" s="17"/>
      <c r="K278" s="5"/>
      <c r="L278" s="6"/>
      <c r="M278" s="7">
        <f t="shared" si="240"/>
        <v>0</v>
      </c>
      <c r="N278" s="5"/>
      <c r="O278" s="6"/>
      <c r="P278" s="39">
        <f t="shared" si="241"/>
        <v>0</v>
      </c>
      <c r="Q278" s="7">
        <f t="shared" si="242"/>
        <v>0</v>
      </c>
    </row>
    <row r="279" spans="1:19" x14ac:dyDescent="0.15">
      <c r="A279" s="14" t="s">
        <v>235</v>
      </c>
      <c r="B279" s="5">
        <v>3</v>
      </c>
      <c r="C279" s="6">
        <v>10</v>
      </c>
      <c r="D279" s="7">
        <f t="shared" si="237"/>
        <v>13</v>
      </c>
      <c r="E279" s="5">
        <v>5</v>
      </c>
      <c r="F279" s="6">
        <v>9</v>
      </c>
      <c r="G279" s="39">
        <f t="shared" si="238"/>
        <v>14</v>
      </c>
      <c r="H279" s="7">
        <f t="shared" si="239"/>
        <v>27</v>
      </c>
      <c r="I279" s="31">
        <v>46130</v>
      </c>
      <c r="J279" s="17"/>
      <c r="K279" s="5"/>
      <c r="L279" s="6"/>
      <c r="M279" s="7">
        <f t="shared" ref="M279:M295" si="243">SUM(K279:L279)</f>
        <v>0</v>
      </c>
      <c r="N279" s="5"/>
      <c r="O279" s="6"/>
      <c r="P279" s="39">
        <f t="shared" ref="P279:P295" si="244">SUM(N279:O279)</f>
        <v>0</v>
      </c>
      <c r="Q279" s="7">
        <f t="shared" ref="Q279:Q295" si="245">M279+P279</f>
        <v>0</v>
      </c>
    </row>
    <row r="280" spans="1:19" x14ac:dyDescent="0.15">
      <c r="A280" s="17" t="s">
        <v>53</v>
      </c>
      <c r="B280" s="5">
        <v>1</v>
      </c>
      <c r="C280" s="6"/>
      <c r="D280" s="7">
        <f t="shared" si="237"/>
        <v>1</v>
      </c>
      <c r="E280" s="5">
        <v>3</v>
      </c>
      <c r="F280" s="6"/>
      <c r="G280" s="39">
        <f t="shared" si="238"/>
        <v>3</v>
      </c>
      <c r="H280" s="7">
        <f t="shared" si="239"/>
        <v>4</v>
      </c>
      <c r="I280" s="33">
        <v>46132</v>
      </c>
      <c r="J280" s="17"/>
      <c r="K280" s="5"/>
      <c r="L280" s="6"/>
      <c r="M280" s="7">
        <f t="shared" si="243"/>
        <v>0</v>
      </c>
      <c r="N280" s="5"/>
      <c r="O280" s="6"/>
      <c r="P280" s="39">
        <f t="shared" si="244"/>
        <v>0</v>
      </c>
      <c r="Q280" s="7">
        <f t="shared" si="245"/>
        <v>0</v>
      </c>
    </row>
    <row r="281" spans="1:19" x14ac:dyDescent="0.15">
      <c r="A281" s="17" t="s">
        <v>53</v>
      </c>
      <c r="B281" s="8"/>
      <c r="C281" s="9"/>
      <c r="D281" s="7">
        <f t="shared" si="237"/>
        <v>0</v>
      </c>
      <c r="E281" s="8"/>
      <c r="F281" s="9">
        <v>1</v>
      </c>
      <c r="G281" s="39">
        <f t="shared" si="238"/>
        <v>1</v>
      </c>
      <c r="H281" s="7">
        <f t="shared" si="239"/>
        <v>1</v>
      </c>
      <c r="I281" s="31">
        <v>46133</v>
      </c>
      <c r="J281" s="17"/>
      <c r="K281" s="8"/>
      <c r="L281" s="9"/>
      <c r="M281" s="7">
        <f t="shared" si="243"/>
        <v>0</v>
      </c>
      <c r="N281" s="8"/>
      <c r="O281" s="9"/>
      <c r="P281" s="39">
        <f t="shared" si="244"/>
        <v>0</v>
      </c>
      <c r="Q281" s="7">
        <f t="shared" si="245"/>
        <v>0</v>
      </c>
    </row>
    <row r="282" spans="1:19" x14ac:dyDescent="0.15">
      <c r="A282" s="15" t="s">
        <v>238</v>
      </c>
      <c r="B282" s="5">
        <v>1</v>
      </c>
      <c r="C282" s="6"/>
      <c r="D282" s="7">
        <f t="shared" si="237"/>
        <v>1</v>
      </c>
      <c r="E282" s="5">
        <v>1</v>
      </c>
      <c r="F282" s="6"/>
      <c r="G282" s="39">
        <f t="shared" si="238"/>
        <v>1</v>
      </c>
      <c r="H282" s="7">
        <f t="shared" si="239"/>
        <v>2</v>
      </c>
      <c r="I282" s="31">
        <v>46137</v>
      </c>
      <c r="J282" s="17"/>
      <c r="K282" s="5"/>
      <c r="L282" s="6"/>
      <c r="M282" s="7">
        <f t="shared" si="243"/>
        <v>0</v>
      </c>
      <c r="N282" s="5"/>
      <c r="O282" s="6"/>
      <c r="P282" s="39">
        <f t="shared" si="244"/>
        <v>0</v>
      </c>
      <c r="Q282" s="7">
        <f t="shared" si="245"/>
        <v>0</v>
      </c>
    </row>
    <row r="283" spans="1:19" x14ac:dyDescent="0.15">
      <c r="A283" s="15" t="s">
        <v>239</v>
      </c>
      <c r="B283" s="5">
        <v>1</v>
      </c>
      <c r="C283" s="6"/>
      <c r="D283" s="7">
        <f t="shared" si="237"/>
        <v>1</v>
      </c>
      <c r="E283" s="5">
        <v>1</v>
      </c>
      <c r="F283" s="6"/>
      <c r="G283" s="39">
        <f t="shared" si="238"/>
        <v>1</v>
      </c>
      <c r="H283" s="7">
        <f t="shared" si="239"/>
        <v>2</v>
      </c>
      <c r="I283" s="31">
        <v>46139</v>
      </c>
      <c r="J283" s="17"/>
      <c r="K283" s="5"/>
      <c r="L283" s="6"/>
      <c r="M283" s="7">
        <f t="shared" si="243"/>
        <v>0</v>
      </c>
      <c r="N283" s="5"/>
      <c r="O283" s="6"/>
      <c r="P283" s="39">
        <f t="shared" si="244"/>
        <v>0</v>
      </c>
      <c r="Q283" s="7">
        <f t="shared" si="245"/>
        <v>0</v>
      </c>
    </row>
    <row r="284" spans="1:19" x14ac:dyDescent="0.15">
      <c r="A284" s="17" t="s">
        <v>53</v>
      </c>
      <c r="B284" s="5"/>
      <c r="C284" s="6">
        <v>1</v>
      </c>
      <c r="D284" s="7">
        <f t="shared" si="237"/>
        <v>1</v>
      </c>
      <c r="E284" s="5"/>
      <c r="F284" s="6"/>
      <c r="G284" s="39">
        <f t="shared" si="238"/>
        <v>0</v>
      </c>
      <c r="H284" s="7">
        <f t="shared" si="239"/>
        <v>1</v>
      </c>
      <c r="I284" s="31">
        <v>46136</v>
      </c>
      <c r="J284" s="15"/>
      <c r="K284" s="5"/>
      <c r="L284" s="6"/>
      <c r="M284" s="7">
        <f t="shared" si="243"/>
        <v>0</v>
      </c>
      <c r="N284" s="5"/>
      <c r="O284" s="6"/>
      <c r="P284" s="39">
        <f t="shared" si="244"/>
        <v>0</v>
      </c>
      <c r="Q284" s="7">
        <f t="shared" si="245"/>
        <v>0</v>
      </c>
    </row>
    <row r="285" spans="1:19" x14ac:dyDescent="0.15">
      <c r="A285" s="15" t="s">
        <v>241</v>
      </c>
      <c r="B285" s="5">
        <v>1</v>
      </c>
      <c r="C285" s="6"/>
      <c r="D285" s="7">
        <f t="shared" si="237"/>
        <v>1</v>
      </c>
      <c r="E285" s="5">
        <v>1</v>
      </c>
      <c r="F285" s="6"/>
      <c r="G285" s="39">
        <f t="shared" si="238"/>
        <v>1</v>
      </c>
      <c r="H285" s="7">
        <f t="shared" si="239"/>
        <v>2</v>
      </c>
      <c r="I285" s="31">
        <v>46140</v>
      </c>
      <c r="J285" s="17"/>
      <c r="K285" s="5"/>
      <c r="L285" s="6"/>
      <c r="M285" s="7">
        <f t="shared" si="243"/>
        <v>0</v>
      </c>
      <c r="N285" s="5"/>
      <c r="O285" s="6"/>
      <c r="P285" s="39">
        <f t="shared" si="244"/>
        <v>0</v>
      </c>
      <c r="Q285" s="7">
        <f t="shared" si="245"/>
        <v>0</v>
      </c>
    </row>
    <row r="286" spans="1:19" x14ac:dyDescent="0.15">
      <c r="A286" s="15" t="s">
        <v>53</v>
      </c>
      <c r="B286" s="5"/>
      <c r="C286" s="6">
        <v>1</v>
      </c>
      <c r="D286" s="7">
        <f t="shared" si="237"/>
        <v>1</v>
      </c>
      <c r="E286" s="5">
        <v>1</v>
      </c>
      <c r="F286" s="6"/>
      <c r="G286" s="39">
        <f t="shared" si="238"/>
        <v>1</v>
      </c>
      <c r="H286" s="7">
        <f t="shared" si="239"/>
        <v>2</v>
      </c>
      <c r="I286" s="31">
        <v>46139</v>
      </c>
      <c r="J286" s="17"/>
      <c r="K286" s="5"/>
      <c r="L286" s="6"/>
      <c r="M286" s="7">
        <f t="shared" si="243"/>
        <v>0</v>
      </c>
      <c r="N286" s="5"/>
      <c r="O286" s="6"/>
      <c r="P286" s="39">
        <f t="shared" si="244"/>
        <v>0</v>
      </c>
      <c r="Q286" s="7">
        <f t="shared" si="245"/>
        <v>0</v>
      </c>
    </row>
    <row r="287" spans="1:19" x14ac:dyDescent="0.15">
      <c r="A287" s="15" t="s">
        <v>53</v>
      </c>
      <c r="B287" s="5"/>
      <c r="C287" s="6">
        <v>1</v>
      </c>
      <c r="D287" s="7">
        <f t="shared" si="237"/>
        <v>1</v>
      </c>
      <c r="E287" s="5"/>
      <c r="F287" s="6">
        <v>2</v>
      </c>
      <c r="G287" s="39">
        <f t="shared" si="238"/>
        <v>2</v>
      </c>
      <c r="H287" s="7">
        <f t="shared" si="239"/>
        <v>3</v>
      </c>
      <c r="I287" s="31">
        <v>46140</v>
      </c>
      <c r="J287" s="17"/>
      <c r="K287" s="5"/>
      <c r="L287" s="6"/>
      <c r="M287" s="7">
        <f t="shared" si="243"/>
        <v>0</v>
      </c>
      <c r="N287" s="5"/>
      <c r="O287" s="6"/>
      <c r="P287" s="39">
        <f t="shared" si="244"/>
        <v>0</v>
      </c>
      <c r="Q287" s="7">
        <f t="shared" si="245"/>
        <v>0</v>
      </c>
    </row>
    <row r="288" spans="1:19" x14ac:dyDescent="0.15">
      <c r="A288" s="15" t="s">
        <v>242</v>
      </c>
      <c r="B288" s="5">
        <v>1</v>
      </c>
      <c r="C288" s="6"/>
      <c r="D288" s="7">
        <f t="shared" si="237"/>
        <v>1</v>
      </c>
      <c r="E288" s="5">
        <v>1</v>
      </c>
      <c r="F288" s="6"/>
      <c r="G288" s="39">
        <f t="shared" si="238"/>
        <v>1</v>
      </c>
      <c r="H288" s="7">
        <f t="shared" si="239"/>
        <v>2</v>
      </c>
      <c r="I288" s="31">
        <v>46149</v>
      </c>
      <c r="J288" s="17"/>
      <c r="K288" s="5"/>
      <c r="L288" s="6"/>
      <c r="M288" s="7">
        <f t="shared" si="243"/>
        <v>0</v>
      </c>
      <c r="N288" s="5"/>
      <c r="O288" s="6"/>
      <c r="P288" s="39">
        <f t="shared" si="244"/>
        <v>0</v>
      </c>
      <c r="Q288" s="7">
        <f t="shared" si="245"/>
        <v>0</v>
      </c>
    </row>
    <row r="289" spans="1:17" x14ac:dyDescent="0.15">
      <c r="A289" s="15" t="s">
        <v>243</v>
      </c>
      <c r="B289" s="5">
        <v>1</v>
      </c>
      <c r="C289" s="6"/>
      <c r="D289" s="7">
        <f t="shared" si="237"/>
        <v>1</v>
      </c>
      <c r="E289" s="5">
        <v>1</v>
      </c>
      <c r="F289" s="6"/>
      <c r="G289" s="39">
        <f t="shared" si="238"/>
        <v>1</v>
      </c>
      <c r="H289" s="7">
        <f t="shared" si="239"/>
        <v>2</v>
      </c>
      <c r="I289" s="31">
        <v>46150</v>
      </c>
      <c r="J289" s="17"/>
      <c r="K289" s="5"/>
      <c r="L289" s="6"/>
      <c r="M289" s="7">
        <f t="shared" si="243"/>
        <v>0</v>
      </c>
      <c r="N289" s="5"/>
      <c r="O289" s="6"/>
      <c r="P289" s="39">
        <f t="shared" si="244"/>
        <v>0</v>
      </c>
      <c r="Q289" s="7">
        <f t="shared" si="245"/>
        <v>0</v>
      </c>
    </row>
    <row r="290" spans="1:17" x14ac:dyDescent="0.15">
      <c r="A290" s="17" t="s">
        <v>53</v>
      </c>
      <c r="B290" s="5"/>
      <c r="C290" s="6"/>
      <c r="D290" s="7">
        <f t="shared" si="237"/>
        <v>0</v>
      </c>
      <c r="E290" s="5"/>
      <c r="F290" s="6">
        <v>2</v>
      </c>
      <c r="G290" s="39">
        <f t="shared" si="238"/>
        <v>2</v>
      </c>
      <c r="H290" s="7">
        <f t="shared" si="239"/>
        <v>2</v>
      </c>
      <c r="I290" s="31">
        <v>46149</v>
      </c>
      <c r="J290" s="17"/>
      <c r="K290" s="5"/>
      <c r="L290" s="6"/>
      <c r="M290" s="7">
        <f t="shared" si="243"/>
        <v>0</v>
      </c>
      <c r="N290" s="5"/>
      <c r="O290" s="6"/>
      <c r="P290" s="39">
        <f t="shared" si="244"/>
        <v>0</v>
      </c>
      <c r="Q290" s="7">
        <f t="shared" si="245"/>
        <v>0</v>
      </c>
    </row>
    <row r="291" spans="1:17" x14ac:dyDescent="0.15">
      <c r="A291" s="14" t="s">
        <v>244</v>
      </c>
      <c r="B291" s="5"/>
      <c r="C291" s="6">
        <v>1</v>
      </c>
      <c r="D291" s="7">
        <f t="shared" si="237"/>
        <v>1</v>
      </c>
      <c r="E291" s="5"/>
      <c r="F291" s="6">
        <v>1</v>
      </c>
      <c r="G291" s="39">
        <f t="shared" si="238"/>
        <v>1</v>
      </c>
      <c r="H291" s="7">
        <f t="shared" si="239"/>
        <v>2</v>
      </c>
      <c r="I291" s="31">
        <v>46151</v>
      </c>
      <c r="J291" s="17"/>
      <c r="K291" s="5"/>
      <c r="L291" s="6"/>
      <c r="M291" s="7">
        <f t="shared" si="243"/>
        <v>0</v>
      </c>
      <c r="N291" s="5"/>
      <c r="O291" s="6"/>
      <c r="P291" s="39">
        <f t="shared" si="244"/>
        <v>0</v>
      </c>
      <c r="Q291" s="7">
        <f t="shared" si="245"/>
        <v>0</v>
      </c>
    </row>
    <row r="292" spans="1:17" x14ac:dyDescent="0.15">
      <c r="A292" s="15" t="s">
        <v>245</v>
      </c>
      <c r="B292" s="5">
        <v>1</v>
      </c>
      <c r="C292" s="6"/>
      <c r="D292" s="7">
        <f t="shared" si="237"/>
        <v>1</v>
      </c>
      <c r="E292" s="5">
        <v>1</v>
      </c>
      <c r="F292" s="6"/>
      <c r="G292" s="39">
        <f t="shared" si="238"/>
        <v>1</v>
      </c>
      <c r="H292" s="7">
        <f t="shared" si="239"/>
        <v>2</v>
      </c>
      <c r="I292" s="31">
        <v>46153</v>
      </c>
      <c r="J292" s="17"/>
      <c r="K292" s="5"/>
      <c r="L292" s="6"/>
      <c r="M292" s="7">
        <f t="shared" si="243"/>
        <v>0</v>
      </c>
      <c r="N292" s="5"/>
      <c r="O292" s="6"/>
      <c r="P292" s="39">
        <f t="shared" si="244"/>
        <v>0</v>
      </c>
      <c r="Q292" s="7">
        <f t="shared" si="245"/>
        <v>0</v>
      </c>
    </row>
    <row r="293" spans="1:17" x14ac:dyDescent="0.15">
      <c r="A293" s="95" t="s">
        <v>53</v>
      </c>
      <c r="B293" s="83"/>
      <c r="C293" s="84"/>
      <c r="D293" s="67">
        <f t="shared" si="237"/>
        <v>0</v>
      </c>
      <c r="E293" s="83"/>
      <c r="F293" s="84">
        <v>1</v>
      </c>
      <c r="G293" s="68">
        <f t="shared" si="238"/>
        <v>1</v>
      </c>
      <c r="H293" s="67">
        <f t="shared" si="239"/>
        <v>1</v>
      </c>
      <c r="I293" s="71">
        <v>46153</v>
      </c>
      <c r="J293" s="17"/>
      <c r="K293" s="5"/>
      <c r="L293" s="6"/>
      <c r="M293" s="7">
        <f t="shared" si="243"/>
        <v>0</v>
      </c>
      <c r="N293" s="5"/>
      <c r="O293" s="6"/>
      <c r="P293" s="39">
        <f t="shared" si="244"/>
        <v>0</v>
      </c>
      <c r="Q293" s="7">
        <f t="shared" si="245"/>
        <v>0</v>
      </c>
    </row>
    <row r="294" spans="1:17" x14ac:dyDescent="0.15">
      <c r="A294" s="64" t="s">
        <v>247</v>
      </c>
      <c r="B294" s="65"/>
      <c r="C294" s="66">
        <v>-1</v>
      </c>
      <c r="D294" s="67">
        <f t="shared" si="237"/>
        <v>-1</v>
      </c>
      <c r="E294" s="65"/>
      <c r="F294" s="66">
        <v>-1</v>
      </c>
      <c r="G294" s="68">
        <f t="shared" si="238"/>
        <v>-1</v>
      </c>
      <c r="H294" s="67">
        <f t="shared" si="239"/>
        <v>-2</v>
      </c>
      <c r="I294" s="71">
        <v>46154</v>
      </c>
      <c r="J294" s="17"/>
      <c r="K294" s="5"/>
      <c r="L294" s="6"/>
      <c r="M294" s="7">
        <f t="shared" si="243"/>
        <v>0</v>
      </c>
      <c r="N294" s="5"/>
      <c r="O294" s="6"/>
      <c r="P294" s="39">
        <f t="shared" si="244"/>
        <v>0</v>
      </c>
      <c r="Q294" s="7">
        <f t="shared" si="245"/>
        <v>0</v>
      </c>
    </row>
    <row r="295" spans="1:17" x14ac:dyDescent="0.15">
      <c r="A295" s="15" t="s">
        <v>248</v>
      </c>
      <c r="B295" s="5">
        <v>1</v>
      </c>
      <c r="C295" s="6"/>
      <c r="D295" s="7">
        <f t="shared" si="237"/>
        <v>1</v>
      </c>
      <c r="E295" s="5">
        <v>1</v>
      </c>
      <c r="F295" s="6"/>
      <c r="G295" s="39">
        <f t="shared" si="238"/>
        <v>1</v>
      </c>
      <c r="H295" s="7">
        <f t="shared" si="239"/>
        <v>2</v>
      </c>
      <c r="I295" s="31">
        <v>46161</v>
      </c>
      <c r="J295" s="17"/>
      <c r="K295" s="5"/>
      <c r="L295" s="6"/>
      <c r="M295" s="7">
        <f t="shared" si="243"/>
        <v>0</v>
      </c>
      <c r="N295" s="5"/>
      <c r="O295" s="6"/>
      <c r="P295" s="39">
        <f t="shared" si="244"/>
        <v>0</v>
      </c>
      <c r="Q295" s="7">
        <f t="shared" si="245"/>
        <v>0</v>
      </c>
    </row>
    <row r="296" spans="1:17" x14ac:dyDescent="0.15">
      <c r="A296" s="15" t="s">
        <v>249</v>
      </c>
      <c r="B296" s="5">
        <v>1</v>
      </c>
      <c r="C296" s="6"/>
      <c r="D296" s="7">
        <f t="shared" si="237"/>
        <v>1</v>
      </c>
      <c r="E296" s="5">
        <v>1</v>
      </c>
      <c r="F296" s="6"/>
      <c r="G296" s="39">
        <f t="shared" si="238"/>
        <v>1</v>
      </c>
      <c r="H296" s="7">
        <f t="shared" si="239"/>
        <v>2</v>
      </c>
      <c r="I296" s="31">
        <v>46163</v>
      </c>
      <c r="J296" s="17"/>
      <c r="K296" s="5"/>
      <c r="L296" s="6"/>
      <c r="M296" s="7">
        <f t="shared" ref="M296" si="246">SUM(K296:L296)</f>
        <v>0</v>
      </c>
      <c r="N296" s="5"/>
      <c r="O296" s="6"/>
      <c r="P296" s="39">
        <f t="shared" ref="P296" si="247">SUM(N296:O296)</f>
        <v>0</v>
      </c>
      <c r="Q296" s="7">
        <f t="shared" ref="Q296" si="248">M296+P296</f>
        <v>0</v>
      </c>
    </row>
    <row r="297" spans="1:17" ht="14.25" thickBot="1" x14ac:dyDescent="0.2">
      <c r="A297" s="15" t="s">
        <v>251</v>
      </c>
      <c r="B297" s="5"/>
      <c r="C297" s="6">
        <v>1</v>
      </c>
      <c r="D297" s="7">
        <f t="shared" si="237"/>
        <v>1</v>
      </c>
      <c r="E297" s="5"/>
      <c r="F297" s="6">
        <v>1</v>
      </c>
      <c r="G297" s="39">
        <f t="shared" si="238"/>
        <v>1</v>
      </c>
      <c r="H297" s="12">
        <f t="shared" si="239"/>
        <v>2</v>
      </c>
      <c r="I297" s="31">
        <v>46165</v>
      </c>
      <c r="J297" s="17"/>
      <c r="K297" s="5"/>
      <c r="L297" s="6"/>
      <c r="M297" s="7">
        <f t="shared" ref="M297" si="249">SUM(K297:L297)</f>
        <v>0</v>
      </c>
      <c r="N297" s="5"/>
      <c r="O297" s="6"/>
      <c r="P297" s="39">
        <f t="shared" ref="P297" si="250">SUM(N297:O297)</f>
        <v>0</v>
      </c>
      <c r="Q297" s="7">
        <f t="shared" ref="Q297" si="251">M297+P297</f>
        <v>0</v>
      </c>
    </row>
    <row r="298" spans="1:17" ht="14.25" thickBot="1" x14ac:dyDescent="0.2">
      <c r="A298" s="26" t="s">
        <v>14</v>
      </c>
      <c r="B298" s="27">
        <f>SUM(B272:B297)</f>
        <v>14</v>
      </c>
      <c r="C298" s="28">
        <f>SUM(C272:C297)</f>
        <v>17</v>
      </c>
      <c r="D298" s="29">
        <f t="shared" si="237"/>
        <v>31</v>
      </c>
      <c r="E298" s="27">
        <f>SUM(E272:E297)</f>
        <v>24</v>
      </c>
      <c r="F298" s="28">
        <f>SUM(F272:F297)</f>
        <v>20</v>
      </c>
      <c r="G298" s="29">
        <f t="shared" si="238"/>
        <v>44</v>
      </c>
      <c r="H298" s="30">
        <f t="shared" si="239"/>
        <v>75</v>
      </c>
      <c r="J298" s="26" t="s">
        <v>14</v>
      </c>
      <c r="K298" s="27">
        <f>SUM(K272:K297)</f>
        <v>1</v>
      </c>
      <c r="L298" s="28">
        <f t="shared" ref="L298:Q298" si="252">SUM(L272:L297)</f>
        <v>1</v>
      </c>
      <c r="M298" s="29">
        <f t="shared" si="252"/>
        <v>2</v>
      </c>
      <c r="N298" s="27">
        <f t="shared" si="252"/>
        <v>9</v>
      </c>
      <c r="O298" s="28">
        <f t="shared" si="252"/>
        <v>6</v>
      </c>
      <c r="P298" s="29">
        <f t="shared" si="252"/>
        <v>15</v>
      </c>
      <c r="Q298" s="30">
        <f t="shared" si="252"/>
        <v>17</v>
      </c>
    </row>
    <row r="299" spans="1:17" ht="14.25" thickBot="1" x14ac:dyDescent="0.2">
      <c r="A299" s="13" t="s">
        <v>15</v>
      </c>
      <c r="B299" s="36">
        <f>B271-B298</f>
        <v>10</v>
      </c>
      <c r="C299" s="37">
        <f t="shared" ref="C299:D299" si="253">C271-C298</f>
        <v>14</v>
      </c>
      <c r="D299" s="38">
        <f t="shared" si="253"/>
        <v>24</v>
      </c>
      <c r="E299" s="36">
        <f>E271-E298</f>
        <v>10</v>
      </c>
      <c r="F299" s="37">
        <f t="shared" ref="F299:G299" si="254">F271-F298</f>
        <v>10</v>
      </c>
      <c r="G299" s="38">
        <f t="shared" si="254"/>
        <v>20</v>
      </c>
      <c r="H299" s="21">
        <f t="shared" si="239"/>
        <v>44</v>
      </c>
      <c r="J299" s="13" t="s">
        <v>15</v>
      </c>
      <c r="K299" s="36">
        <f>K271-K298</f>
        <v>1104</v>
      </c>
      <c r="L299" s="53">
        <f t="shared" ref="L299:Q299" si="255">L271-L298</f>
        <v>1142</v>
      </c>
      <c r="M299" s="54">
        <f t="shared" si="255"/>
        <v>2246</v>
      </c>
      <c r="N299" s="36">
        <f t="shared" si="255"/>
        <v>507</v>
      </c>
      <c r="O299" s="53">
        <f t="shared" si="255"/>
        <v>719</v>
      </c>
      <c r="P299" s="54">
        <f t="shared" si="255"/>
        <v>1226</v>
      </c>
      <c r="Q299" s="21">
        <f t="shared" si="255"/>
        <v>3472</v>
      </c>
    </row>
    <row r="302" spans="1:17" ht="19.5" thickBot="1" x14ac:dyDescent="0.25">
      <c r="A302" s="57" t="s">
        <v>48</v>
      </c>
      <c r="B302" s="57"/>
      <c r="C302" s="57"/>
      <c r="D302" s="57"/>
      <c r="E302" s="42"/>
      <c r="F302" s="42"/>
      <c r="G302" s="42"/>
      <c r="H302" s="42"/>
      <c r="J302" s="55" t="s">
        <v>47</v>
      </c>
      <c r="K302" s="55"/>
      <c r="L302" s="55"/>
      <c r="M302" s="55"/>
      <c r="N302" s="55"/>
      <c r="O302" s="56"/>
      <c r="P302" s="56" t="s">
        <v>41</v>
      </c>
      <c r="Q302" s="56"/>
    </row>
    <row r="303" spans="1:17" ht="14.25" thickBot="1" x14ac:dyDescent="0.2">
      <c r="A303" s="4" t="s">
        <v>0</v>
      </c>
      <c r="B303" s="107" t="s">
        <v>18</v>
      </c>
      <c r="C303" s="108"/>
      <c r="D303" s="109"/>
      <c r="E303" s="110" t="s">
        <v>19</v>
      </c>
      <c r="F303" s="111"/>
      <c r="G303" s="112"/>
      <c r="H303" s="105" t="s">
        <v>1</v>
      </c>
      <c r="J303" s="4" t="s">
        <v>0</v>
      </c>
      <c r="K303" s="107" t="s">
        <v>18</v>
      </c>
      <c r="L303" s="108"/>
      <c r="M303" s="109"/>
      <c r="N303" s="110" t="s">
        <v>19</v>
      </c>
      <c r="O303" s="111"/>
      <c r="P303" s="112"/>
      <c r="Q303" s="105" t="s">
        <v>1</v>
      </c>
    </row>
    <row r="304" spans="1:17" ht="14.25" thickBot="1" x14ac:dyDescent="0.2">
      <c r="A304" s="4" t="s">
        <v>2</v>
      </c>
      <c r="B304" s="1" t="s">
        <v>16</v>
      </c>
      <c r="C304" s="2" t="s">
        <v>17</v>
      </c>
      <c r="D304" s="4" t="s">
        <v>3</v>
      </c>
      <c r="E304" s="1" t="s">
        <v>16</v>
      </c>
      <c r="F304" s="2" t="s">
        <v>17</v>
      </c>
      <c r="G304" s="4" t="s">
        <v>3</v>
      </c>
      <c r="H304" s="106"/>
      <c r="J304" s="4" t="s">
        <v>2</v>
      </c>
      <c r="K304" s="1" t="s">
        <v>16</v>
      </c>
      <c r="L304" s="2" t="s">
        <v>17</v>
      </c>
      <c r="M304" s="4" t="s">
        <v>3</v>
      </c>
      <c r="N304" s="1" t="s">
        <v>16</v>
      </c>
      <c r="O304" s="2" t="s">
        <v>17</v>
      </c>
      <c r="P304" s="4" t="s">
        <v>3</v>
      </c>
      <c r="Q304" s="106"/>
    </row>
    <row r="305" spans="1:18" ht="14.25" thickBot="1" x14ac:dyDescent="0.2">
      <c r="A305" s="18" t="s">
        <v>15</v>
      </c>
      <c r="B305" s="19">
        <f>B299</f>
        <v>10</v>
      </c>
      <c r="C305" s="20">
        <f t="shared" ref="C305" si="256">C299</f>
        <v>14</v>
      </c>
      <c r="D305" s="21">
        <f t="shared" ref="D305:D313" si="257">SUM(B305:C305)</f>
        <v>24</v>
      </c>
      <c r="E305" s="19">
        <f>E299</f>
        <v>10</v>
      </c>
      <c r="F305" s="20">
        <f t="shared" ref="F305" si="258">F299</f>
        <v>10</v>
      </c>
      <c r="G305" s="21">
        <f t="shared" ref="G305:G313" si="259">SUM(E305:F305)</f>
        <v>20</v>
      </c>
      <c r="H305" s="21">
        <f t="shared" ref="H305:H313" si="260">D305+G305</f>
        <v>44</v>
      </c>
      <c r="J305" s="18" t="s">
        <v>15</v>
      </c>
      <c r="K305" s="19">
        <f>K299</f>
        <v>1104</v>
      </c>
      <c r="L305" s="20">
        <f t="shared" ref="L305:Q305" si="261">L299</f>
        <v>1142</v>
      </c>
      <c r="M305" s="21">
        <f t="shared" si="261"/>
        <v>2246</v>
      </c>
      <c r="N305" s="19">
        <f t="shared" si="261"/>
        <v>507</v>
      </c>
      <c r="O305" s="20">
        <f t="shared" si="261"/>
        <v>719</v>
      </c>
      <c r="P305" s="21">
        <f t="shared" si="261"/>
        <v>1226</v>
      </c>
      <c r="Q305" s="21">
        <f t="shared" si="261"/>
        <v>3472</v>
      </c>
    </row>
    <row r="306" spans="1:18" x14ac:dyDescent="0.15">
      <c r="A306" s="16" t="s">
        <v>253</v>
      </c>
      <c r="B306" s="65"/>
      <c r="C306" s="66">
        <v>3</v>
      </c>
      <c r="D306" s="67">
        <f t="shared" ref="D306:D309" si="262">SUM(B306:C306)</f>
        <v>3</v>
      </c>
      <c r="E306" s="65"/>
      <c r="F306" s="66">
        <v>3</v>
      </c>
      <c r="G306" s="68">
        <f t="shared" ref="G306:G309" si="263">SUM(E306:F306)</f>
        <v>3</v>
      </c>
      <c r="H306" s="67">
        <f t="shared" ref="H306:H309" si="264">D306+G306</f>
        <v>6</v>
      </c>
      <c r="I306" s="71">
        <v>46169</v>
      </c>
      <c r="J306" s="16" t="s">
        <v>5</v>
      </c>
      <c r="K306" s="10"/>
      <c r="L306" s="11"/>
      <c r="M306" s="43">
        <f t="shared" ref="M306:M313" si="265">SUM(K306:L306)</f>
        <v>0</v>
      </c>
      <c r="N306" s="10"/>
      <c r="O306" s="11"/>
      <c r="P306" s="44">
        <f t="shared" ref="P306:P313" si="266">SUM(N306:O306)</f>
        <v>0</v>
      </c>
      <c r="Q306" s="43">
        <f t="shared" ref="Q306:Q313" si="267">M306+P306</f>
        <v>0</v>
      </c>
    </row>
    <row r="307" spans="1:18" x14ac:dyDescent="0.15">
      <c r="A307" s="16" t="s">
        <v>250</v>
      </c>
      <c r="B307" s="65">
        <v>1</v>
      </c>
      <c r="C307" s="66"/>
      <c r="D307" s="67">
        <f t="shared" si="262"/>
        <v>1</v>
      </c>
      <c r="E307" s="65"/>
      <c r="F307" s="66">
        <v>1</v>
      </c>
      <c r="G307" s="68">
        <f t="shared" si="263"/>
        <v>1</v>
      </c>
      <c r="H307" s="67">
        <f t="shared" si="264"/>
        <v>2</v>
      </c>
      <c r="I307" s="71">
        <v>46185</v>
      </c>
      <c r="J307" s="16" t="s">
        <v>6</v>
      </c>
      <c r="K307" s="5"/>
      <c r="L307" s="6"/>
      <c r="M307" s="7">
        <f t="shared" ref="M307:M310" si="268">SUM(K307:L307)</f>
        <v>0</v>
      </c>
      <c r="N307" s="5"/>
      <c r="O307" s="6"/>
      <c r="P307" s="39">
        <f t="shared" ref="P307:P310" si="269">SUM(N307:O307)</f>
        <v>0</v>
      </c>
      <c r="Q307" s="7">
        <f t="shared" ref="Q307:Q310" si="270">M307+P307</f>
        <v>0</v>
      </c>
    </row>
    <row r="308" spans="1:18" x14ac:dyDescent="0.15">
      <c r="A308" s="16" t="s">
        <v>95</v>
      </c>
      <c r="B308" s="65">
        <v>4</v>
      </c>
      <c r="C308" s="66">
        <v>3</v>
      </c>
      <c r="D308" s="67">
        <f t="shared" si="262"/>
        <v>7</v>
      </c>
      <c r="E308" s="65"/>
      <c r="F308" s="66">
        <v>5</v>
      </c>
      <c r="G308" s="68">
        <f t="shared" si="263"/>
        <v>5</v>
      </c>
      <c r="H308" s="67">
        <f t="shared" si="264"/>
        <v>12</v>
      </c>
      <c r="I308" s="71">
        <v>46190</v>
      </c>
      <c r="J308" s="16" t="s">
        <v>7</v>
      </c>
      <c r="K308" s="5"/>
      <c r="L308" s="6"/>
      <c r="M308" s="7">
        <f t="shared" si="268"/>
        <v>0</v>
      </c>
      <c r="N308" s="5"/>
      <c r="O308" s="6"/>
      <c r="P308" s="39">
        <f t="shared" si="269"/>
        <v>0</v>
      </c>
      <c r="Q308" s="7">
        <f t="shared" si="270"/>
        <v>0</v>
      </c>
    </row>
    <row r="309" spans="1:18" x14ac:dyDescent="0.15">
      <c r="A309" s="16" t="s">
        <v>237</v>
      </c>
      <c r="B309" s="65">
        <v>1</v>
      </c>
      <c r="C309" s="66"/>
      <c r="D309" s="67">
        <f t="shared" si="262"/>
        <v>1</v>
      </c>
      <c r="E309" s="65">
        <v>1</v>
      </c>
      <c r="F309" s="66"/>
      <c r="G309" s="68">
        <f t="shared" si="263"/>
        <v>1</v>
      </c>
      <c r="H309" s="67">
        <f t="shared" si="264"/>
        <v>2</v>
      </c>
      <c r="I309" s="71">
        <v>46191</v>
      </c>
      <c r="J309" s="16" t="s">
        <v>8</v>
      </c>
      <c r="K309" s="5"/>
      <c r="L309" s="6"/>
      <c r="M309" s="7">
        <f t="shared" si="268"/>
        <v>0</v>
      </c>
      <c r="N309" s="5"/>
      <c r="O309" s="6"/>
      <c r="P309" s="39">
        <f t="shared" si="269"/>
        <v>0</v>
      </c>
      <c r="Q309" s="7">
        <f t="shared" si="270"/>
        <v>0</v>
      </c>
    </row>
    <row r="310" spans="1:18" x14ac:dyDescent="0.15">
      <c r="A310" s="16" t="s">
        <v>9</v>
      </c>
      <c r="B310" s="65"/>
      <c r="C310" s="66"/>
      <c r="D310" s="67">
        <f t="shared" si="257"/>
        <v>0</v>
      </c>
      <c r="E310" s="65"/>
      <c r="F310" s="66"/>
      <c r="G310" s="68">
        <f t="shared" si="259"/>
        <v>0</v>
      </c>
      <c r="H310" s="67">
        <f t="shared" si="260"/>
        <v>0</v>
      </c>
      <c r="I310" s="71"/>
      <c r="J310" s="16" t="s">
        <v>9</v>
      </c>
      <c r="K310" s="5"/>
      <c r="L310" s="6"/>
      <c r="M310" s="7">
        <f t="shared" si="268"/>
        <v>0</v>
      </c>
      <c r="N310" s="5"/>
      <c r="O310" s="6"/>
      <c r="P310" s="39">
        <f t="shared" si="269"/>
        <v>0</v>
      </c>
      <c r="Q310" s="7">
        <f t="shared" si="270"/>
        <v>0</v>
      </c>
    </row>
    <row r="311" spans="1:18" x14ac:dyDescent="0.15">
      <c r="A311" s="16" t="s">
        <v>10</v>
      </c>
      <c r="B311" s="5"/>
      <c r="C311" s="6"/>
      <c r="D311" s="7">
        <f t="shared" si="257"/>
        <v>0</v>
      </c>
      <c r="E311" s="5"/>
      <c r="F311" s="6"/>
      <c r="G311" s="39">
        <f t="shared" si="259"/>
        <v>0</v>
      </c>
      <c r="H311" s="7">
        <f t="shared" si="260"/>
        <v>0</v>
      </c>
      <c r="I311" s="33"/>
      <c r="J311" s="16" t="s">
        <v>10</v>
      </c>
      <c r="K311" s="5"/>
      <c r="L311" s="6"/>
      <c r="M311" s="7">
        <f t="shared" si="265"/>
        <v>0</v>
      </c>
      <c r="N311" s="5"/>
      <c r="O311" s="6"/>
      <c r="P311" s="39">
        <f t="shared" si="266"/>
        <v>0</v>
      </c>
      <c r="Q311" s="7">
        <f t="shared" si="267"/>
        <v>0</v>
      </c>
    </row>
    <row r="312" spans="1:18" x14ac:dyDescent="0.15">
      <c r="A312" s="16" t="s">
        <v>11</v>
      </c>
      <c r="B312" s="83"/>
      <c r="C312" s="84"/>
      <c r="D312" s="67">
        <f t="shared" si="257"/>
        <v>0</v>
      </c>
      <c r="E312" s="83"/>
      <c r="F312" s="84"/>
      <c r="G312" s="68">
        <f t="shared" si="259"/>
        <v>0</v>
      </c>
      <c r="H312" s="67">
        <f t="shared" si="260"/>
        <v>0</v>
      </c>
      <c r="I312" s="71"/>
      <c r="J312" s="16" t="s">
        <v>11</v>
      </c>
      <c r="K312" s="8"/>
      <c r="L312" s="9"/>
      <c r="M312" s="7">
        <f t="shared" si="265"/>
        <v>0</v>
      </c>
      <c r="N312" s="8"/>
      <c r="O312" s="9"/>
      <c r="P312" s="39">
        <f t="shared" si="266"/>
        <v>0</v>
      </c>
      <c r="Q312" s="7">
        <f t="shared" si="267"/>
        <v>0</v>
      </c>
    </row>
    <row r="313" spans="1:18" ht="14.25" thickBot="1" x14ac:dyDescent="0.2">
      <c r="A313" s="16" t="s">
        <v>12</v>
      </c>
      <c r="B313" s="22"/>
      <c r="C313" s="23"/>
      <c r="D313" s="7">
        <f t="shared" si="257"/>
        <v>0</v>
      </c>
      <c r="E313" s="22"/>
      <c r="F313" s="23"/>
      <c r="G313" s="39">
        <f t="shared" si="259"/>
        <v>0</v>
      </c>
      <c r="H313" s="12">
        <f t="shared" si="260"/>
        <v>0</v>
      </c>
      <c r="I313" s="31"/>
      <c r="J313" s="16" t="s">
        <v>12</v>
      </c>
      <c r="K313" s="22"/>
      <c r="L313" s="23"/>
      <c r="M313" s="7">
        <f t="shared" si="265"/>
        <v>0</v>
      </c>
      <c r="N313" s="22"/>
      <c r="O313" s="23"/>
      <c r="P313" s="39">
        <f t="shared" si="266"/>
        <v>0</v>
      </c>
      <c r="Q313" s="12">
        <f t="shared" si="267"/>
        <v>0</v>
      </c>
    </row>
    <row r="314" spans="1:18" ht="14.25" thickBot="1" x14ac:dyDescent="0.2">
      <c r="A314" s="24" t="s">
        <v>13</v>
      </c>
      <c r="B314" s="19">
        <f>SUM(B305:B313)</f>
        <v>16</v>
      </c>
      <c r="C314" s="20">
        <f t="shared" ref="C314:H314" si="271">SUM(C305:C313)</f>
        <v>20</v>
      </c>
      <c r="D314" s="41">
        <f t="shared" si="271"/>
        <v>36</v>
      </c>
      <c r="E314" s="19">
        <f t="shared" si="271"/>
        <v>11</v>
      </c>
      <c r="F314" s="20">
        <f t="shared" si="271"/>
        <v>19</v>
      </c>
      <c r="G314" s="40">
        <f t="shared" si="271"/>
        <v>30</v>
      </c>
      <c r="H314" s="21">
        <f t="shared" si="271"/>
        <v>66</v>
      </c>
      <c r="J314" s="26" t="s">
        <v>13</v>
      </c>
      <c r="K314" s="98">
        <f>SUM(K305:K313)</f>
        <v>1104</v>
      </c>
      <c r="L314" s="99">
        <f t="shared" ref="L314:Q314" si="272">SUM(L305:L313)</f>
        <v>1142</v>
      </c>
      <c r="M314" s="29">
        <f t="shared" si="272"/>
        <v>2246</v>
      </c>
      <c r="N314" s="98">
        <f t="shared" si="272"/>
        <v>507</v>
      </c>
      <c r="O314" s="99">
        <f t="shared" si="272"/>
        <v>719</v>
      </c>
      <c r="P314" s="29">
        <f t="shared" si="272"/>
        <v>1226</v>
      </c>
      <c r="Q314" s="29">
        <f t="shared" si="272"/>
        <v>3472</v>
      </c>
    </row>
    <row r="315" spans="1:18" x14ac:dyDescent="0.15">
      <c r="A315" s="64" t="s">
        <v>53</v>
      </c>
      <c r="B315" s="65">
        <v>1</v>
      </c>
      <c r="C315" s="66"/>
      <c r="D315" s="67">
        <f t="shared" ref="D315:D336" si="273">SUM(B315:C315)</f>
        <v>1</v>
      </c>
      <c r="E315" s="65"/>
      <c r="F315" s="66"/>
      <c r="G315" s="68">
        <f t="shared" ref="G315:G336" si="274">SUM(E315:F315)</f>
        <v>0</v>
      </c>
      <c r="H315" s="67">
        <f t="shared" ref="H315:H336" si="275">D315+G315</f>
        <v>1</v>
      </c>
      <c r="I315" s="71">
        <v>46167</v>
      </c>
      <c r="J315" s="100" t="s">
        <v>256</v>
      </c>
      <c r="K315" s="101">
        <v>1</v>
      </c>
      <c r="L315" s="102"/>
      <c r="M315" s="103">
        <f t="shared" ref="M315:M317" si="276">SUM(K315:L315)</f>
        <v>1</v>
      </c>
      <c r="N315" s="101">
        <v>1</v>
      </c>
      <c r="O315" s="102"/>
      <c r="P315" s="104">
        <f t="shared" ref="P315:P317" si="277">SUM(N315:O315)</f>
        <v>1</v>
      </c>
      <c r="Q315" s="103">
        <f t="shared" ref="Q315:Q317" si="278">M315+P315</f>
        <v>2</v>
      </c>
      <c r="R315" s="113">
        <v>46195</v>
      </c>
    </row>
    <row r="316" spans="1:18" x14ac:dyDescent="0.15">
      <c r="A316" s="17" t="s">
        <v>252</v>
      </c>
      <c r="B316" s="5"/>
      <c r="C316" s="6">
        <v>1</v>
      </c>
      <c r="D316" s="7">
        <f t="shared" si="273"/>
        <v>1</v>
      </c>
      <c r="E316" s="5"/>
      <c r="F316" s="6">
        <v>1</v>
      </c>
      <c r="G316" s="39">
        <f t="shared" si="274"/>
        <v>1</v>
      </c>
      <c r="H316" s="7">
        <f t="shared" si="275"/>
        <v>2</v>
      </c>
      <c r="I316" s="31">
        <v>46169</v>
      </c>
      <c r="J316" s="17"/>
      <c r="K316" s="5"/>
      <c r="L316" s="6"/>
      <c r="M316" s="7">
        <f t="shared" si="276"/>
        <v>0</v>
      </c>
      <c r="N316" s="5"/>
      <c r="O316" s="6"/>
      <c r="P316" s="39">
        <f t="shared" si="277"/>
        <v>0</v>
      </c>
      <c r="Q316" s="7">
        <f t="shared" si="278"/>
        <v>0</v>
      </c>
    </row>
    <row r="317" spans="1:18" x14ac:dyDescent="0.15">
      <c r="A317" s="64" t="s">
        <v>53</v>
      </c>
      <c r="B317" s="65"/>
      <c r="C317" s="66">
        <v>1</v>
      </c>
      <c r="D317" s="67">
        <f t="shared" si="273"/>
        <v>1</v>
      </c>
      <c r="E317" s="65"/>
      <c r="F317" s="66">
        <v>1</v>
      </c>
      <c r="G317" s="68">
        <f t="shared" si="274"/>
        <v>1</v>
      </c>
      <c r="H317" s="67">
        <f t="shared" si="275"/>
        <v>2</v>
      </c>
      <c r="I317" s="71">
        <v>46184</v>
      </c>
      <c r="J317" s="17"/>
      <c r="K317" s="5"/>
      <c r="L317" s="6"/>
      <c r="M317" s="7">
        <f t="shared" si="276"/>
        <v>0</v>
      </c>
      <c r="N317" s="5"/>
      <c r="O317" s="6"/>
      <c r="P317" s="39">
        <f t="shared" si="277"/>
        <v>0</v>
      </c>
      <c r="Q317" s="7">
        <f t="shared" si="278"/>
        <v>0</v>
      </c>
    </row>
    <row r="318" spans="1:18" x14ac:dyDescent="0.15">
      <c r="A318" s="64" t="s">
        <v>53</v>
      </c>
      <c r="B318" s="65"/>
      <c r="C318" s="66">
        <v>1</v>
      </c>
      <c r="D318" s="67">
        <f t="shared" si="273"/>
        <v>1</v>
      </c>
      <c r="E318" s="65"/>
      <c r="F318" s="66">
        <v>1</v>
      </c>
      <c r="G318" s="68">
        <f t="shared" si="274"/>
        <v>1</v>
      </c>
      <c r="H318" s="67">
        <f t="shared" si="275"/>
        <v>2</v>
      </c>
      <c r="I318" s="71">
        <v>46188</v>
      </c>
      <c r="J318" s="17"/>
      <c r="K318" s="5"/>
      <c r="L318" s="6"/>
      <c r="M318" s="7">
        <f t="shared" ref="M318:M340" si="279">SUM(K318:L318)</f>
        <v>0</v>
      </c>
      <c r="N318" s="5"/>
      <c r="O318" s="6"/>
      <c r="P318" s="39">
        <f t="shared" ref="P318:P340" si="280">SUM(N318:O318)</f>
        <v>0</v>
      </c>
      <c r="Q318" s="7">
        <f t="shared" ref="Q318:Q340" si="281">M318+P318</f>
        <v>0</v>
      </c>
    </row>
    <row r="319" spans="1:18" x14ac:dyDescent="0.15">
      <c r="A319" s="64"/>
      <c r="B319" s="65"/>
      <c r="C319" s="66"/>
      <c r="D319" s="67">
        <f t="shared" si="273"/>
        <v>0</v>
      </c>
      <c r="E319" s="65"/>
      <c r="F319" s="66"/>
      <c r="G319" s="68">
        <f t="shared" si="274"/>
        <v>0</v>
      </c>
      <c r="H319" s="67">
        <f t="shared" si="275"/>
        <v>0</v>
      </c>
      <c r="I319" s="71"/>
      <c r="J319" s="17"/>
      <c r="K319" s="5"/>
      <c r="L319" s="6"/>
      <c r="M319" s="7">
        <f t="shared" si="279"/>
        <v>0</v>
      </c>
      <c r="N319" s="5"/>
      <c r="O319" s="6"/>
      <c r="P319" s="39">
        <f t="shared" si="280"/>
        <v>0</v>
      </c>
      <c r="Q319" s="7">
        <f t="shared" si="281"/>
        <v>0</v>
      </c>
    </row>
    <row r="320" spans="1:18" x14ac:dyDescent="0.15">
      <c r="A320" s="64"/>
      <c r="B320" s="65"/>
      <c r="C320" s="66"/>
      <c r="D320" s="67">
        <f t="shared" si="273"/>
        <v>0</v>
      </c>
      <c r="E320" s="65"/>
      <c r="F320" s="66"/>
      <c r="G320" s="68">
        <f t="shared" si="274"/>
        <v>0</v>
      </c>
      <c r="H320" s="67">
        <f t="shared" si="275"/>
        <v>0</v>
      </c>
      <c r="I320" s="71"/>
      <c r="J320" s="17"/>
      <c r="K320" s="5"/>
      <c r="L320" s="6"/>
      <c r="M320" s="7">
        <f t="shared" si="279"/>
        <v>0</v>
      </c>
      <c r="N320" s="5"/>
      <c r="O320" s="6"/>
      <c r="P320" s="39">
        <f t="shared" si="280"/>
        <v>0</v>
      </c>
      <c r="Q320" s="7">
        <f t="shared" si="281"/>
        <v>0</v>
      </c>
    </row>
    <row r="321" spans="1:17" x14ac:dyDescent="0.15">
      <c r="A321" s="64"/>
      <c r="B321" s="65"/>
      <c r="C321" s="66"/>
      <c r="D321" s="67">
        <f t="shared" si="273"/>
        <v>0</v>
      </c>
      <c r="E321" s="65"/>
      <c r="F321" s="66"/>
      <c r="G321" s="68">
        <f t="shared" si="274"/>
        <v>0</v>
      </c>
      <c r="H321" s="67">
        <f t="shared" si="275"/>
        <v>0</v>
      </c>
      <c r="I321" s="71"/>
      <c r="J321" s="17"/>
      <c r="K321" s="5"/>
      <c r="L321" s="6"/>
      <c r="M321" s="7">
        <f t="shared" si="279"/>
        <v>0</v>
      </c>
      <c r="N321" s="5"/>
      <c r="O321" s="6"/>
      <c r="P321" s="39">
        <f t="shared" si="280"/>
        <v>0</v>
      </c>
      <c r="Q321" s="7">
        <f t="shared" si="281"/>
        <v>0</v>
      </c>
    </row>
    <row r="322" spans="1:17" x14ac:dyDescent="0.15">
      <c r="A322" s="64"/>
      <c r="B322" s="65"/>
      <c r="C322" s="66"/>
      <c r="D322" s="67">
        <f t="shared" si="273"/>
        <v>0</v>
      </c>
      <c r="E322" s="65"/>
      <c r="F322" s="66"/>
      <c r="G322" s="68">
        <f t="shared" si="274"/>
        <v>0</v>
      </c>
      <c r="H322" s="67">
        <f t="shared" si="275"/>
        <v>0</v>
      </c>
      <c r="I322" s="71"/>
      <c r="J322" s="17"/>
      <c r="K322" s="5"/>
      <c r="L322" s="6"/>
      <c r="M322" s="7">
        <f t="shared" si="279"/>
        <v>0</v>
      </c>
      <c r="N322" s="5"/>
      <c r="O322" s="6"/>
      <c r="P322" s="39">
        <f t="shared" si="280"/>
        <v>0</v>
      </c>
      <c r="Q322" s="7">
        <f t="shared" si="281"/>
        <v>0</v>
      </c>
    </row>
    <row r="323" spans="1:17" x14ac:dyDescent="0.15">
      <c r="A323" s="64"/>
      <c r="B323" s="65"/>
      <c r="C323" s="66"/>
      <c r="D323" s="67">
        <f t="shared" si="273"/>
        <v>0</v>
      </c>
      <c r="E323" s="65"/>
      <c r="F323" s="66"/>
      <c r="G323" s="68">
        <f t="shared" si="274"/>
        <v>0</v>
      </c>
      <c r="H323" s="67">
        <f t="shared" si="275"/>
        <v>0</v>
      </c>
      <c r="I323" s="71"/>
      <c r="J323" s="17"/>
      <c r="K323" s="5"/>
      <c r="L323" s="6"/>
      <c r="M323" s="7">
        <f t="shared" si="279"/>
        <v>0</v>
      </c>
      <c r="N323" s="5"/>
      <c r="O323" s="6"/>
      <c r="P323" s="39">
        <f t="shared" si="280"/>
        <v>0</v>
      </c>
      <c r="Q323" s="7">
        <f t="shared" si="281"/>
        <v>0</v>
      </c>
    </row>
    <row r="324" spans="1:17" x14ac:dyDescent="0.15">
      <c r="A324" s="64"/>
      <c r="B324" s="65"/>
      <c r="C324" s="66"/>
      <c r="D324" s="67">
        <f t="shared" si="273"/>
        <v>0</v>
      </c>
      <c r="E324" s="65"/>
      <c r="F324" s="66"/>
      <c r="G324" s="68">
        <f t="shared" si="274"/>
        <v>0</v>
      </c>
      <c r="H324" s="67">
        <f t="shared" si="275"/>
        <v>0</v>
      </c>
      <c r="I324" s="71"/>
      <c r="J324" s="17"/>
      <c r="K324" s="8"/>
      <c r="L324" s="9"/>
      <c r="M324" s="7">
        <f t="shared" si="279"/>
        <v>0</v>
      </c>
      <c r="N324" s="8"/>
      <c r="O324" s="9"/>
      <c r="P324" s="39">
        <f t="shared" si="280"/>
        <v>0</v>
      </c>
      <c r="Q324" s="7">
        <f t="shared" si="281"/>
        <v>0</v>
      </c>
    </row>
    <row r="325" spans="1:17" x14ac:dyDescent="0.15">
      <c r="A325" s="64"/>
      <c r="B325" s="65"/>
      <c r="C325" s="66"/>
      <c r="D325" s="67">
        <f t="shared" si="273"/>
        <v>0</v>
      </c>
      <c r="E325" s="65"/>
      <c r="F325" s="66"/>
      <c r="G325" s="68">
        <f t="shared" si="274"/>
        <v>0</v>
      </c>
      <c r="H325" s="67">
        <f t="shared" si="275"/>
        <v>0</v>
      </c>
      <c r="I325" s="71"/>
      <c r="J325" s="17"/>
      <c r="K325" s="5"/>
      <c r="L325" s="6"/>
      <c r="M325" s="7">
        <f t="shared" si="279"/>
        <v>0</v>
      </c>
      <c r="N325" s="5"/>
      <c r="O325" s="6"/>
      <c r="P325" s="39">
        <f t="shared" si="280"/>
        <v>0</v>
      </c>
      <c r="Q325" s="7">
        <f t="shared" si="281"/>
        <v>0</v>
      </c>
    </row>
    <row r="326" spans="1:17" x14ac:dyDescent="0.15">
      <c r="A326" s="64"/>
      <c r="B326" s="65"/>
      <c r="C326" s="66"/>
      <c r="D326" s="67">
        <f t="shared" si="273"/>
        <v>0</v>
      </c>
      <c r="E326" s="65"/>
      <c r="F326" s="66"/>
      <c r="G326" s="68">
        <f t="shared" si="274"/>
        <v>0</v>
      </c>
      <c r="H326" s="67">
        <f t="shared" si="275"/>
        <v>0</v>
      </c>
      <c r="I326" s="71"/>
      <c r="J326" s="17"/>
      <c r="K326" s="5"/>
      <c r="L326" s="6"/>
      <c r="M326" s="7">
        <f t="shared" si="279"/>
        <v>0</v>
      </c>
      <c r="N326" s="5"/>
      <c r="O326" s="6"/>
      <c r="P326" s="39">
        <f t="shared" si="280"/>
        <v>0</v>
      </c>
      <c r="Q326" s="7">
        <f t="shared" si="281"/>
        <v>0</v>
      </c>
    </row>
    <row r="327" spans="1:17" x14ac:dyDescent="0.15">
      <c r="A327" s="64"/>
      <c r="B327" s="65"/>
      <c r="C327" s="66"/>
      <c r="D327" s="67">
        <f t="shared" si="273"/>
        <v>0</v>
      </c>
      <c r="E327" s="65"/>
      <c r="F327" s="66"/>
      <c r="G327" s="68">
        <f t="shared" si="274"/>
        <v>0</v>
      </c>
      <c r="H327" s="67">
        <f t="shared" si="275"/>
        <v>0</v>
      </c>
      <c r="I327" s="71"/>
      <c r="J327" s="15"/>
      <c r="K327" s="5"/>
      <c r="L327" s="6"/>
      <c r="M327" s="7">
        <f t="shared" si="279"/>
        <v>0</v>
      </c>
      <c r="N327" s="5"/>
      <c r="O327" s="6"/>
      <c r="P327" s="39">
        <f t="shared" si="280"/>
        <v>0</v>
      </c>
      <c r="Q327" s="7">
        <f t="shared" si="281"/>
        <v>0</v>
      </c>
    </row>
    <row r="328" spans="1:17" x14ac:dyDescent="0.15">
      <c r="A328" s="64"/>
      <c r="B328" s="65"/>
      <c r="C328" s="66"/>
      <c r="D328" s="67">
        <f t="shared" si="273"/>
        <v>0</v>
      </c>
      <c r="E328" s="65"/>
      <c r="F328" s="66"/>
      <c r="G328" s="68">
        <f t="shared" si="274"/>
        <v>0</v>
      </c>
      <c r="H328" s="67">
        <f t="shared" si="275"/>
        <v>0</v>
      </c>
      <c r="I328" s="71"/>
      <c r="J328" s="17"/>
      <c r="K328" s="5"/>
      <c r="L328" s="6"/>
      <c r="M328" s="7">
        <f t="shared" si="279"/>
        <v>0</v>
      </c>
      <c r="N328" s="5"/>
      <c r="O328" s="6"/>
      <c r="P328" s="39">
        <f t="shared" si="280"/>
        <v>0</v>
      </c>
      <c r="Q328" s="7">
        <f t="shared" si="281"/>
        <v>0</v>
      </c>
    </row>
    <row r="329" spans="1:17" x14ac:dyDescent="0.15">
      <c r="A329" s="64"/>
      <c r="B329" s="65"/>
      <c r="C329" s="66"/>
      <c r="D329" s="67">
        <f t="shared" si="273"/>
        <v>0</v>
      </c>
      <c r="E329" s="65"/>
      <c r="F329" s="66"/>
      <c r="G329" s="68">
        <f t="shared" si="274"/>
        <v>0</v>
      </c>
      <c r="H329" s="67">
        <f t="shared" si="275"/>
        <v>0</v>
      </c>
      <c r="I329" s="71"/>
      <c r="J329" s="17"/>
      <c r="K329" s="5"/>
      <c r="L329" s="6"/>
      <c r="M329" s="7">
        <f t="shared" si="279"/>
        <v>0</v>
      </c>
      <c r="N329" s="5"/>
      <c r="O329" s="6"/>
      <c r="P329" s="39">
        <f t="shared" si="280"/>
        <v>0</v>
      </c>
      <c r="Q329" s="7">
        <f t="shared" si="281"/>
        <v>0</v>
      </c>
    </row>
    <row r="330" spans="1:17" x14ac:dyDescent="0.15">
      <c r="A330" s="64"/>
      <c r="B330" s="65"/>
      <c r="C330" s="66"/>
      <c r="D330" s="67">
        <f t="shared" si="273"/>
        <v>0</v>
      </c>
      <c r="E330" s="65"/>
      <c r="F330" s="66"/>
      <c r="G330" s="68">
        <f t="shared" si="274"/>
        <v>0</v>
      </c>
      <c r="H330" s="67">
        <f t="shared" si="275"/>
        <v>0</v>
      </c>
      <c r="I330" s="71"/>
      <c r="J330" s="17"/>
      <c r="K330" s="5"/>
      <c r="L330" s="6"/>
      <c r="M330" s="7">
        <f t="shared" si="279"/>
        <v>0</v>
      </c>
      <c r="N330" s="5"/>
      <c r="O330" s="6"/>
      <c r="P330" s="39">
        <f t="shared" si="280"/>
        <v>0</v>
      </c>
      <c r="Q330" s="7">
        <f t="shared" si="281"/>
        <v>0</v>
      </c>
    </row>
    <row r="331" spans="1:17" x14ac:dyDescent="0.15">
      <c r="A331" s="64"/>
      <c r="B331" s="65"/>
      <c r="C331" s="66"/>
      <c r="D331" s="67">
        <f t="shared" si="273"/>
        <v>0</v>
      </c>
      <c r="E331" s="65"/>
      <c r="F331" s="66"/>
      <c r="G331" s="68">
        <f t="shared" si="274"/>
        <v>0</v>
      </c>
      <c r="H331" s="67">
        <f t="shared" si="275"/>
        <v>0</v>
      </c>
      <c r="I331" s="71"/>
      <c r="J331" s="17"/>
      <c r="K331" s="5"/>
      <c r="L331" s="6"/>
      <c r="M331" s="7">
        <f t="shared" si="279"/>
        <v>0</v>
      </c>
      <c r="N331" s="5"/>
      <c r="O331" s="6"/>
      <c r="P331" s="39">
        <f t="shared" si="280"/>
        <v>0</v>
      </c>
      <c r="Q331" s="7">
        <f t="shared" si="281"/>
        <v>0</v>
      </c>
    </row>
    <row r="332" spans="1:17" x14ac:dyDescent="0.15">
      <c r="A332" s="64"/>
      <c r="B332" s="65"/>
      <c r="C332" s="66"/>
      <c r="D332" s="67">
        <f t="shared" si="273"/>
        <v>0</v>
      </c>
      <c r="E332" s="65"/>
      <c r="F332" s="66"/>
      <c r="G332" s="68">
        <f t="shared" si="274"/>
        <v>0</v>
      </c>
      <c r="H332" s="67">
        <f t="shared" si="275"/>
        <v>0</v>
      </c>
      <c r="I332" s="71"/>
      <c r="J332" s="17"/>
      <c r="K332" s="5"/>
      <c r="L332" s="6"/>
      <c r="M332" s="7">
        <f t="shared" si="279"/>
        <v>0</v>
      </c>
      <c r="N332" s="5"/>
      <c r="O332" s="6"/>
      <c r="P332" s="39">
        <f t="shared" si="280"/>
        <v>0</v>
      </c>
      <c r="Q332" s="7">
        <f t="shared" si="281"/>
        <v>0</v>
      </c>
    </row>
    <row r="333" spans="1:17" x14ac:dyDescent="0.15">
      <c r="A333" s="64"/>
      <c r="B333" s="65"/>
      <c r="C333" s="66"/>
      <c r="D333" s="67">
        <f t="shared" si="273"/>
        <v>0</v>
      </c>
      <c r="E333" s="65"/>
      <c r="F333" s="66"/>
      <c r="G333" s="68">
        <f t="shared" si="274"/>
        <v>0</v>
      </c>
      <c r="H333" s="67">
        <f t="shared" si="275"/>
        <v>0</v>
      </c>
      <c r="I333" s="71"/>
      <c r="J333" s="17"/>
      <c r="K333" s="5"/>
      <c r="L333" s="6"/>
      <c r="M333" s="7">
        <f t="shared" si="279"/>
        <v>0</v>
      </c>
      <c r="N333" s="5"/>
      <c r="O333" s="6"/>
      <c r="P333" s="39">
        <f t="shared" si="280"/>
        <v>0</v>
      </c>
      <c r="Q333" s="7">
        <f t="shared" si="281"/>
        <v>0</v>
      </c>
    </row>
    <row r="334" spans="1:17" x14ac:dyDescent="0.15">
      <c r="A334" s="64"/>
      <c r="B334" s="65"/>
      <c r="C334" s="66"/>
      <c r="D334" s="67">
        <f t="shared" si="273"/>
        <v>0</v>
      </c>
      <c r="E334" s="65"/>
      <c r="F334" s="66"/>
      <c r="G334" s="68">
        <f t="shared" si="274"/>
        <v>0</v>
      </c>
      <c r="H334" s="67">
        <f t="shared" si="275"/>
        <v>0</v>
      </c>
      <c r="I334" s="71"/>
      <c r="J334" s="17"/>
      <c r="K334" s="5"/>
      <c r="L334" s="6"/>
      <c r="M334" s="7">
        <f t="shared" si="279"/>
        <v>0</v>
      </c>
      <c r="N334" s="5"/>
      <c r="O334" s="6"/>
      <c r="P334" s="39">
        <f t="shared" si="280"/>
        <v>0</v>
      </c>
      <c r="Q334" s="7">
        <f t="shared" si="281"/>
        <v>0</v>
      </c>
    </row>
    <row r="335" spans="1:17" x14ac:dyDescent="0.15">
      <c r="A335" s="64"/>
      <c r="B335" s="65"/>
      <c r="C335" s="66"/>
      <c r="D335" s="67">
        <f t="shared" si="273"/>
        <v>0</v>
      </c>
      <c r="E335" s="65"/>
      <c r="F335" s="66"/>
      <c r="G335" s="68">
        <f t="shared" si="274"/>
        <v>0</v>
      </c>
      <c r="H335" s="67">
        <f t="shared" si="275"/>
        <v>0</v>
      </c>
      <c r="I335" s="71"/>
      <c r="J335" s="17"/>
      <c r="K335" s="5"/>
      <c r="L335" s="6"/>
      <c r="M335" s="7">
        <f t="shared" si="279"/>
        <v>0</v>
      </c>
      <c r="N335" s="5"/>
      <c r="O335" s="6"/>
      <c r="P335" s="39">
        <f t="shared" si="280"/>
        <v>0</v>
      </c>
      <c r="Q335" s="7">
        <f t="shared" si="281"/>
        <v>0</v>
      </c>
    </row>
    <row r="336" spans="1:17" x14ac:dyDescent="0.15">
      <c r="A336" s="64"/>
      <c r="B336" s="65"/>
      <c r="C336" s="66"/>
      <c r="D336" s="67">
        <f t="shared" si="273"/>
        <v>0</v>
      </c>
      <c r="E336" s="65"/>
      <c r="F336" s="66"/>
      <c r="G336" s="68">
        <f t="shared" si="274"/>
        <v>0</v>
      </c>
      <c r="H336" s="67">
        <f t="shared" si="275"/>
        <v>0</v>
      </c>
      <c r="I336" s="71"/>
      <c r="J336" s="17"/>
      <c r="K336" s="5"/>
      <c r="L336" s="6"/>
      <c r="M336" s="7">
        <f t="shared" si="279"/>
        <v>0</v>
      </c>
      <c r="N336" s="5"/>
      <c r="O336" s="6"/>
      <c r="P336" s="39">
        <f t="shared" si="280"/>
        <v>0</v>
      </c>
      <c r="Q336" s="7">
        <f t="shared" si="281"/>
        <v>0</v>
      </c>
    </row>
    <row r="337" spans="1:18" x14ac:dyDescent="0.15">
      <c r="A337" s="64"/>
      <c r="B337" s="65"/>
      <c r="C337" s="66"/>
      <c r="D337" s="67">
        <f t="shared" ref="D337:D341" si="282">SUM(B337:C337)</f>
        <v>0</v>
      </c>
      <c r="E337" s="65"/>
      <c r="F337" s="66"/>
      <c r="G337" s="68">
        <f t="shared" ref="G337:G341" si="283">SUM(E337:F337)</f>
        <v>0</v>
      </c>
      <c r="H337" s="67">
        <f t="shared" ref="H337:H342" si="284">D337+G337</f>
        <v>0</v>
      </c>
      <c r="I337" s="71"/>
      <c r="J337" s="17"/>
      <c r="K337" s="5"/>
      <c r="L337" s="6"/>
      <c r="M337" s="7">
        <f t="shared" si="279"/>
        <v>0</v>
      </c>
      <c r="N337" s="5"/>
      <c r="O337" s="6"/>
      <c r="P337" s="39">
        <f t="shared" si="280"/>
        <v>0</v>
      </c>
      <c r="Q337" s="7">
        <f t="shared" si="281"/>
        <v>0</v>
      </c>
    </row>
    <row r="338" spans="1:18" x14ac:dyDescent="0.15">
      <c r="A338" s="96"/>
      <c r="B338" s="65"/>
      <c r="C338" s="66"/>
      <c r="D338" s="67">
        <f t="shared" si="282"/>
        <v>0</v>
      </c>
      <c r="E338" s="65"/>
      <c r="F338" s="66"/>
      <c r="G338" s="68">
        <f t="shared" si="283"/>
        <v>0</v>
      </c>
      <c r="H338" s="67">
        <f t="shared" si="284"/>
        <v>0</v>
      </c>
      <c r="I338" s="97"/>
      <c r="J338" s="17"/>
      <c r="K338" s="5"/>
      <c r="L338" s="6"/>
      <c r="M338" s="7">
        <f t="shared" si="279"/>
        <v>0</v>
      </c>
      <c r="N338" s="5"/>
      <c r="O338" s="6"/>
      <c r="P338" s="39">
        <f t="shared" si="280"/>
        <v>0</v>
      </c>
      <c r="Q338" s="7">
        <f t="shared" si="281"/>
        <v>0</v>
      </c>
    </row>
    <row r="339" spans="1:18" x14ac:dyDescent="0.15">
      <c r="A339" s="34"/>
      <c r="B339" s="5"/>
      <c r="C339" s="6"/>
      <c r="D339" s="7">
        <f t="shared" si="282"/>
        <v>0</v>
      </c>
      <c r="E339" s="5"/>
      <c r="F339" s="6"/>
      <c r="G339" s="39">
        <f t="shared" si="283"/>
        <v>0</v>
      </c>
      <c r="H339" s="7">
        <f t="shared" si="284"/>
        <v>0</v>
      </c>
      <c r="J339" s="17"/>
      <c r="K339" s="5"/>
      <c r="L339" s="6"/>
      <c r="M339" s="7">
        <f t="shared" si="279"/>
        <v>0</v>
      </c>
      <c r="N339" s="5"/>
      <c r="O339" s="6"/>
      <c r="P339" s="39">
        <f t="shared" si="280"/>
        <v>0</v>
      </c>
      <c r="Q339" s="7">
        <f t="shared" si="281"/>
        <v>0</v>
      </c>
    </row>
    <row r="340" spans="1:18" ht="14.25" thickBot="1" x14ac:dyDescent="0.2">
      <c r="A340" s="15"/>
      <c r="B340" s="5"/>
      <c r="C340" s="6"/>
      <c r="D340" s="7">
        <f t="shared" si="282"/>
        <v>0</v>
      </c>
      <c r="E340" s="5"/>
      <c r="F340" s="6"/>
      <c r="G340" s="39">
        <f t="shared" si="283"/>
        <v>0</v>
      </c>
      <c r="H340" s="12">
        <f t="shared" si="284"/>
        <v>0</v>
      </c>
      <c r="J340" s="100" t="s">
        <v>255</v>
      </c>
      <c r="K340" s="101">
        <v>150</v>
      </c>
      <c r="L340" s="102">
        <v>150</v>
      </c>
      <c r="M340" s="103">
        <f t="shared" si="279"/>
        <v>300</v>
      </c>
      <c r="N340" s="101">
        <v>150</v>
      </c>
      <c r="O340" s="102">
        <v>150</v>
      </c>
      <c r="P340" s="104">
        <f t="shared" si="280"/>
        <v>300</v>
      </c>
      <c r="Q340" s="103">
        <f t="shared" si="281"/>
        <v>600</v>
      </c>
      <c r="R340" s="48" t="s">
        <v>254</v>
      </c>
    </row>
    <row r="341" spans="1:18" ht="14.25" thickBot="1" x14ac:dyDescent="0.2">
      <c r="A341" s="26" t="s">
        <v>14</v>
      </c>
      <c r="B341" s="27">
        <f>SUM(B315:B340)</f>
        <v>1</v>
      </c>
      <c r="C341" s="28">
        <f>SUM(C315:C340)</f>
        <v>3</v>
      </c>
      <c r="D341" s="29">
        <f t="shared" si="282"/>
        <v>4</v>
      </c>
      <c r="E341" s="27">
        <f>SUM(E315:E340)</f>
        <v>0</v>
      </c>
      <c r="F341" s="28">
        <f>SUM(F315:F340)</f>
        <v>3</v>
      </c>
      <c r="G341" s="29">
        <f t="shared" si="283"/>
        <v>3</v>
      </c>
      <c r="H341" s="30">
        <f t="shared" si="284"/>
        <v>7</v>
      </c>
      <c r="J341" s="26" t="s">
        <v>14</v>
      </c>
      <c r="K341" s="27">
        <f>SUM(K315:K340)</f>
        <v>151</v>
      </c>
      <c r="L341" s="28">
        <f t="shared" ref="L341:Q341" si="285">SUM(L315:L340)</f>
        <v>150</v>
      </c>
      <c r="M341" s="29">
        <f t="shared" si="285"/>
        <v>301</v>
      </c>
      <c r="N341" s="27">
        <f t="shared" si="285"/>
        <v>151</v>
      </c>
      <c r="O341" s="28">
        <f t="shared" si="285"/>
        <v>150</v>
      </c>
      <c r="P341" s="29">
        <f t="shared" si="285"/>
        <v>301</v>
      </c>
      <c r="Q341" s="30">
        <f t="shared" si="285"/>
        <v>602</v>
      </c>
    </row>
    <row r="342" spans="1:18" ht="14.25" thickBot="1" x14ac:dyDescent="0.2">
      <c r="A342" s="13" t="s">
        <v>15</v>
      </c>
      <c r="B342" s="36">
        <f>B314-B341</f>
        <v>15</v>
      </c>
      <c r="C342" s="37">
        <f t="shared" ref="C342:D342" si="286">C314-C341</f>
        <v>17</v>
      </c>
      <c r="D342" s="38">
        <f t="shared" si="286"/>
        <v>32</v>
      </c>
      <c r="E342" s="36">
        <f>E314-E341</f>
        <v>11</v>
      </c>
      <c r="F342" s="37">
        <f t="shared" ref="F342:G342" si="287">F314-F341</f>
        <v>16</v>
      </c>
      <c r="G342" s="38">
        <f t="shared" si="287"/>
        <v>27</v>
      </c>
      <c r="H342" s="21">
        <f t="shared" si="284"/>
        <v>59</v>
      </c>
      <c r="J342" s="13" t="s">
        <v>15</v>
      </c>
      <c r="K342" s="36">
        <f>K314-K341</f>
        <v>953</v>
      </c>
      <c r="L342" s="53">
        <f t="shared" ref="L342:Q342" si="288">L314-L341</f>
        <v>992</v>
      </c>
      <c r="M342" s="54">
        <f t="shared" si="288"/>
        <v>1945</v>
      </c>
      <c r="N342" s="36">
        <f t="shared" si="288"/>
        <v>356</v>
      </c>
      <c r="O342" s="53">
        <f t="shared" si="288"/>
        <v>569</v>
      </c>
      <c r="P342" s="54">
        <f t="shared" si="288"/>
        <v>925</v>
      </c>
      <c r="Q342" s="21">
        <f t="shared" si="288"/>
        <v>2870</v>
      </c>
    </row>
  </sheetData>
  <mergeCells count="48">
    <mergeCell ref="Q303:Q304"/>
    <mergeCell ref="B303:D303"/>
    <mergeCell ref="E303:G303"/>
    <mergeCell ref="H303:H304"/>
    <mergeCell ref="K303:M303"/>
    <mergeCell ref="N303:P303"/>
    <mergeCell ref="K174:M174"/>
    <mergeCell ref="N174:P174"/>
    <mergeCell ref="Q174:Q175"/>
    <mergeCell ref="B174:D174"/>
    <mergeCell ref="E174:G174"/>
    <mergeCell ref="H174:H175"/>
    <mergeCell ref="Q131:Q132"/>
    <mergeCell ref="B131:D131"/>
    <mergeCell ref="E131:G131"/>
    <mergeCell ref="H131:H132"/>
    <mergeCell ref="K131:M131"/>
    <mergeCell ref="N131:P131"/>
    <mergeCell ref="Q45:Q46"/>
    <mergeCell ref="B45:D45"/>
    <mergeCell ref="E45:G45"/>
    <mergeCell ref="H45:H46"/>
    <mergeCell ref="K45:M45"/>
    <mergeCell ref="N45:P45"/>
    <mergeCell ref="N2:P2"/>
    <mergeCell ref="E2:G2"/>
    <mergeCell ref="Q2:Q3"/>
    <mergeCell ref="H2:H3"/>
    <mergeCell ref="B2:D2"/>
    <mergeCell ref="K2:M2"/>
    <mergeCell ref="K88:M88"/>
    <mergeCell ref="N88:P88"/>
    <mergeCell ref="Q88:Q89"/>
    <mergeCell ref="B88:D88"/>
    <mergeCell ref="E88:G88"/>
    <mergeCell ref="H88:H89"/>
    <mergeCell ref="Q217:Q218"/>
    <mergeCell ref="B217:D217"/>
    <mergeCell ref="E217:G217"/>
    <mergeCell ref="H217:H218"/>
    <mergeCell ref="K217:M217"/>
    <mergeCell ref="N217:P217"/>
    <mergeCell ref="Q260:Q261"/>
    <mergeCell ref="B260:D260"/>
    <mergeCell ref="E260:G260"/>
    <mergeCell ref="H260:H261"/>
    <mergeCell ref="K260:M260"/>
    <mergeCell ref="N260:P260"/>
  </mergeCells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dcterms:created xsi:type="dcterms:W3CDTF">2021-10-25T05:05:40Z</dcterms:created>
  <dcterms:modified xsi:type="dcterms:W3CDTF">2026-06-18T09:17:49Z</dcterms:modified>
</cp:coreProperties>
</file>